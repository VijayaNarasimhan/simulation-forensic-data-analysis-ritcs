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Test 1,2" sheetId="1" r:id="rId1"/>
    <sheet name="Test 3" sheetId="13" r:id="rId2"/>
    <sheet name="Test 4" sheetId="5" r:id="rId3"/>
    <sheet name="Test 5" sheetId="14" r:id="rId4"/>
    <sheet name="Test 6" sheetId="6" r:id="rId5"/>
    <sheet name="Test 7" sheetId="8" r:id="rId6"/>
    <sheet name="Test 8" sheetId="12" r:id="rId7"/>
    <sheet name="Test 9" sheetId="10" r:id="rId8"/>
    <sheet name="Data - Customer Master" sheetId="7" r:id="rId9"/>
    <sheet name="Data - Employee Rights Master" sheetId="3" r:id="rId10"/>
    <sheet name="Data - Receivables Tracker" sheetId="9" r:id="rId11"/>
    <sheet name="Key" sheetId="2" r:id="rId12"/>
  </sheets>
  <definedNames>
    <definedName name="_xlnm._FilterDatabase" localSheetId="9" hidden="1">'Data - Employee Rights Master'!$B$2:$F$2</definedName>
    <definedName name="_xlnm._FilterDatabase" localSheetId="10" hidden="1">'Data - Receivables Tracker'!$B$2:$F$625</definedName>
    <definedName name="_xlnm._FilterDatabase" localSheetId="0" hidden="1">'Test 1,2'!$B$4:$Y$4</definedName>
    <definedName name="_xlnm._FilterDatabase" localSheetId="1" hidden="1">'Test 3'!$B$4:$V$604</definedName>
    <definedName name="_xlnm._FilterDatabase" localSheetId="2" hidden="1">'Test 4'!#REF!</definedName>
    <definedName name="_xlnm._FilterDatabase" localSheetId="3" hidden="1">'Test 5'!$C$30:$J$72</definedName>
    <definedName name="_xlnm._FilterDatabase" localSheetId="4" hidden="1">'Test 6'!$G$30:$I$79</definedName>
    <definedName name="_xlnm._FilterDatabase" localSheetId="5" hidden="1">'Test 7'!$B$3:$J$3</definedName>
    <definedName name="_xlnm._FilterDatabase" localSheetId="6" hidden="1">'Test 8'!$B$4:$N$47</definedName>
  </definedNames>
  <calcPr calcId="162913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5" i="1"/>
  <c r="F20" i="5"/>
  <c r="F14" i="5"/>
  <c r="G14" i="5"/>
  <c r="G44" i="5"/>
  <c r="G43" i="5"/>
  <c r="G42" i="5"/>
  <c r="G40" i="5"/>
  <c r="G39" i="5"/>
  <c r="G38" i="5"/>
  <c r="G37" i="5"/>
  <c r="G36" i="5"/>
  <c r="G35" i="5"/>
  <c r="G34" i="5"/>
  <c r="G33" i="5"/>
  <c r="G32" i="5"/>
  <c r="G31" i="5"/>
  <c r="G30" i="5"/>
  <c r="G29" i="5"/>
  <c r="G27" i="5"/>
  <c r="G26" i="5"/>
  <c r="G25" i="5"/>
  <c r="G24" i="5"/>
  <c r="G23" i="5"/>
  <c r="G22" i="5"/>
  <c r="G21" i="5"/>
  <c r="G20" i="5"/>
  <c r="F44" i="5"/>
  <c r="F43" i="5"/>
  <c r="F42" i="5"/>
  <c r="F29" i="5"/>
  <c r="F40" i="5"/>
  <c r="F39" i="5"/>
  <c r="F38" i="5"/>
  <c r="F37" i="5"/>
  <c r="F36" i="5"/>
  <c r="F35" i="5"/>
  <c r="F34" i="5"/>
  <c r="F33" i="5"/>
  <c r="F32" i="5"/>
  <c r="F31" i="5"/>
  <c r="F30" i="5"/>
  <c r="F21" i="5"/>
  <c r="F22" i="5"/>
  <c r="F23" i="5"/>
  <c r="F24" i="5"/>
  <c r="F25" i="5"/>
  <c r="F26" i="5"/>
  <c r="F27" i="5"/>
  <c r="E27" i="6" l="1"/>
  <c r="F27" i="6"/>
  <c r="G26" i="6"/>
  <c r="F26" i="6"/>
  <c r="E26" i="6"/>
  <c r="G27" i="6" l="1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31" i="14"/>
  <c r="F81" i="12" l="1"/>
  <c r="G48" i="12"/>
  <c r="E692" i="14"/>
  <c r="I6" i="12" l="1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5" i="12"/>
  <c r="F603" i="8"/>
  <c r="F602" i="8"/>
  <c r="F601" i="8"/>
  <c r="F600" i="8"/>
  <c r="F599" i="8"/>
  <c r="F598" i="8"/>
  <c r="F597" i="8"/>
  <c r="F596" i="8"/>
  <c r="F595" i="8"/>
  <c r="F594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04" i="8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44" i="13"/>
  <c r="T45" i="13"/>
  <c r="T46" i="13"/>
  <c r="T47" i="13"/>
  <c r="T48" i="13"/>
  <c r="T49" i="13"/>
  <c r="T50" i="13"/>
  <c r="T51" i="13"/>
  <c r="T52" i="13"/>
  <c r="T53" i="13"/>
  <c r="T54" i="13"/>
  <c r="T55" i="13"/>
  <c r="T56" i="13"/>
  <c r="T57" i="13"/>
  <c r="T58" i="13"/>
  <c r="T59" i="13"/>
  <c r="T60" i="13"/>
  <c r="T61" i="13"/>
  <c r="T62" i="13"/>
  <c r="T63" i="13"/>
  <c r="T64" i="13"/>
  <c r="T65" i="13"/>
  <c r="T66" i="13"/>
  <c r="T67" i="13"/>
  <c r="T68" i="13"/>
  <c r="T69" i="13"/>
  <c r="T70" i="13"/>
  <c r="T71" i="13"/>
  <c r="T72" i="13"/>
  <c r="T73" i="13"/>
  <c r="T74" i="13"/>
  <c r="T75" i="13"/>
  <c r="T76" i="13"/>
  <c r="T77" i="13"/>
  <c r="T78" i="13"/>
  <c r="T79" i="13"/>
  <c r="T80" i="13"/>
  <c r="T81" i="13"/>
  <c r="T82" i="13"/>
  <c r="T83" i="13"/>
  <c r="T84" i="13"/>
  <c r="T85" i="13"/>
  <c r="T86" i="13"/>
  <c r="T87" i="13"/>
  <c r="T88" i="13"/>
  <c r="T89" i="13"/>
  <c r="T90" i="13"/>
  <c r="T91" i="13"/>
  <c r="T92" i="13"/>
  <c r="T93" i="13"/>
  <c r="T94" i="13"/>
  <c r="T95" i="13"/>
  <c r="T96" i="13"/>
  <c r="T97" i="13"/>
  <c r="T98" i="13"/>
  <c r="T99" i="13"/>
  <c r="T100" i="13"/>
  <c r="T101" i="13"/>
  <c r="T102" i="13"/>
  <c r="T103" i="13"/>
  <c r="T104" i="13"/>
  <c r="T105" i="13"/>
  <c r="T106" i="13"/>
  <c r="T107" i="13"/>
  <c r="T108" i="13"/>
  <c r="T109" i="13"/>
  <c r="T110" i="13"/>
  <c r="T111" i="13"/>
  <c r="T112" i="13"/>
  <c r="T113" i="13"/>
  <c r="T114" i="13"/>
  <c r="T115" i="13"/>
  <c r="T116" i="13"/>
  <c r="T117" i="13"/>
  <c r="T118" i="13"/>
  <c r="T119" i="13"/>
  <c r="T120" i="13"/>
  <c r="T121" i="13"/>
  <c r="T122" i="13"/>
  <c r="T123" i="13"/>
  <c r="T124" i="13"/>
  <c r="T125" i="13"/>
  <c r="T126" i="13"/>
  <c r="T127" i="13"/>
  <c r="T128" i="13"/>
  <c r="T129" i="13"/>
  <c r="T130" i="13"/>
  <c r="T131" i="13"/>
  <c r="T132" i="13"/>
  <c r="T133" i="13"/>
  <c r="T134" i="13"/>
  <c r="T135" i="13"/>
  <c r="T136" i="13"/>
  <c r="T137" i="13"/>
  <c r="T138" i="13"/>
  <c r="T139" i="13"/>
  <c r="T140" i="13"/>
  <c r="T141" i="13"/>
  <c r="T142" i="13"/>
  <c r="T143" i="13"/>
  <c r="T144" i="13"/>
  <c r="T145" i="13"/>
  <c r="T146" i="13"/>
  <c r="T147" i="13"/>
  <c r="T148" i="13"/>
  <c r="T149" i="13"/>
  <c r="T150" i="13"/>
  <c r="T151" i="13"/>
  <c r="T152" i="13"/>
  <c r="T153" i="13"/>
  <c r="T154" i="13"/>
  <c r="T155" i="13"/>
  <c r="T156" i="13"/>
  <c r="T157" i="13"/>
  <c r="T158" i="13"/>
  <c r="T159" i="13"/>
  <c r="T160" i="13"/>
  <c r="T161" i="13"/>
  <c r="T162" i="13"/>
  <c r="T163" i="13"/>
  <c r="T164" i="13"/>
  <c r="T165" i="13"/>
  <c r="T166" i="13"/>
  <c r="T167" i="13"/>
  <c r="T168" i="13"/>
  <c r="T169" i="13"/>
  <c r="T170" i="13"/>
  <c r="T171" i="13"/>
  <c r="T172" i="13"/>
  <c r="T173" i="13"/>
  <c r="T174" i="13"/>
  <c r="T175" i="13"/>
  <c r="T176" i="13"/>
  <c r="T177" i="13"/>
  <c r="T178" i="13"/>
  <c r="T179" i="13"/>
  <c r="T180" i="13"/>
  <c r="T181" i="13"/>
  <c r="T182" i="13"/>
  <c r="T183" i="13"/>
  <c r="T184" i="13"/>
  <c r="T185" i="13"/>
  <c r="T186" i="13"/>
  <c r="T187" i="13"/>
  <c r="T188" i="13"/>
  <c r="T189" i="13"/>
  <c r="T190" i="13"/>
  <c r="T191" i="13"/>
  <c r="T192" i="13"/>
  <c r="T193" i="13"/>
  <c r="T194" i="13"/>
  <c r="T195" i="13"/>
  <c r="T196" i="13"/>
  <c r="T197" i="13"/>
  <c r="T198" i="13"/>
  <c r="T199" i="13"/>
  <c r="T200" i="13"/>
  <c r="T201" i="13"/>
  <c r="T202" i="13"/>
  <c r="T203" i="13"/>
  <c r="T204" i="13"/>
  <c r="T205" i="13"/>
  <c r="T206" i="13"/>
  <c r="T207" i="13"/>
  <c r="T208" i="13"/>
  <c r="T209" i="13"/>
  <c r="T210" i="13"/>
  <c r="T211" i="13"/>
  <c r="T212" i="13"/>
  <c r="T213" i="13"/>
  <c r="T214" i="13"/>
  <c r="T215" i="13"/>
  <c r="T216" i="13"/>
  <c r="T217" i="13"/>
  <c r="T218" i="13"/>
  <c r="T219" i="13"/>
  <c r="T220" i="13"/>
  <c r="T221" i="13"/>
  <c r="T222" i="13"/>
  <c r="T223" i="13"/>
  <c r="T224" i="13"/>
  <c r="T225" i="13"/>
  <c r="T226" i="13"/>
  <c r="T227" i="13"/>
  <c r="T228" i="13"/>
  <c r="T229" i="13"/>
  <c r="T230" i="13"/>
  <c r="T231" i="13"/>
  <c r="T232" i="13"/>
  <c r="T233" i="13"/>
  <c r="T234" i="13"/>
  <c r="T235" i="13"/>
  <c r="T236" i="13"/>
  <c r="T237" i="13"/>
  <c r="T238" i="13"/>
  <c r="T239" i="13"/>
  <c r="T240" i="13"/>
  <c r="T241" i="13"/>
  <c r="T242" i="13"/>
  <c r="T243" i="13"/>
  <c r="T244" i="13"/>
  <c r="T245" i="13"/>
  <c r="T246" i="13"/>
  <c r="T247" i="13"/>
  <c r="T248" i="13"/>
  <c r="T249" i="13"/>
  <c r="T250" i="13"/>
  <c r="T251" i="13"/>
  <c r="T252" i="13"/>
  <c r="T253" i="13"/>
  <c r="T254" i="13"/>
  <c r="T255" i="13"/>
  <c r="T256" i="13"/>
  <c r="T257" i="13"/>
  <c r="T258" i="13"/>
  <c r="T259" i="13"/>
  <c r="T260" i="13"/>
  <c r="T261" i="13"/>
  <c r="T262" i="13"/>
  <c r="T263" i="13"/>
  <c r="T264" i="13"/>
  <c r="T265" i="13"/>
  <c r="T266" i="13"/>
  <c r="T267" i="13"/>
  <c r="T268" i="13"/>
  <c r="T269" i="13"/>
  <c r="T270" i="13"/>
  <c r="T271" i="13"/>
  <c r="T272" i="13"/>
  <c r="T273" i="13"/>
  <c r="T274" i="13"/>
  <c r="T275" i="13"/>
  <c r="T276" i="13"/>
  <c r="T277" i="13"/>
  <c r="T278" i="13"/>
  <c r="T279" i="13"/>
  <c r="T280" i="13"/>
  <c r="T281" i="13"/>
  <c r="T282" i="13"/>
  <c r="T283" i="13"/>
  <c r="T284" i="13"/>
  <c r="T285" i="13"/>
  <c r="T286" i="13"/>
  <c r="T287" i="13"/>
  <c r="T288" i="13"/>
  <c r="T289" i="13"/>
  <c r="T290" i="13"/>
  <c r="T291" i="13"/>
  <c r="T292" i="13"/>
  <c r="T293" i="13"/>
  <c r="T294" i="13"/>
  <c r="T295" i="13"/>
  <c r="T296" i="13"/>
  <c r="T297" i="13"/>
  <c r="T298" i="13"/>
  <c r="T299" i="13"/>
  <c r="T300" i="13"/>
  <c r="T301" i="13"/>
  <c r="T302" i="13"/>
  <c r="T303" i="13"/>
  <c r="T304" i="13"/>
  <c r="T305" i="13"/>
  <c r="T306" i="13"/>
  <c r="T307" i="13"/>
  <c r="T308" i="13"/>
  <c r="T309" i="13"/>
  <c r="T310" i="13"/>
  <c r="T311" i="13"/>
  <c r="T312" i="13"/>
  <c r="T313" i="13"/>
  <c r="T314" i="13"/>
  <c r="T315" i="13"/>
  <c r="T316" i="13"/>
  <c r="T317" i="13"/>
  <c r="T318" i="13"/>
  <c r="T319" i="13"/>
  <c r="T320" i="13"/>
  <c r="T321" i="13"/>
  <c r="T322" i="13"/>
  <c r="T323" i="13"/>
  <c r="T324" i="13"/>
  <c r="T325" i="13"/>
  <c r="T326" i="13"/>
  <c r="T327" i="13"/>
  <c r="T328" i="13"/>
  <c r="T329" i="13"/>
  <c r="T330" i="13"/>
  <c r="T331" i="13"/>
  <c r="T332" i="13"/>
  <c r="T333" i="13"/>
  <c r="T334" i="13"/>
  <c r="T335" i="13"/>
  <c r="T336" i="13"/>
  <c r="T337" i="13"/>
  <c r="T338" i="13"/>
  <c r="T339" i="13"/>
  <c r="T340" i="13"/>
  <c r="T341" i="13"/>
  <c r="T342" i="13"/>
  <c r="T343" i="13"/>
  <c r="T344" i="13"/>
  <c r="T345" i="13"/>
  <c r="T346" i="13"/>
  <c r="T347" i="13"/>
  <c r="T348" i="13"/>
  <c r="T349" i="13"/>
  <c r="T350" i="13"/>
  <c r="T351" i="13"/>
  <c r="T352" i="13"/>
  <c r="T353" i="13"/>
  <c r="T354" i="13"/>
  <c r="T355" i="13"/>
  <c r="T356" i="13"/>
  <c r="T357" i="13"/>
  <c r="T358" i="13"/>
  <c r="T359" i="13"/>
  <c r="T360" i="13"/>
  <c r="T361" i="13"/>
  <c r="T362" i="13"/>
  <c r="T363" i="13"/>
  <c r="T364" i="13"/>
  <c r="T365" i="13"/>
  <c r="T366" i="13"/>
  <c r="T367" i="13"/>
  <c r="T368" i="13"/>
  <c r="T369" i="13"/>
  <c r="T370" i="13"/>
  <c r="T371" i="13"/>
  <c r="T372" i="13"/>
  <c r="T373" i="13"/>
  <c r="T374" i="13"/>
  <c r="T375" i="13"/>
  <c r="T376" i="13"/>
  <c r="T377" i="13"/>
  <c r="T378" i="13"/>
  <c r="T379" i="13"/>
  <c r="T380" i="13"/>
  <c r="T381" i="13"/>
  <c r="T382" i="13"/>
  <c r="T383" i="13"/>
  <c r="T384" i="13"/>
  <c r="T385" i="13"/>
  <c r="T386" i="13"/>
  <c r="T387" i="13"/>
  <c r="T388" i="13"/>
  <c r="T389" i="13"/>
  <c r="T390" i="13"/>
  <c r="T391" i="13"/>
  <c r="T392" i="13"/>
  <c r="T393" i="13"/>
  <c r="T394" i="13"/>
  <c r="T395" i="13"/>
  <c r="T396" i="13"/>
  <c r="T397" i="13"/>
  <c r="T398" i="13"/>
  <c r="T399" i="13"/>
  <c r="T400" i="13"/>
  <c r="T401" i="13"/>
  <c r="T402" i="13"/>
  <c r="T403" i="13"/>
  <c r="T404" i="13"/>
  <c r="T405" i="13"/>
  <c r="T406" i="13"/>
  <c r="T407" i="13"/>
  <c r="T408" i="13"/>
  <c r="T409" i="13"/>
  <c r="T410" i="13"/>
  <c r="T411" i="13"/>
  <c r="T412" i="13"/>
  <c r="T413" i="13"/>
  <c r="T414" i="13"/>
  <c r="T415" i="13"/>
  <c r="T416" i="13"/>
  <c r="T417" i="13"/>
  <c r="T418" i="13"/>
  <c r="T419" i="13"/>
  <c r="T420" i="13"/>
  <c r="T421" i="13"/>
  <c r="T422" i="13"/>
  <c r="T423" i="13"/>
  <c r="T424" i="13"/>
  <c r="T425" i="13"/>
  <c r="T426" i="13"/>
  <c r="T427" i="13"/>
  <c r="T428" i="13"/>
  <c r="T429" i="13"/>
  <c r="T430" i="13"/>
  <c r="T431" i="13"/>
  <c r="T432" i="13"/>
  <c r="T433" i="13"/>
  <c r="T434" i="13"/>
  <c r="T435" i="13"/>
  <c r="T436" i="13"/>
  <c r="T437" i="13"/>
  <c r="T438" i="13"/>
  <c r="T439" i="13"/>
  <c r="T440" i="13"/>
  <c r="T441" i="13"/>
  <c r="T442" i="13"/>
  <c r="T443" i="13"/>
  <c r="T444" i="13"/>
  <c r="T445" i="13"/>
  <c r="T446" i="13"/>
  <c r="T447" i="13"/>
  <c r="T448" i="13"/>
  <c r="T449" i="13"/>
  <c r="T450" i="13"/>
  <c r="T451" i="13"/>
  <c r="T452" i="13"/>
  <c r="T453" i="13"/>
  <c r="T454" i="13"/>
  <c r="T455" i="13"/>
  <c r="T456" i="13"/>
  <c r="T457" i="13"/>
  <c r="T458" i="13"/>
  <c r="T459" i="13"/>
  <c r="T460" i="13"/>
  <c r="T461" i="13"/>
  <c r="T462" i="13"/>
  <c r="T463" i="13"/>
  <c r="T464" i="13"/>
  <c r="T465" i="13"/>
  <c r="T466" i="13"/>
  <c r="T467" i="13"/>
  <c r="T468" i="13"/>
  <c r="T469" i="13"/>
  <c r="T470" i="13"/>
  <c r="T471" i="13"/>
  <c r="T472" i="13"/>
  <c r="T473" i="13"/>
  <c r="T474" i="13"/>
  <c r="T475" i="13"/>
  <c r="T476" i="13"/>
  <c r="T477" i="13"/>
  <c r="T478" i="13"/>
  <c r="T479" i="13"/>
  <c r="T480" i="13"/>
  <c r="T481" i="13"/>
  <c r="T482" i="13"/>
  <c r="T483" i="13"/>
  <c r="T484" i="13"/>
  <c r="T485" i="13"/>
  <c r="T486" i="13"/>
  <c r="T487" i="13"/>
  <c r="T488" i="13"/>
  <c r="T489" i="13"/>
  <c r="T490" i="13"/>
  <c r="T491" i="13"/>
  <c r="T492" i="13"/>
  <c r="T493" i="13"/>
  <c r="T494" i="13"/>
  <c r="T495" i="13"/>
  <c r="T496" i="13"/>
  <c r="T497" i="13"/>
  <c r="T498" i="13"/>
  <c r="T499" i="13"/>
  <c r="T500" i="13"/>
  <c r="T501" i="13"/>
  <c r="T502" i="13"/>
  <c r="T503" i="13"/>
  <c r="T504" i="13"/>
  <c r="T505" i="13"/>
  <c r="T506" i="13"/>
  <c r="T507" i="13"/>
  <c r="T508" i="13"/>
  <c r="T509" i="13"/>
  <c r="T510" i="13"/>
  <c r="T511" i="13"/>
  <c r="T512" i="13"/>
  <c r="T513" i="13"/>
  <c r="T514" i="13"/>
  <c r="T515" i="13"/>
  <c r="T516" i="13"/>
  <c r="T517" i="13"/>
  <c r="T518" i="13"/>
  <c r="T519" i="13"/>
  <c r="T520" i="13"/>
  <c r="T521" i="13"/>
  <c r="T522" i="13"/>
  <c r="T523" i="13"/>
  <c r="T524" i="13"/>
  <c r="T525" i="13"/>
  <c r="T526" i="13"/>
  <c r="T527" i="13"/>
  <c r="T528" i="13"/>
  <c r="T529" i="13"/>
  <c r="T530" i="13"/>
  <c r="T531" i="13"/>
  <c r="T532" i="13"/>
  <c r="T533" i="13"/>
  <c r="T534" i="13"/>
  <c r="T535" i="13"/>
  <c r="T536" i="13"/>
  <c r="T537" i="13"/>
  <c r="T538" i="13"/>
  <c r="T539" i="13"/>
  <c r="T540" i="13"/>
  <c r="T541" i="13"/>
  <c r="T542" i="13"/>
  <c r="T543" i="13"/>
  <c r="T544" i="13"/>
  <c r="T545" i="13"/>
  <c r="T546" i="13"/>
  <c r="T547" i="13"/>
  <c r="T548" i="13"/>
  <c r="T549" i="13"/>
  <c r="T550" i="13"/>
  <c r="T551" i="13"/>
  <c r="T552" i="13"/>
  <c r="T553" i="13"/>
  <c r="T554" i="13"/>
  <c r="T555" i="13"/>
  <c r="T556" i="13"/>
  <c r="T557" i="13"/>
  <c r="T558" i="13"/>
  <c r="T559" i="13"/>
  <c r="T560" i="13"/>
  <c r="T561" i="13"/>
  <c r="T562" i="13"/>
  <c r="T563" i="13"/>
  <c r="T564" i="13"/>
  <c r="T565" i="13"/>
  <c r="T566" i="13"/>
  <c r="T567" i="13"/>
  <c r="T568" i="13"/>
  <c r="T569" i="13"/>
  <c r="T570" i="13"/>
  <c r="T571" i="13"/>
  <c r="T572" i="13"/>
  <c r="T573" i="13"/>
  <c r="T574" i="13"/>
  <c r="T575" i="13"/>
  <c r="T576" i="13"/>
  <c r="T577" i="13"/>
  <c r="T578" i="13"/>
  <c r="T579" i="13"/>
  <c r="T580" i="13"/>
  <c r="T581" i="13"/>
  <c r="T582" i="13"/>
  <c r="T583" i="13"/>
  <c r="T584" i="13"/>
  <c r="T585" i="13"/>
  <c r="T586" i="13"/>
  <c r="T587" i="13"/>
  <c r="T588" i="13"/>
  <c r="T589" i="13"/>
  <c r="T590" i="13"/>
  <c r="T591" i="13"/>
  <c r="T592" i="13"/>
  <c r="T593" i="13"/>
  <c r="T594" i="13"/>
  <c r="T595" i="13"/>
  <c r="T596" i="13"/>
  <c r="T597" i="13"/>
  <c r="T598" i="13"/>
  <c r="T599" i="13"/>
  <c r="T600" i="13"/>
  <c r="T601" i="13"/>
  <c r="T602" i="13"/>
  <c r="T603" i="13"/>
  <c r="T604" i="13"/>
  <c r="T5" i="13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8" i="14"/>
  <c r="G529" i="14"/>
  <c r="G530" i="14"/>
  <c r="G53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92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1" i="14"/>
  <c r="F632" i="14"/>
  <c r="F633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651" i="14"/>
  <c r="F652" i="14"/>
  <c r="F653" i="14"/>
  <c r="F654" i="14"/>
  <c r="F655" i="14"/>
  <c r="F656" i="14"/>
  <c r="F657" i="14"/>
  <c r="F658" i="14"/>
  <c r="F659" i="14"/>
  <c r="F660" i="14"/>
  <c r="F661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5" i="12"/>
  <c r="Q6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5" i="1"/>
  <c r="Z636" i="13" l="1"/>
  <c r="Y636" i="13"/>
  <c r="W636" i="13"/>
  <c r="V636" i="13"/>
  <c r="X636" i="13" s="1"/>
  <c r="T636" i="13"/>
  <c r="S636" i="13"/>
  <c r="Q636" i="13"/>
  <c r="R636" i="13" s="1"/>
  <c r="Z635" i="13"/>
  <c r="Y635" i="13"/>
  <c r="W635" i="13"/>
  <c r="V635" i="13"/>
  <c r="X635" i="13" s="1"/>
  <c r="T635" i="13"/>
  <c r="S635" i="13"/>
  <c r="Q635" i="13"/>
  <c r="R635" i="13" s="1"/>
  <c r="Z634" i="13"/>
  <c r="Y634" i="13"/>
  <c r="W634" i="13"/>
  <c r="V634" i="13"/>
  <c r="T634" i="13"/>
  <c r="S634" i="13"/>
  <c r="Q634" i="13"/>
  <c r="R634" i="13" s="1"/>
  <c r="Z633" i="13"/>
  <c r="Y633" i="13"/>
  <c r="W633" i="13"/>
  <c r="V633" i="13"/>
  <c r="T633" i="13"/>
  <c r="S633" i="13"/>
  <c r="Q633" i="13"/>
  <c r="R633" i="13" s="1"/>
  <c r="Z632" i="13"/>
  <c r="Y632" i="13"/>
  <c r="W632" i="13"/>
  <c r="V632" i="13"/>
  <c r="X632" i="13" s="1"/>
  <c r="T632" i="13"/>
  <c r="S632" i="13"/>
  <c r="Q632" i="13"/>
  <c r="R632" i="13" s="1"/>
  <c r="Z631" i="13"/>
  <c r="Y631" i="13"/>
  <c r="W631" i="13"/>
  <c r="V631" i="13"/>
  <c r="X631" i="13" s="1"/>
  <c r="T631" i="13"/>
  <c r="S631" i="13"/>
  <c r="Q631" i="13"/>
  <c r="Z630" i="13"/>
  <c r="Y630" i="13"/>
  <c r="W630" i="13"/>
  <c r="V630" i="13"/>
  <c r="T630" i="13"/>
  <c r="S630" i="13"/>
  <c r="Q630" i="13"/>
  <c r="R630" i="13" s="1"/>
  <c r="Z629" i="13"/>
  <c r="Y629" i="13"/>
  <c r="W629" i="13"/>
  <c r="V629" i="13"/>
  <c r="X629" i="13" s="1"/>
  <c r="T629" i="13"/>
  <c r="S629" i="13"/>
  <c r="Q629" i="13"/>
  <c r="R629" i="13" s="1"/>
  <c r="Z628" i="13"/>
  <c r="Y628" i="13"/>
  <c r="W628" i="13"/>
  <c r="V628" i="13"/>
  <c r="T628" i="13"/>
  <c r="S628" i="13"/>
  <c r="Q628" i="13"/>
  <c r="R628" i="13" s="1"/>
  <c r="Z627" i="13"/>
  <c r="Y627" i="13"/>
  <c r="W627" i="13"/>
  <c r="V627" i="13"/>
  <c r="X627" i="13" s="1"/>
  <c r="T627" i="13"/>
  <c r="S627" i="13"/>
  <c r="U627" i="13" s="1"/>
  <c r="Q627" i="13"/>
  <c r="R627" i="13" s="1"/>
  <c r="Z626" i="13"/>
  <c r="Y626" i="13"/>
  <c r="W626" i="13"/>
  <c r="V626" i="13"/>
  <c r="T626" i="13"/>
  <c r="S626" i="13"/>
  <c r="Q626" i="13"/>
  <c r="R626" i="13" s="1"/>
  <c r="Z625" i="13"/>
  <c r="Y625" i="13"/>
  <c r="W625" i="13"/>
  <c r="V625" i="13"/>
  <c r="T625" i="13"/>
  <c r="S625" i="13"/>
  <c r="Q625" i="13"/>
  <c r="R625" i="13" s="1"/>
  <c r="Z624" i="13"/>
  <c r="Y624" i="13"/>
  <c r="W624" i="13"/>
  <c r="V624" i="13"/>
  <c r="T624" i="13"/>
  <c r="S624" i="13"/>
  <c r="Q624" i="13"/>
  <c r="R624" i="13" s="1"/>
  <c r="Z623" i="13"/>
  <c r="Y623" i="13"/>
  <c r="W623" i="13"/>
  <c r="V623" i="13"/>
  <c r="T623" i="13"/>
  <c r="S623" i="13"/>
  <c r="U623" i="13" s="1"/>
  <c r="Q623" i="13"/>
  <c r="R623" i="13" s="1"/>
  <c r="Z622" i="13"/>
  <c r="Y622" i="13"/>
  <c r="W622" i="13"/>
  <c r="V622" i="13"/>
  <c r="T622" i="13"/>
  <c r="S622" i="13"/>
  <c r="Q622" i="13"/>
  <c r="R622" i="13" s="1"/>
  <c r="Z621" i="13"/>
  <c r="Y621" i="13"/>
  <c r="W621" i="13"/>
  <c r="V621" i="13"/>
  <c r="X621" i="13" s="1"/>
  <c r="T621" i="13"/>
  <c r="U621" i="13" s="1"/>
  <c r="S621" i="13"/>
  <c r="Q621" i="13"/>
  <c r="R621" i="13" s="1"/>
  <c r="Z620" i="13"/>
  <c r="Y620" i="13"/>
  <c r="W620" i="13"/>
  <c r="V620" i="13"/>
  <c r="X620" i="13" s="1"/>
  <c r="T620" i="13"/>
  <c r="S620" i="13"/>
  <c r="Q620" i="13"/>
  <c r="R620" i="13" s="1"/>
  <c r="Z619" i="13"/>
  <c r="Y619" i="13"/>
  <c r="W619" i="13"/>
  <c r="V619" i="13"/>
  <c r="T619" i="13"/>
  <c r="S619" i="13"/>
  <c r="Q619" i="13"/>
  <c r="Z618" i="13"/>
  <c r="Y618" i="13"/>
  <c r="W618" i="13"/>
  <c r="V618" i="13"/>
  <c r="X618" i="13" s="1"/>
  <c r="T618" i="13"/>
  <c r="S618" i="13"/>
  <c r="Q618" i="13"/>
  <c r="R618" i="13" s="1"/>
  <c r="Z617" i="13"/>
  <c r="Y617" i="13"/>
  <c r="W617" i="13"/>
  <c r="V617" i="13"/>
  <c r="X617" i="13" s="1"/>
  <c r="T617" i="13"/>
  <c r="S617" i="13"/>
  <c r="Q617" i="13"/>
  <c r="R617" i="13" s="1"/>
  <c r="Z616" i="13"/>
  <c r="Y616" i="13"/>
  <c r="W616" i="13"/>
  <c r="V616" i="13"/>
  <c r="T616" i="13"/>
  <c r="S616" i="13"/>
  <c r="Q616" i="13"/>
  <c r="R616" i="13" s="1"/>
  <c r="Z615" i="13"/>
  <c r="Y615" i="13"/>
  <c r="W615" i="13"/>
  <c r="V615" i="13"/>
  <c r="X615" i="13" s="1"/>
  <c r="T615" i="13"/>
  <c r="S615" i="13"/>
  <c r="Q615" i="13"/>
  <c r="R615" i="13" s="1"/>
  <c r="Z614" i="13"/>
  <c r="Y614" i="13"/>
  <c r="W614" i="13"/>
  <c r="V614" i="13"/>
  <c r="T614" i="13"/>
  <c r="S614" i="13"/>
  <c r="Q614" i="13"/>
  <c r="R614" i="13" s="1"/>
  <c r="Z613" i="13"/>
  <c r="Y613" i="13"/>
  <c r="W613" i="13"/>
  <c r="V613" i="13"/>
  <c r="X613" i="13" s="1"/>
  <c r="T613" i="13"/>
  <c r="S613" i="13"/>
  <c r="Q613" i="13"/>
  <c r="R613" i="13" s="1"/>
  <c r="Z612" i="13"/>
  <c r="Y612" i="13"/>
  <c r="W612" i="13"/>
  <c r="V612" i="13"/>
  <c r="X612" i="13" s="1"/>
  <c r="T612" i="13"/>
  <c r="S612" i="13"/>
  <c r="U612" i="13" s="1"/>
  <c r="Q612" i="13"/>
  <c r="R612" i="13" s="1"/>
  <c r="Z611" i="13"/>
  <c r="Y611" i="13"/>
  <c r="W611" i="13"/>
  <c r="V611" i="13"/>
  <c r="T611" i="13"/>
  <c r="S611" i="13"/>
  <c r="U611" i="13" s="1"/>
  <c r="Q611" i="13"/>
  <c r="R611" i="13" s="1"/>
  <c r="Z610" i="13"/>
  <c r="Y610" i="13"/>
  <c r="W610" i="13"/>
  <c r="V610" i="13"/>
  <c r="X610" i="13" s="1"/>
  <c r="T610" i="13"/>
  <c r="S610" i="13"/>
  <c r="Q610" i="13"/>
  <c r="R610" i="13" s="1"/>
  <c r="L606" i="13"/>
  <c r="J606" i="13"/>
  <c r="V604" i="13"/>
  <c r="U604" i="13"/>
  <c r="R604" i="13"/>
  <c r="Q604" i="13"/>
  <c r="V603" i="13"/>
  <c r="U603" i="13"/>
  <c r="R603" i="13"/>
  <c r="Q603" i="13"/>
  <c r="V602" i="13"/>
  <c r="U602" i="13"/>
  <c r="R602" i="13"/>
  <c r="Q602" i="13"/>
  <c r="S602" i="13" s="1"/>
  <c r="V601" i="13"/>
  <c r="U601" i="13"/>
  <c r="R601" i="13"/>
  <c r="Q601" i="13"/>
  <c r="S601" i="13" s="1"/>
  <c r="V600" i="13"/>
  <c r="U600" i="13"/>
  <c r="R600" i="13"/>
  <c r="Q600" i="13"/>
  <c r="S600" i="13" s="1"/>
  <c r="V599" i="13"/>
  <c r="U599" i="13"/>
  <c r="R599" i="13"/>
  <c r="Q599" i="13"/>
  <c r="V598" i="13"/>
  <c r="U598" i="13"/>
  <c r="R598" i="13"/>
  <c r="Q598" i="13"/>
  <c r="V597" i="13"/>
  <c r="U597" i="13"/>
  <c r="R597" i="13"/>
  <c r="Q597" i="13"/>
  <c r="S597" i="13" s="1"/>
  <c r="V596" i="13"/>
  <c r="U596" i="13"/>
  <c r="R596" i="13"/>
  <c r="Q596" i="13"/>
  <c r="V595" i="13"/>
  <c r="U595" i="13"/>
  <c r="R595" i="13"/>
  <c r="Q595" i="13"/>
  <c r="V594" i="13"/>
  <c r="U594" i="13"/>
  <c r="R594" i="13"/>
  <c r="Q594" i="13"/>
  <c r="S594" i="13" s="1"/>
  <c r="V593" i="13"/>
  <c r="U593" i="13"/>
  <c r="R593" i="13"/>
  <c r="Q593" i="13"/>
  <c r="V592" i="13"/>
  <c r="U592" i="13"/>
  <c r="R592" i="13"/>
  <c r="Q592" i="13"/>
  <c r="S592" i="13" s="1"/>
  <c r="V591" i="13"/>
  <c r="U591" i="13"/>
  <c r="R591" i="13"/>
  <c r="Q591" i="13"/>
  <c r="S591" i="13" s="1"/>
  <c r="V590" i="13"/>
  <c r="U590" i="13"/>
  <c r="R590" i="13"/>
  <c r="Q590" i="13"/>
  <c r="V589" i="13"/>
  <c r="U589" i="13"/>
  <c r="R589" i="13"/>
  <c r="Q589" i="13"/>
  <c r="S589" i="13" s="1"/>
  <c r="V588" i="13"/>
  <c r="U588" i="13"/>
  <c r="R588" i="13"/>
  <c r="Q588" i="13"/>
  <c r="S588" i="13" s="1"/>
  <c r="V587" i="13"/>
  <c r="U587" i="13"/>
  <c r="R587" i="13"/>
  <c r="Q587" i="13"/>
  <c r="S587" i="13" s="1"/>
  <c r="V586" i="13"/>
  <c r="U586" i="13"/>
  <c r="R586" i="13"/>
  <c r="Q586" i="13"/>
  <c r="V585" i="13"/>
  <c r="U585" i="13"/>
  <c r="R585" i="13"/>
  <c r="Q585" i="13"/>
  <c r="S585" i="13" s="1"/>
  <c r="V584" i="13"/>
  <c r="U584" i="13"/>
  <c r="R584" i="13"/>
  <c r="Q584" i="13"/>
  <c r="S584" i="13" s="1"/>
  <c r="V583" i="13"/>
  <c r="U583" i="13"/>
  <c r="R583" i="13"/>
  <c r="Q583" i="13"/>
  <c r="V582" i="13"/>
  <c r="U582" i="13"/>
  <c r="R582" i="13"/>
  <c r="Q582" i="13"/>
  <c r="S582" i="13" s="1"/>
  <c r="V581" i="13"/>
  <c r="U581" i="13"/>
  <c r="R581" i="13"/>
  <c r="Q581" i="13"/>
  <c r="S581" i="13" s="1"/>
  <c r="V580" i="13"/>
  <c r="U580" i="13"/>
  <c r="R580" i="13"/>
  <c r="Q580" i="13"/>
  <c r="V579" i="13"/>
  <c r="U579" i="13"/>
  <c r="R579" i="13"/>
  <c r="Q579" i="13"/>
  <c r="V578" i="13"/>
  <c r="U578" i="13"/>
  <c r="R578" i="13"/>
  <c r="Q578" i="13"/>
  <c r="V577" i="13"/>
  <c r="U577" i="13"/>
  <c r="R577" i="13"/>
  <c r="Q577" i="13"/>
  <c r="S577" i="13" s="1"/>
  <c r="V576" i="13"/>
  <c r="U576" i="13"/>
  <c r="R576" i="13"/>
  <c r="Q576" i="13"/>
  <c r="S576" i="13" s="1"/>
  <c r="V575" i="13"/>
  <c r="U575" i="13"/>
  <c r="R575" i="13"/>
  <c r="Q575" i="13"/>
  <c r="V574" i="13"/>
  <c r="U574" i="13"/>
  <c r="R574" i="13"/>
  <c r="S574" i="13" s="1"/>
  <c r="Q574" i="13"/>
  <c r="V573" i="13"/>
  <c r="U573" i="13"/>
  <c r="R573" i="13"/>
  <c r="Q573" i="13"/>
  <c r="S573" i="13" s="1"/>
  <c r="V572" i="13"/>
  <c r="U572" i="13"/>
  <c r="R572" i="13"/>
  <c r="Q572" i="13"/>
  <c r="S572" i="13" s="1"/>
  <c r="V571" i="13"/>
  <c r="U571" i="13"/>
  <c r="R571" i="13"/>
  <c r="S571" i="13" s="1"/>
  <c r="Q571" i="13"/>
  <c r="V570" i="13"/>
  <c r="U570" i="13"/>
  <c r="R570" i="13"/>
  <c r="Q570" i="13"/>
  <c r="S570" i="13" s="1"/>
  <c r="V569" i="13"/>
  <c r="U569" i="13"/>
  <c r="R569" i="13"/>
  <c r="Q569" i="13"/>
  <c r="S569" i="13" s="1"/>
  <c r="V568" i="13"/>
  <c r="U568" i="13"/>
  <c r="S568" i="13"/>
  <c r="R568" i="13"/>
  <c r="Q568" i="13"/>
  <c r="V567" i="13"/>
  <c r="U567" i="13"/>
  <c r="R567" i="13"/>
  <c r="Q567" i="13"/>
  <c r="S567" i="13" s="1"/>
  <c r="V566" i="13"/>
  <c r="U566" i="13"/>
  <c r="R566" i="13"/>
  <c r="Q566" i="13"/>
  <c r="V565" i="13"/>
  <c r="U565" i="13"/>
  <c r="S565" i="13"/>
  <c r="R565" i="13"/>
  <c r="Q565" i="13"/>
  <c r="V564" i="13"/>
  <c r="U564" i="13"/>
  <c r="R564" i="13"/>
  <c r="Q564" i="13"/>
  <c r="S564" i="13" s="1"/>
  <c r="V563" i="13"/>
  <c r="U563" i="13"/>
  <c r="R563" i="13"/>
  <c r="Q563" i="13"/>
  <c r="V562" i="13"/>
  <c r="U562" i="13"/>
  <c r="R562" i="13"/>
  <c r="Q562" i="13"/>
  <c r="V561" i="13"/>
  <c r="U561" i="13"/>
  <c r="R561" i="13"/>
  <c r="Q561" i="13"/>
  <c r="S561" i="13" s="1"/>
  <c r="V560" i="13"/>
  <c r="U560" i="13"/>
  <c r="R560" i="13"/>
  <c r="Q560" i="13"/>
  <c r="S560" i="13" s="1"/>
  <c r="V559" i="13"/>
  <c r="U559" i="13"/>
  <c r="R559" i="13"/>
  <c r="Q559" i="13"/>
  <c r="V558" i="13"/>
  <c r="U558" i="13"/>
  <c r="R558" i="13"/>
  <c r="Q558" i="13"/>
  <c r="S558" i="13" s="1"/>
  <c r="V557" i="13"/>
  <c r="U557" i="13"/>
  <c r="R557" i="13"/>
  <c r="Q557" i="13"/>
  <c r="S557" i="13" s="1"/>
  <c r="V556" i="13"/>
  <c r="U556" i="13"/>
  <c r="S556" i="13"/>
  <c r="R556" i="13"/>
  <c r="Q556" i="13"/>
  <c r="V555" i="13"/>
  <c r="U555" i="13"/>
  <c r="R555" i="13"/>
  <c r="Q555" i="13"/>
  <c r="S555" i="13" s="1"/>
  <c r="V554" i="13"/>
  <c r="U554" i="13"/>
  <c r="R554" i="13"/>
  <c r="Q554" i="13"/>
  <c r="S554" i="13" s="1"/>
  <c r="V553" i="13"/>
  <c r="U553" i="13"/>
  <c r="R553" i="13"/>
  <c r="Q553" i="13"/>
  <c r="V552" i="13"/>
  <c r="U552" i="13"/>
  <c r="R552" i="13"/>
  <c r="Q552" i="13"/>
  <c r="S552" i="13" s="1"/>
  <c r="V551" i="13"/>
  <c r="U551" i="13"/>
  <c r="R551" i="13"/>
  <c r="Q551" i="13"/>
  <c r="V550" i="13"/>
  <c r="U550" i="13"/>
  <c r="R550" i="13"/>
  <c r="Q550" i="13"/>
  <c r="V549" i="13"/>
  <c r="U549" i="13"/>
  <c r="R549" i="13"/>
  <c r="Q549" i="13"/>
  <c r="S549" i="13" s="1"/>
  <c r="V548" i="13"/>
  <c r="U548" i="13"/>
  <c r="R548" i="13"/>
  <c r="Q548" i="13"/>
  <c r="S548" i="13" s="1"/>
  <c r="V547" i="13"/>
  <c r="U547" i="13"/>
  <c r="R547" i="13"/>
  <c r="Q547" i="13"/>
  <c r="V546" i="13"/>
  <c r="U546" i="13"/>
  <c r="R546" i="13"/>
  <c r="Q546" i="13"/>
  <c r="S546" i="13" s="1"/>
  <c r="V545" i="13"/>
  <c r="U545" i="13"/>
  <c r="R545" i="13"/>
  <c r="Q545" i="13"/>
  <c r="S545" i="13" s="1"/>
  <c r="V544" i="13"/>
  <c r="U544" i="13"/>
  <c r="R544" i="13"/>
  <c r="Q544" i="13"/>
  <c r="S544" i="13" s="1"/>
  <c r="V543" i="13"/>
  <c r="U543" i="13"/>
  <c r="R543" i="13"/>
  <c r="Q543" i="13"/>
  <c r="S543" i="13" s="1"/>
  <c r="V542" i="13"/>
  <c r="U542" i="13"/>
  <c r="R542" i="13"/>
  <c r="Q542" i="13"/>
  <c r="S542" i="13" s="1"/>
  <c r="V541" i="13"/>
  <c r="U541" i="13"/>
  <c r="R541" i="13"/>
  <c r="Q541" i="13"/>
  <c r="S541" i="13" s="1"/>
  <c r="V540" i="13"/>
  <c r="U540" i="13"/>
  <c r="R540" i="13"/>
  <c r="Q540" i="13"/>
  <c r="V539" i="13"/>
  <c r="U539" i="13"/>
  <c r="R539" i="13"/>
  <c r="Q539" i="13"/>
  <c r="V538" i="13"/>
  <c r="U538" i="13"/>
  <c r="R538" i="13"/>
  <c r="Q538" i="13"/>
  <c r="S538" i="13" s="1"/>
  <c r="V537" i="13"/>
  <c r="U537" i="13"/>
  <c r="R537" i="13"/>
  <c r="S537" i="13" s="1"/>
  <c r="Q537" i="13"/>
  <c r="V536" i="13"/>
  <c r="U536" i="13"/>
  <c r="R536" i="13"/>
  <c r="Q536" i="13"/>
  <c r="S536" i="13" s="1"/>
  <c r="V535" i="13"/>
  <c r="U535" i="13"/>
  <c r="R535" i="13"/>
  <c r="Q535" i="13"/>
  <c r="S535" i="13" s="1"/>
  <c r="V534" i="13"/>
  <c r="U534" i="13"/>
  <c r="S534" i="13"/>
  <c r="R534" i="13"/>
  <c r="Q534" i="13"/>
  <c r="V533" i="13"/>
  <c r="U533" i="13"/>
  <c r="R533" i="13"/>
  <c r="Q533" i="13"/>
  <c r="S533" i="13" s="1"/>
  <c r="V532" i="13"/>
  <c r="U532" i="13"/>
  <c r="R532" i="13"/>
  <c r="Q532" i="13"/>
  <c r="V531" i="13"/>
  <c r="U531" i="13"/>
  <c r="R531" i="13"/>
  <c r="Q531" i="13"/>
  <c r="V530" i="13"/>
  <c r="U530" i="13"/>
  <c r="R530" i="13"/>
  <c r="Q530" i="13"/>
  <c r="S530" i="13" s="1"/>
  <c r="V529" i="13"/>
  <c r="U529" i="13"/>
  <c r="R529" i="13"/>
  <c r="Q529" i="13"/>
  <c r="S529" i="13" s="1"/>
  <c r="V528" i="13"/>
  <c r="U528" i="13"/>
  <c r="R528" i="13"/>
  <c r="Q528" i="13"/>
  <c r="S528" i="13" s="1"/>
  <c r="V527" i="13"/>
  <c r="U527" i="13"/>
  <c r="R527" i="13"/>
  <c r="Q527" i="13"/>
  <c r="S527" i="13" s="1"/>
  <c r="V526" i="13"/>
  <c r="U526" i="13"/>
  <c r="R526" i="13"/>
  <c r="Q526" i="13"/>
  <c r="S526" i="13" s="1"/>
  <c r="V525" i="13"/>
  <c r="U525" i="13"/>
  <c r="R525" i="13"/>
  <c r="Q525" i="13"/>
  <c r="S525" i="13" s="1"/>
  <c r="V524" i="13"/>
  <c r="U524" i="13"/>
  <c r="R524" i="13"/>
  <c r="Q524" i="13"/>
  <c r="S524" i="13" s="1"/>
  <c r="V523" i="13"/>
  <c r="U523" i="13"/>
  <c r="R523" i="13"/>
  <c r="Q523" i="13"/>
  <c r="S523" i="13" s="1"/>
  <c r="V522" i="13"/>
  <c r="U522" i="13"/>
  <c r="R522" i="13"/>
  <c r="Q522" i="13"/>
  <c r="S522" i="13" s="1"/>
  <c r="V521" i="13"/>
  <c r="U521" i="13"/>
  <c r="R521" i="13"/>
  <c r="Q521" i="13"/>
  <c r="V520" i="13"/>
  <c r="U520" i="13"/>
  <c r="R520" i="13"/>
  <c r="Q520" i="13"/>
  <c r="S520" i="13" s="1"/>
  <c r="V519" i="13"/>
  <c r="U519" i="13"/>
  <c r="R519" i="13"/>
  <c r="Q519" i="13"/>
  <c r="V518" i="13"/>
  <c r="U518" i="13"/>
  <c r="R518" i="13"/>
  <c r="Q518" i="13"/>
  <c r="V517" i="13"/>
  <c r="U517" i="13"/>
  <c r="R517" i="13"/>
  <c r="Q517" i="13"/>
  <c r="S517" i="13" s="1"/>
  <c r="V516" i="13"/>
  <c r="U516" i="13"/>
  <c r="R516" i="13"/>
  <c r="Q516" i="13"/>
  <c r="V515" i="13"/>
  <c r="U515" i="13"/>
  <c r="R515" i="13"/>
  <c r="S515" i="13" s="1"/>
  <c r="Q515" i="13"/>
  <c r="V514" i="13"/>
  <c r="U514" i="13"/>
  <c r="R514" i="13"/>
  <c r="Q514" i="13"/>
  <c r="S514" i="13" s="1"/>
  <c r="V513" i="13"/>
  <c r="U513" i="13"/>
  <c r="R513" i="13"/>
  <c r="Q513" i="13"/>
  <c r="S513" i="13" s="1"/>
  <c r="V512" i="13"/>
  <c r="U512" i="13"/>
  <c r="R512" i="13"/>
  <c r="Q512" i="13"/>
  <c r="V511" i="13"/>
  <c r="U511" i="13"/>
  <c r="R511" i="13"/>
  <c r="Q511" i="13"/>
  <c r="S511" i="13" s="1"/>
  <c r="V510" i="13"/>
  <c r="U510" i="13"/>
  <c r="R510" i="13"/>
  <c r="Q510" i="13"/>
  <c r="S510" i="13" s="1"/>
  <c r="V509" i="13"/>
  <c r="U509" i="13"/>
  <c r="R509" i="13"/>
  <c r="Q509" i="13"/>
  <c r="V508" i="13"/>
  <c r="U508" i="13"/>
  <c r="R508" i="13"/>
  <c r="Q508" i="13"/>
  <c r="S508" i="13" s="1"/>
  <c r="V507" i="13"/>
  <c r="U507" i="13"/>
  <c r="S507" i="13"/>
  <c r="R507" i="13"/>
  <c r="Q507" i="13"/>
  <c r="V506" i="13"/>
  <c r="U506" i="13"/>
  <c r="R506" i="13"/>
  <c r="Q506" i="13"/>
  <c r="V505" i="13"/>
  <c r="U505" i="13"/>
  <c r="R505" i="13"/>
  <c r="Q505" i="13"/>
  <c r="S505" i="13" s="1"/>
  <c r="V504" i="13"/>
  <c r="U504" i="13"/>
  <c r="R504" i="13"/>
  <c r="Q504" i="13"/>
  <c r="S504" i="13" s="1"/>
  <c r="V503" i="13"/>
  <c r="U503" i="13"/>
  <c r="R503" i="13"/>
  <c r="Q503" i="13"/>
  <c r="S503" i="13" s="1"/>
  <c r="V502" i="13"/>
  <c r="U502" i="13"/>
  <c r="R502" i="13"/>
  <c r="Q502" i="13"/>
  <c r="S502" i="13" s="1"/>
  <c r="V501" i="13"/>
  <c r="U501" i="13"/>
  <c r="R501" i="13"/>
  <c r="Q501" i="13"/>
  <c r="S501" i="13" s="1"/>
  <c r="V500" i="13"/>
  <c r="U500" i="13"/>
  <c r="R500" i="13"/>
  <c r="Q500" i="13"/>
  <c r="S500" i="13" s="1"/>
  <c r="V499" i="13"/>
  <c r="U499" i="13"/>
  <c r="R499" i="13"/>
  <c r="S499" i="13" s="1"/>
  <c r="Q499" i="13"/>
  <c r="V498" i="13"/>
  <c r="U498" i="13"/>
  <c r="R498" i="13"/>
  <c r="Q498" i="13"/>
  <c r="S498" i="13" s="1"/>
  <c r="V497" i="13"/>
  <c r="U497" i="13"/>
  <c r="R497" i="13"/>
  <c r="Q497" i="13"/>
  <c r="S497" i="13" s="1"/>
  <c r="V496" i="13"/>
  <c r="U496" i="13"/>
  <c r="R496" i="13"/>
  <c r="S496" i="13" s="1"/>
  <c r="Q496" i="13"/>
  <c r="V495" i="13"/>
  <c r="U495" i="13"/>
  <c r="R495" i="13"/>
  <c r="Q495" i="13"/>
  <c r="V494" i="13"/>
  <c r="U494" i="13"/>
  <c r="R494" i="13"/>
  <c r="Q494" i="13"/>
  <c r="S494" i="13" s="1"/>
  <c r="V493" i="13"/>
  <c r="U493" i="13"/>
  <c r="S493" i="13"/>
  <c r="R493" i="13"/>
  <c r="Q493" i="13"/>
  <c r="V492" i="13"/>
  <c r="U492" i="13"/>
  <c r="R492" i="13"/>
  <c r="Q492" i="13"/>
  <c r="S492" i="13" s="1"/>
  <c r="V491" i="13"/>
  <c r="U491" i="13"/>
  <c r="R491" i="13"/>
  <c r="Q491" i="13"/>
  <c r="S491" i="13" s="1"/>
  <c r="V490" i="13"/>
  <c r="U490" i="13"/>
  <c r="R490" i="13"/>
  <c r="Q490" i="13"/>
  <c r="V489" i="13"/>
  <c r="U489" i="13"/>
  <c r="R489" i="13"/>
  <c r="Q489" i="13"/>
  <c r="S489" i="13" s="1"/>
  <c r="V488" i="13"/>
  <c r="U488" i="13"/>
  <c r="R488" i="13"/>
  <c r="Q488" i="13"/>
  <c r="S488" i="13" s="1"/>
  <c r="V487" i="13"/>
  <c r="U487" i="13"/>
  <c r="R487" i="13"/>
  <c r="Q487" i="13"/>
  <c r="V486" i="13"/>
  <c r="U486" i="13"/>
  <c r="R486" i="13"/>
  <c r="Q486" i="13"/>
  <c r="S486" i="13" s="1"/>
  <c r="V485" i="13"/>
  <c r="U485" i="13"/>
  <c r="R485" i="13"/>
  <c r="Q485" i="13"/>
  <c r="S485" i="13" s="1"/>
  <c r="V484" i="13"/>
  <c r="U484" i="13"/>
  <c r="R484" i="13"/>
  <c r="Q484" i="13"/>
  <c r="S484" i="13" s="1"/>
  <c r="V483" i="13"/>
  <c r="U483" i="13"/>
  <c r="R483" i="13"/>
  <c r="Q483" i="13"/>
  <c r="V482" i="13"/>
  <c r="U482" i="13"/>
  <c r="R482" i="13"/>
  <c r="Q482" i="13"/>
  <c r="S482" i="13" s="1"/>
  <c r="V481" i="13"/>
  <c r="U481" i="13"/>
  <c r="R481" i="13"/>
  <c r="Q481" i="13"/>
  <c r="V480" i="13"/>
  <c r="U480" i="13"/>
  <c r="R480" i="13"/>
  <c r="Q480" i="13"/>
  <c r="S480" i="13" s="1"/>
  <c r="V479" i="13"/>
  <c r="U479" i="13"/>
  <c r="R479" i="13"/>
  <c r="Q479" i="13"/>
  <c r="S479" i="13" s="1"/>
  <c r="V478" i="13"/>
  <c r="U478" i="13"/>
  <c r="R478" i="13"/>
  <c r="Q478" i="13"/>
  <c r="V477" i="13"/>
  <c r="U477" i="13"/>
  <c r="R477" i="13"/>
  <c r="Q477" i="13"/>
  <c r="S477" i="13" s="1"/>
  <c r="V476" i="13"/>
  <c r="U476" i="13"/>
  <c r="R476" i="13"/>
  <c r="Q476" i="13"/>
  <c r="S476" i="13" s="1"/>
  <c r="V475" i="13"/>
  <c r="U475" i="13"/>
  <c r="R475" i="13"/>
  <c r="Q475" i="13"/>
  <c r="S475" i="13" s="1"/>
  <c r="V474" i="13"/>
  <c r="U474" i="13"/>
  <c r="R474" i="13"/>
  <c r="Q474" i="13"/>
  <c r="V473" i="13"/>
  <c r="U473" i="13"/>
  <c r="R473" i="13"/>
  <c r="Q473" i="13"/>
  <c r="S473" i="13" s="1"/>
  <c r="V472" i="13"/>
  <c r="U472" i="13"/>
  <c r="R472" i="13"/>
  <c r="S472" i="13" s="1"/>
  <c r="Q472" i="13"/>
  <c r="V471" i="13"/>
  <c r="U471" i="13"/>
  <c r="R471" i="13"/>
  <c r="Q471" i="13"/>
  <c r="V470" i="13"/>
  <c r="U470" i="13"/>
  <c r="R470" i="13"/>
  <c r="Q470" i="13"/>
  <c r="V469" i="13"/>
  <c r="U469" i="13"/>
  <c r="R469" i="13"/>
  <c r="S469" i="13" s="1"/>
  <c r="Q469" i="13"/>
  <c r="V468" i="13"/>
  <c r="U468" i="13"/>
  <c r="R468" i="13"/>
  <c r="Q468" i="13"/>
  <c r="V467" i="13"/>
  <c r="U467" i="13"/>
  <c r="R467" i="13"/>
  <c r="Q467" i="13"/>
  <c r="S467" i="13" s="1"/>
  <c r="V466" i="13"/>
  <c r="U466" i="13"/>
  <c r="R466" i="13"/>
  <c r="Q466" i="13"/>
  <c r="V465" i="13"/>
  <c r="U465" i="13"/>
  <c r="R465" i="13"/>
  <c r="Q465" i="13"/>
  <c r="V464" i="13"/>
  <c r="U464" i="13"/>
  <c r="R464" i="13"/>
  <c r="Q464" i="13"/>
  <c r="S464" i="13" s="1"/>
  <c r="V463" i="13"/>
  <c r="U463" i="13"/>
  <c r="R463" i="13"/>
  <c r="Q463" i="13"/>
  <c r="V462" i="13"/>
  <c r="U462" i="13"/>
  <c r="R462" i="13"/>
  <c r="Q462" i="13"/>
  <c r="S462" i="13" s="1"/>
  <c r="V461" i="13"/>
  <c r="U461" i="13"/>
  <c r="R461" i="13"/>
  <c r="Q461" i="13"/>
  <c r="S461" i="13" s="1"/>
  <c r="V460" i="13"/>
  <c r="U460" i="13"/>
  <c r="R460" i="13"/>
  <c r="Q460" i="13"/>
  <c r="V459" i="13"/>
  <c r="U459" i="13"/>
  <c r="R459" i="13"/>
  <c r="Q459" i="13"/>
  <c r="S459" i="13" s="1"/>
  <c r="V458" i="13"/>
  <c r="U458" i="13"/>
  <c r="R458" i="13"/>
  <c r="Q458" i="13"/>
  <c r="V457" i="13"/>
  <c r="U457" i="13"/>
  <c r="R457" i="13"/>
  <c r="Q457" i="13"/>
  <c r="S457" i="13" s="1"/>
  <c r="V456" i="13"/>
  <c r="U456" i="13"/>
  <c r="R456" i="13"/>
  <c r="Q456" i="13"/>
  <c r="S456" i="13" s="1"/>
  <c r="V455" i="13"/>
  <c r="U455" i="13"/>
  <c r="R455" i="13"/>
  <c r="Q455" i="13"/>
  <c r="V454" i="13"/>
  <c r="U454" i="13"/>
  <c r="R454" i="13"/>
  <c r="Q454" i="13"/>
  <c r="S454" i="13" s="1"/>
  <c r="V453" i="13"/>
  <c r="U453" i="13"/>
  <c r="R453" i="13"/>
  <c r="Q453" i="13"/>
  <c r="S453" i="13" s="1"/>
  <c r="V452" i="13"/>
  <c r="U452" i="13"/>
  <c r="S452" i="13"/>
  <c r="R452" i="13"/>
  <c r="Q452" i="13"/>
  <c r="V451" i="13"/>
  <c r="U451" i="13"/>
  <c r="R451" i="13"/>
  <c r="Q451" i="13"/>
  <c r="V450" i="13"/>
  <c r="U450" i="13"/>
  <c r="R450" i="13"/>
  <c r="Q450" i="13"/>
  <c r="S450" i="13" s="1"/>
  <c r="V449" i="13"/>
  <c r="U449" i="13"/>
  <c r="S449" i="13"/>
  <c r="R449" i="13"/>
  <c r="Q449" i="13"/>
  <c r="V448" i="13"/>
  <c r="U448" i="13"/>
  <c r="R448" i="13"/>
  <c r="Q448" i="13"/>
  <c r="S448" i="13" s="1"/>
  <c r="V447" i="13"/>
  <c r="U447" i="13"/>
  <c r="R447" i="13"/>
  <c r="Q447" i="13"/>
  <c r="S447" i="13" s="1"/>
  <c r="V446" i="13"/>
  <c r="U446" i="13"/>
  <c r="R446" i="13"/>
  <c r="Q446" i="13"/>
  <c r="V445" i="13"/>
  <c r="U445" i="13"/>
  <c r="R445" i="13"/>
  <c r="Q445" i="13"/>
  <c r="S445" i="13" s="1"/>
  <c r="V444" i="13"/>
  <c r="U444" i="13"/>
  <c r="R444" i="13"/>
  <c r="Q444" i="13"/>
  <c r="S444" i="13" s="1"/>
  <c r="V443" i="13"/>
  <c r="U443" i="13"/>
  <c r="R443" i="13"/>
  <c r="Q443" i="13"/>
  <c r="V442" i="13"/>
  <c r="U442" i="13"/>
  <c r="R442" i="13"/>
  <c r="Q442" i="13"/>
  <c r="S442" i="13" s="1"/>
  <c r="V441" i="13"/>
  <c r="U441" i="13"/>
  <c r="R441" i="13"/>
  <c r="Q441" i="13"/>
  <c r="S441" i="13" s="1"/>
  <c r="V440" i="13"/>
  <c r="U440" i="13"/>
  <c r="R440" i="13"/>
  <c r="Q440" i="13"/>
  <c r="V439" i="13"/>
  <c r="U439" i="13"/>
  <c r="R439" i="13"/>
  <c r="Q439" i="13"/>
  <c r="V438" i="13"/>
  <c r="U438" i="13"/>
  <c r="R438" i="13"/>
  <c r="Q438" i="13"/>
  <c r="S438" i="13" s="1"/>
  <c r="V437" i="13"/>
  <c r="U437" i="13"/>
  <c r="R437" i="13"/>
  <c r="Q437" i="13"/>
  <c r="S437" i="13" s="1"/>
  <c r="V436" i="13"/>
  <c r="U436" i="13"/>
  <c r="R436" i="13"/>
  <c r="Q436" i="13"/>
  <c r="S436" i="13" s="1"/>
  <c r="V435" i="13"/>
  <c r="U435" i="13"/>
  <c r="R435" i="13"/>
  <c r="Q435" i="13"/>
  <c r="S435" i="13" s="1"/>
  <c r="V434" i="13"/>
  <c r="U434" i="13"/>
  <c r="R434" i="13"/>
  <c r="Q434" i="13"/>
  <c r="V433" i="13"/>
  <c r="U433" i="13"/>
  <c r="R433" i="13"/>
  <c r="Q433" i="13"/>
  <c r="V432" i="13"/>
  <c r="U432" i="13"/>
  <c r="R432" i="13"/>
  <c r="Q432" i="13"/>
  <c r="S432" i="13" s="1"/>
  <c r="V431" i="13"/>
  <c r="U431" i="13"/>
  <c r="R431" i="13"/>
  <c r="Q431" i="13"/>
  <c r="V430" i="13"/>
  <c r="U430" i="13"/>
  <c r="R430" i="13"/>
  <c r="Q430" i="13"/>
  <c r="S430" i="13" s="1"/>
  <c r="V429" i="13"/>
  <c r="U429" i="13"/>
  <c r="R429" i="13"/>
  <c r="Q429" i="13"/>
  <c r="V428" i="13"/>
  <c r="U428" i="13"/>
  <c r="R428" i="13"/>
  <c r="Q428" i="13"/>
  <c r="V427" i="13"/>
  <c r="U427" i="13"/>
  <c r="R427" i="13"/>
  <c r="Q427" i="13"/>
  <c r="S427" i="13" s="1"/>
  <c r="V426" i="13"/>
  <c r="U426" i="13"/>
  <c r="R426" i="13"/>
  <c r="Q426" i="13"/>
  <c r="S426" i="13" s="1"/>
  <c r="V425" i="13"/>
  <c r="U425" i="13"/>
  <c r="R425" i="13"/>
  <c r="Q425" i="13"/>
  <c r="S425" i="13" s="1"/>
  <c r="V424" i="13"/>
  <c r="U424" i="13"/>
  <c r="R424" i="13"/>
  <c r="Q424" i="13"/>
  <c r="S424" i="13" s="1"/>
  <c r="V423" i="13"/>
  <c r="U423" i="13"/>
  <c r="R423" i="13"/>
  <c r="Q423" i="13"/>
  <c r="S423" i="13" s="1"/>
  <c r="V422" i="13"/>
  <c r="U422" i="13"/>
  <c r="R422" i="13"/>
  <c r="Q422" i="13"/>
  <c r="S422" i="13" s="1"/>
  <c r="V421" i="13"/>
  <c r="U421" i="13"/>
  <c r="R421" i="13"/>
  <c r="Q421" i="13"/>
  <c r="S421" i="13" s="1"/>
  <c r="V420" i="13"/>
  <c r="U420" i="13"/>
  <c r="R420" i="13"/>
  <c r="Q420" i="13"/>
  <c r="V419" i="13"/>
  <c r="U419" i="13"/>
  <c r="R419" i="13"/>
  <c r="Q419" i="13"/>
  <c r="V418" i="13"/>
  <c r="U418" i="13"/>
  <c r="R418" i="13"/>
  <c r="Q418" i="13"/>
  <c r="S418" i="13" s="1"/>
  <c r="V417" i="13"/>
  <c r="U417" i="13"/>
  <c r="R417" i="13"/>
  <c r="Q417" i="13"/>
  <c r="V416" i="13"/>
  <c r="U416" i="13"/>
  <c r="R416" i="13"/>
  <c r="Q416" i="13"/>
  <c r="S416" i="13" s="1"/>
  <c r="V415" i="13"/>
  <c r="U415" i="13"/>
  <c r="R415" i="13"/>
  <c r="Q415" i="13"/>
  <c r="S415" i="13" s="1"/>
  <c r="V414" i="13"/>
  <c r="U414" i="13"/>
  <c r="R414" i="13"/>
  <c r="Q414" i="13"/>
  <c r="V413" i="13"/>
  <c r="U413" i="13"/>
  <c r="R413" i="13"/>
  <c r="Q413" i="13"/>
  <c r="S413" i="13" s="1"/>
  <c r="V412" i="13"/>
  <c r="U412" i="13"/>
  <c r="R412" i="13"/>
  <c r="Q412" i="13"/>
  <c r="S412" i="13" s="1"/>
  <c r="V411" i="13"/>
  <c r="U411" i="13"/>
  <c r="R411" i="13"/>
  <c r="Q411" i="13"/>
  <c r="V410" i="13"/>
  <c r="U410" i="13"/>
  <c r="R410" i="13"/>
  <c r="Q410" i="13"/>
  <c r="S410" i="13" s="1"/>
  <c r="V409" i="13"/>
  <c r="U409" i="13"/>
  <c r="R409" i="13"/>
  <c r="Q409" i="13"/>
  <c r="S409" i="13" s="1"/>
  <c r="V408" i="13"/>
  <c r="U408" i="13"/>
  <c r="R408" i="13"/>
  <c r="Q408" i="13"/>
  <c r="V407" i="13"/>
  <c r="U407" i="13"/>
  <c r="R407" i="13"/>
  <c r="Q407" i="13"/>
  <c r="V406" i="13"/>
  <c r="U406" i="13"/>
  <c r="R406" i="13"/>
  <c r="Q406" i="13"/>
  <c r="S406" i="13" s="1"/>
  <c r="V405" i="13"/>
  <c r="U405" i="13"/>
  <c r="R405" i="13"/>
  <c r="Q405" i="13"/>
  <c r="V404" i="13"/>
  <c r="U404" i="13"/>
  <c r="R404" i="13"/>
  <c r="Q404" i="13"/>
  <c r="V403" i="13"/>
  <c r="U403" i="13"/>
  <c r="R403" i="13"/>
  <c r="Q403" i="13"/>
  <c r="S403" i="13" s="1"/>
  <c r="V402" i="13"/>
  <c r="U402" i="13"/>
  <c r="R402" i="13"/>
  <c r="Q402" i="13"/>
  <c r="S402" i="13" s="1"/>
  <c r="V401" i="13"/>
  <c r="U401" i="13"/>
  <c r="R401" i="13"/>
  <c r="Q401" i="13"/>
  <c r="V400" i="13"/>
  <c r="U400" i="13"/>
  <c r="R400" i="13"/>
  <c r="Q400" i="13"/>
  <c r="S400" i="13" s="1"/>
  <c r="V399" i="13"/>
  <c r="U399" i="13"/>
  <c r="R399" i="13"/>
  <c r="Q399" i="13"/>
  <c r="S399" i="13" s="1"/>
  <c r="V398" i="13"/>
  <c r="U398" i="13"/>
  <c r="R398" i="13"/>
  <c r="Q398" i="13"/>
  <c r="V397" i="13"/>
  <c r="U397" i="13"/>
  <c r="R397" i="13"/>
  <c r="Q397" i="13"/>
  <c r="S397" i="13" s="1"/>
  <c r="V396" i="13"/>
  <c r="U396" i="13"/>
  <c r="R396" i="13"/>
  <c r="Q396" i="13"/>
  <c r="V395" i="13"/>
  <c r="U395" i="13"/>
  <c r="R395" i="13"/>
  <c r="Q395" i="13"/>
  <c r="V394" i="13"/>
  <c r="U394" i="13"/>
  <c r="R394" i="13"/>
  <c r="Q394" i="13"/>
  <c r="S394" i="13" s="1"/>
  <c r="V393" i="13"/>
  <c r="U393" i="13"/>
  <c r="R393" i="13"/>
  <c r="Q393" i="13"/>
  <c r="S393" i="13" s="1"/>
  <c r="V392" i="13"/>
  <c r="U392" i="13"/>
  <c r="R392" i="13"/>
  <c r="Q392" i="13"/>
  <c r="V391" i="13"/>
  <c r="U391" i="13"/>
  <c r="R391" i="13"/>
  <c r="Q391" i="13"/>
  <c r="V390" i="13"/>
  <c r="U390" i="13"/>
  <c r="R390" i="13"/>
  <c r="Q390" i="13"/>
  <c r="V389" i="13"/>
  <c r="U389" i="13"/>
  <c r="R389" i="13"/>
  <c r="Q389" i="13"/>
  <c r="V388" i="13"/>
  <c r="U388" i="13"/>
  <c r="R388" i="13"/>
  <c r="Q388" i="13"/>
  <c r="V387" i="13"/>
  <c r="U387" i="13"/>
  <c r="R387" i="13"/>
  <c r="Q387" i="13"/>
  <c r="S387" i="13" s="1"/>
  <c r="V386" i="13"/>
  <c r="U386" i="13"/>
  <c r="R386" i="13"/>
  <c r="Q386" i="13"/>
  <c r="S386" i="13" s="1"/>
  <c r="V385" i="13"/>
  <c r="U385" i="13"/>
  <c r="R385" i="13"/>
  <c r="Q385" i="13"/>
  <c r="V384" i="13"/>
  <c r="U384" i="13"/>
  <c r="R384" i="13"/>
  <c r="Q384" i="13"/>
  <c r="V383" i="13"/>
  <c r="U383" i="13"/>
  <c r="R383" i="13"/>
  <c r="Q383" i="13"/>
  <c r="S383" i="13" s="1"/>
  <c r="V382" i="13"/>
  <c r="U382" i="13"/>
  <c r="R382" i="13"/>
  <c r="Q382" i="13"/>
  <c r="S382" i="13" s="1"/>
  <c r="V381" i="13"/>
  <c r="U381" i="13"/>
  <c r="R381" i="13"/>
  <c r="Q381" i="13"/>
  <c r="V380" i="13"/>
  <c r="U380" i="13"/>
  <c r="R380" i="13"/>
  <c r="Q380" i="13"/>
  <c r="S380" i="13" s="1"/>
  <c r="V379" i="13"/>
  <c r="U379" i="13"/>
  <c r="R379" i="13"/>
  <c r="Q379" i="13"/>
  <c r="V378" i="13"/>
  <c r="U378" i="13"/>
  <c r="S378" i="13"/>
  <c r="R378" i="13"/>
  <c r="Q378" i="13"/>
  <c r="V377" i="13"/>
  <c r="U377" i="13"/>
  <c r="R377" i="13"/>
  <c r="Q377" i="13"/>
  <c r="S377" i="13" s="1"/>
  <c r="V376" i="13"/>
  <c r="U376" i="13"/>
  <c r="R376" i="13"/>
  <c r="Q376" i="13"/>
  <c r="V375" i="13"/>
  <c r="U375" i="13"/>
  <c r="R375" i="13"/>
  <c r="Q375" i="13"/>
  <c r="V374" i="13"/>
  <c r="U374" i="13"/>
  <c r="R374" i="13"/>
  <c r="Q374" i="13"/>
  <c r="S374" i="13" s="1"/>
  <c r="V373" i="13"/>
  <c r="U373" i="13"/>
  <c r="R373" i="13"/>
  <c r="Q373" i="13"/>
  <c r="V372" i="13"/>
  <c r="U372" i="13"/>
  <c r="R372" i="13"/>
  <c r="Q372" i="13"/>
  <c r="V371" i="13"/>
  <c r="U371" i="13"/>
  <c r="R371" i="13"/>
  <c r="Q371" i="13"/>
  <c r="V370" i="13"/>
  <c r="U370" i="13"/>
  <c r="R370" i="13"/>
  <c r="Q370" i="13"/>
  <c r="S370" i="13" s="1"/>
  <c r="V369" i="13"/>
  <c r="U369" i="13"/>
  <c r="R369" i="13"/>
  <c r="Q369" i="13"/>
  <c r="S369" i="13" s="1"/>
  <c r="V368" i="13"/>
  <c r="U368" i="13"/>
  <c r="R368" i="13"/>
  <c r="Q368" i="13"/>
  <c r="S368" i="13" s="1"/>
  <c r="V367" i="13"/>
  <c r="U367" i="13"/>
  <c r="R367" i="13"/>
  <c r="Q367" i="13"/>
  <c r="S367" i="13" s="1"/>
  <c r="V366" i="13"/>
  <c r="U366" i="13"/>
  <c r="R366" i="13"/>
  <c r="Q366" i="13"/>
  <c r="S366" i="13" s="1"/>
  <c r="V365" i="13"/>
  <c r="U365" i="13"/>
  <c r="R365" i="13"/>
  <c r="Q365" i="13"/>
  <c r="V364" i="13"/>
  <c r="U364" i="13"/>
  <c r="R364" i="13"/>
  <c r="Q364" i="13"/>
  <c r="S364" i="13" s="1"/>
  <c r="V363" i="13"/>
  <c r="U363" i="13"/>
  <c r="R363" i="13"/>
  <c r="Q363" i="13"/>
  <c r="V362" i="13"/>
  <c r="U362" i="13"/>
  <c r="R362" i="13"/>
  <c r="Q362" i="13"/>
  <c r="S362" i="13" s="1"/>
  <c r="V361" i="13"/>
  <c r="U361" i="13"/>
  <c r="R361" i="13"/>
  <c r="Q361" i="13"/>
  <c r="V360" i="13"/>
  <c r="U360" i="13"/>
  <c r="R360" i="13"/>
  <c r="Q360" i="13"/>
  <c r="S360" i="13" s="1"/>
  <c r="V359" i="13"/>
  <c r="U359" i="13"/>
  <c r="R359" i="13"/>
  <c r="Q359" i="13"/>
  <c r="V358" i="13"/>
  <c r="U358" i="13"/>
  <c r="R358" i="13"/>
  <c r="Q358" i="13"/>
  <c r="V357" i="13"/>
  <c r="U357" i="13"/>
  <c r="R357" i="13"/>
  <c r="Q357" i="13"/>
  <c r="S357" i="13" s="1"/>
  <c r="V356" i="13"/>
  <c r="U356" i="13"/>
  <c r="R356" i="13"/>
  <c r="Q356" i="13"/>
  <c r="S356" i="13" s="1"/>
  <c r="V355" i="13"/>
  <c r="U355" i="13"/>
  <c r="R355" i="13"/>
  <c r="Q355" i="13"/>
  <c r="V354" i="13"/>
  <c r="U354" i="13"/>
  <c r="R354" i="13"/>
  <c r="Q354" i="13"/>
  <c r="S354" i="13" s="1"/>
  <c r="V353" i="13"/>
  <c r="U353" i="13"/>
  <c r="R353" i="13"/>
  <c r="Q353" i="13"/>
  <c r="S353" i="13" s="1"/>
  <c r="V352" i="13"/>
  <c r="U352" i="13"/>
  <c r="R352" i="13"/>
  <c r="Q352" i="13"/>
  <c r="V351" i="13"/>
  <c r="U351" i="13"/>
  <c r="R351" i="13"/>
  <c r="S351" i="13" s="1"/>
  <c r="Q351" i="13"/>
  <c r="V350" i="13"/>
  <c r="U350" i="13"/>
  <c r="R350" i="13"/>
  <c r="Q350" i="13"/>
  <c r="S350" i="13" s="1"/>
  <c r="V349" i="13"/>
  <c r="U349" i="13"/>
  <c r="R349" i="13"/>
  <c r="Q349" i="13"/>
  <c r="S349" i="13" s="1"/>
  <c r="V348" i="13"/>
  <c r="U348" i="13"/>
  <c r="S348" i="13"/>
  <c r="R348" i="13"/>
  <c r="Q348" i="13"/>
  <c r="V347" i="13"/>
  <c r="U347" i="13"/>
  <c r="R347" i="13"/>
  <c r="Q347" i="13"/>
  <c r="S347" i="13" s="1"/>
  <c r="V346" i="13"/>
  <c r="U346" i="13"/>
  <c r="R346" i="13"/>
  <c r="Q346" i="13"/>
  <c r="S346" i="13" s="1"/>
  <c r="V345" i="13"/>
  <c r="U345" i="13"/>
  <c r="R345" i="13"/>
  <c r="Q345" i="13"/>
  <c r="S345" i="13" s="1"/>
  <c r="V344" i="13"/>
  <c r="U344" i="13"/>
  <c r="R344" i="13"/>
  <c r="Q344" i="13"/>
  <c r="S344" i="13" s="1"/>
  <c r="V343" i="13"/>
  <c r="U343" i="13"/>
  <c r="R343" i="13"/>
  <c r="Q343" i="13"/>
  <c r="S343" i="13" s="1"/>
  <c r="V342" i="13"/>
  <c r="U342" i="13"/>
  <c r="R342" i="13"/>
  <c r="Q342" i="13"/>
  <c r="S342" i="13" s="1"/>
  <c r="V341" i="13"/>
  <c r="U341" i="13"/>
  <c r="R341" i="13"/>
  <c r="Q341" i="13"/>
  <c r="S341" i="13" s="1"/>
  <c r="V340" i="13"/>
  <c r="U340" i="13"/>
  <c r="R340" i="13"/>
  <c r="Q340" i="13"/>
  <c r="S340" i="13" s="1"/>
  <c r="V339" i="13"/>
  <c r="U339" i="13"/>
  <c r="R339" i="13"/>
  <c r="Q339" i="13"/>
  <c r="S339" i="13" s="1"/>
  <c r="V338" i="13"/>
  <c r="U338" i="13"/>
  <c r="R338" i="13"/>
  <c r="Q338" i="13"/>
  <c r="S338" i="13" s="1"/>
  <c r="V337" i="13"/>
  <c r="U337" i="13"/>
  <c r="R337" i="13"/>
  <c r="Q337" i="13"/>
  <c r="V336" i="13"/>
  <c r="U336" i="13"/>
  <c r="R336" i="13"/>
  <c r="Q336" i="13"/>
  <c r="V335" i="13"/>
  <c r="U335" i="13"/>
  <c r="R335" i="13"/>
  <c r="Q335" i="13"/>
  <c r="S335" i="13" s="1"/>
  <c r="V334" i="13"/>
  <c r="U334" i="13"/>
  <c r="R334" i="13"/>
  <c r="Q334" i="13"/>
  <c r="V333" i="13"/>
  <c r="U333" i="13"/>
  <c r="R333" i="13"/>
  <c r="Q333" i="13"/>
  <c r="S333" i="13" s="1"/>
  <c r="V332" i="13"/>
  <c r="U332" i="13"/>
  <c r="R332" i="13"/>
  <c r="Q332" i="13"/>
  <c r="S332" i="13" s="1"/>
  <c r="V331" i="13"/>
  <c r="U331" i="13"/>
  <c r="R331" i="13"/>
  <c r="Q331" i="13"/>
  <c r="V330" i="13"/>
  <c r="U330" i="13"/>
  <c r="R330" i="13"/>
  <c r="Q330" i="13"/>
  <c r="S330" i="13" s="1"/>
  <c r="V329" i="13"/>
  <c r="U329" i="13"/>
  <c r="R329" i="13"/>
  <c r="Q329" i="13"/>
  <c r="S329" i="13" s="1"/>
  <c r="V328" i="13"/>
  <c r="U328" i="13"/>
  <c r="R328" i="13"/>
  <c r="S328" i="13" s="1"/>
  <c r="Q328" i="13"/>
  <c r="V327" i="13"/>
  <c r="U327" i="13"/>
  <c r="R327" i="13"/>
  <c r="Q327" i="13"/>
  <c r="V326" i="13"/>
  <c r="U326" i="13"/>
  <c r="R326" i="13"/>
  <c r="Q326" i="13"/>
  <c r="V325" i="13"/>
  <c r="U325" i="13"/>
  <c r="R325" i="13"/>
  <c r="Q325" i="13"/>
  <c r="V324" i="13"/>
  <c r="U324" i="13"/>
  <c r="R324" i="13"/>
  <c r="Q324" i="13"/>
  <c r="S324" i="13" s="1"/>
  <c r="V323" i="13"/>
  <c r="U323" i="13"/>
  <c r="R323" i="13"/>
  <c r="Q323" i="13"/>
  <c r="V322" i="13"/>
  <c r="U322" i="13"/>
  <c r="R322" i="13"/>
  <c r="Q322" i="13"/>
  <c r="S322" i="13" s="1"/>
  <c r="V321" i="13"/>
  <c r="U321" i="13"/>
  <c r="R321" i="13"/>
  <c r="Q321" i="13"/>
  <c r="S321" i="13" s="1"/>
  <c r="V320" i="13"/>
  <c r="U320" i="13"/>
  <c r="S320" i="13"/>
  <c r="R320" i="13"/>
  <c r="Q320" i="13"/>
  <c r="V319" i="13"/>
  <c r="U319" i="13"/>
  <c r="R319" i="13"/>
  <c r="Q319" i="13"/>
  <c r="V318" i="13"/>
  <c r="U318" i="13"/>
  <c r="R318" i="13"/>
  <c r="Q318" i="13"/>
  <c r="S318" i="13" s="1"/>
  <c r="V317" i="13"/>
  <c r="U317" i="13"/>
  <c r="R317" i="13"/>
  <c r="Q317" i="13"/>
  <c r="V316" i="13"/>
  <c r="U316" i="13"/>
  <c r="R316" i="13"/>
  <c r="Q316" i="13"/>
  <c r="S316" i="13" s="1"/>
  <c r="V315" i="13"/>
  <c r="U315" i="13"/>
  <c r="R315" i="13"/>
  <c r="Q315" i="13"/>
  <c r="S315" i="13" s="1"/>
  <c r="V314" i="13"/>
  <c r="U314" i="13"/>
  <c r="R314" i="13"/>
  <c r="S314" i="13" s="1"/>
  <c r="Q314" i="13"/>
  <c r="V313" i="13"/>
  <c r="U313" i="13"/>
  <c r="R313" i="13"/>
  <c r="Q313" i="13"/>
  <c r="S313" i="13" s="1"/>
  <c r="V312" i="13"/>
  <c r="U312" i="13"/>
  <c r="R312" i="13"/>
  <c r="Q312" i="13"/>
  <c r="V311" i="13"/>
  <c r="U311" i="13"/>
  <c r="R311" i="13"/>
  <c r="Q311" i="13"/>
  <c r="V310" i="13"/>
  <c r="U310" i="13"/>
  <c r="R310" i="13"/>
  <c r="Q310" i="13"/>
  <c r="S310" i="13" s="1"/>
  <c r="V309" i="13"/>
  <c r="U309" i="13"/>
  <c r="R309" i="13"/>
  <c r="Q309" i="13"/>
  <c r="V308" i="13"/>
  <c r="U308" i="13"/>
  <c r="R308" i="13"/>
  <c r="Q308" i="13"/>
  <c r="V307" i="13"/>
  <c r="U307" i="13"/>
  <c r="R307" i="13"/>
  <c r="Q307" i="13"/>
  <c r="S307" i="13" s="1"/>
  <c r="V306" i="13"/>
  <c r="U306" i="13"/>
  <c r="R306" i="13"/>
  <c r="S306" i="13" s="1"/>
  <c r="Q306" i="13"/>
  <c r="V305" i="13"/>
  <c r="U305" i="13"/>
  <c r="R305" i="13"/>
  <c r="Q305" i="13"/>
  <c r="S305" i="13" s="1"/>
  <c r="V304" i="13"/>
  <c r="U304" i="13"/>
  <c r="R304" i="13"/>
  <c r="Q304" i="13"/>
  <c r="S304" i="13" s="1"/>
  <c r="V303" i="13"/>
  <c r="U303" i="13"/>
  <c r="R303" i="13"/>
  <c r="Q303" i="13"/>
  <c r="V302" i="13"/>
  <c r="U302" i="13"/>
  <c r="R302" i="13"/>
  <c r="Q302" i="13"/>
  <c r="S302" i="13" s="1"/>
  <c r="V301" i="13"/>
  <c r="U301" i="13"/>
  <c r="R301" i="13"/>
  <c r="Q301" i="13"/>
  <c r="S301" i="13" s="1"/>
  <c r="V300" i="13"/>
  <c r="U300" i="13"/>
  <c r="R300" i="13"/>
  <c r="Q300" i="13"/>
  <c r="S300" i="13" s="1"/>
  <c r="V299" i="13"/>
  <c r="U299" i="13"/>
  <c r="R299" i="13"/>
  <c r="Q299" i="13"/>
  <c r="S299" i="13" s="1"/>
  <c r="V298" i="13"/>
  <c r="U298" i="13"/>
  <c r="R298" i="13"/>
  <c r="Q298" i="13"/>
  <c r="V297" i="13"/>
  <c r="U297" i="13"/>
  <c r="R297" i="13"/>
  <c r="Q297" i="13"/>
  <c r="V296" i="13"/>
  <c r="U296" i="13"/>
  <c r="R296" i="13"/>
  <c r="Q296" i="13"/>
  <c r="S296" i="13" s="1"/>
  <c r="V295" i="13"/>
  <c r="U295" i="13"/>
  <c r="R295" i="13"/>
  <c r="Q295" i="13"/>
  <c r="V294" i="13"/>
  <c r="U294" i="13"/>
  <c r="R294" i="13"/>
  <c r="Q294" i="13"/>
  <c r="V293" i="13"/>
  <c r="U293" i="13"/>
  <c r="R293" i="13"/>
  <c r="Q293" i="13"/>
  <c r="S293" i="13" s="1"/>
  <c r="V292" i="13"/>
  <c r="U292" i="13"/>
  <c r="R292" i="13"/>
  <c r="Q292" i="13"/>
  <c r="S292" i="13" s="1"/>
  <c r="V291" i="13"/>
  <c r="U291" i="13"/>
  <c r="R291" i="13"/>
  <c r="Q291" i="13"/>
  <c r="V290" i="13"/>
  <c r="U290" i="13"/>
  <c r="R290" i="13"/>
  <c r="Q290" i="13"/>
  <c r="S290" i="13" s="1"/>
  <c r="V289" i="13"/>
  <c r="U289" i="13"/>
  <c r="R289" i="13"/>
  <c r="Q289" i="13"/>
  <c r="S289" i="13" s="1"/>
  <c r="V288" i="13"/>
  <c r="U288" i="13"/>
  <c r="R288" i="13"/>
  <c r="Q288" i="13"/>
  <c r="V287" i="13"/>
  <c r="U287" i="13"/>
  <c r="R287" i="13"/>
  <c r="Q287" i="13"/>
  <c r="V286" i="13"/>
  <c r="U286" i="13"/>
  <c r="R286" i="13"/>
  <c r="Q286" i="13"/>
  <c r="V285" i="13"/>
  <c r="U285" i="13"/>
  <c r="R285" i="13"/>
  <c r="Q285" i="13"/>
  <c r="V284" i="13"/>
  <c r="U284" i="13"/>
  <c r="R284" i="13"/>
  <c r="Q284" i="13"/>
  <c r="S284" i="13" s="1"/>
  <c r="V283" i="13"/>
  <c r="U283" i="13"/>
  <c r="R283" i="13"/>
  <c r="Q283" i="13"/>
  <c r="V282" i="13"/>
  <c r="U282" i="13"/>
  <c r="R282" i="13"/>
  <c r="Q282" i="13"/>
  <c r="S282" i="13" s="1"/>
  <c r="V281" i="13"/>
  <c r="U281" i="13"/>
  <c r="R281" i="13"/>
  <c r="Q281" i="13"/>
  <c r="S281" i="13" s="1"/>
  <c r="V280" i="13"/>
  <c r="U280" i="13"/>
  <c r="R280" i="13"/>
  <c r="Q280" i="13"/>
  <c r="V279" i="13"/>
  <c r="U279" i="13"/>
  <c r="R279" i="13"/>
  <c r="Q279" i="13"/>
  <c r="V278" i="13"/>
  <c r="U278" i="13"/>
  <c r="R278" i="13"/>
  <c r="Q278" i="13"/>
  <c r="S278" i="13" s="1"/>
  <c r="V277" i="13"/>
  <c r="U277" i="13"/>
  <c r="R277" i="13"/>
  <c r="Q277" i="13"/>
  <c r="V276" i="13"/>
  <c r="U276" i="13"/>
  <c r="R276" i="13"/>
  <c r="Q276" i="13"/>
  <c r="S276" i="13" s="1"/>
  <c r="V275" i="13"/>
  <c r="U275" i="13"/>
  <c r="R275" i="13"/>
  <c r="Q275" i="13"/>
  <c r="S275" i="13" s="1"/>
  <c r="V274" i="13"/>
  <c r="U274" i="13"/>
  <c r="R274" i="13"/>
  <c r="Q274" i="13"/>
  <c r="S274" i="13" s="1"/>
  <c r="V273" i="13"/>
  <c r="U273" i="13"/>
  <c r="R273" i="13"/>
  <c r="Q273" i="13"/>
  <c r="S273" i="13" s="1"/>
  <c r="V272" i="13"/>
  <c r="U272" i="13"/>
  <c r="R272" i="13"/>
  <c r="Q272" i="13"/>
  <c r="V271" i="13"/>
  <c r="U271" i="13"/>
  <c r="R271" i="13"/>
  <c r="Q271" i="13"/>
  <c r="V270" i="13"/>
  <c r="U270" i="13"/>
  <c r="R270" i="13"/>
  <c r="Q270" i="13"/>
  <c r="S270" i="13" s="1"/>
  <c r="V269" i="13"/>
  <c r="U269" i="13"/>
  <c r="R269" i="13"/>
  <c r="Q269" i="13"/>
  <c r="V268" i="13"/>
  <c r="U268" i="13"/>
  <c r="R268" i="13"/>
  <c r="Q268" i="13"/>
  <c r="S268" i="13" s="1"/>
  <c r="V267" i="13"/>
  <c r="U267" i="13"/>
  <c r="R267" i="13"/>
  <c r="Q267" i="13"/>
  <c r="S267" i="13" s="1"/>
  <c r="V266" i="13"/>
  <c r="U266" i="13"/>
  <c r="R266" i="13"/>
  <c r="Q266" i="13"/>
  <c r="V265" i="13"/>
  <c r="U265" i="13"/>
  <c r="R265" i="13"/>
  <c r="Q265" i="13"/>
  <c r="S265" i="13" s="1"/>
  <c r="V264" i="13"/>
  <c r="U264" i="13"/>
  <c r="R264" i="13"/>
  <c r="Q264" i="13"/>
  <c r="S264" i="13" s="1"/>
  <c r="V263" i="13"/>
  <c r="U263" i="13"/>
  <c r="R263" i="13"/>
  <c r="S263" i="13" s="1"/>
  <c r="Q263" i="13"/>
  <c r="V262" i="13"/>
  <c r="U262" i="13"/>
  <c r="R262" i="13"/>
  <c r="Q262" i="13"/>
  <c r="S262" i="13" s="1"/>
  <c r="V261" i="13"/>
  <c r="U261" i="13"/>
  <c r="R261" i="13"/>
  <c r="Q261" i="13"/>
  <c r="V260" i="13"/>
  <c r="U260" i="13"/>
  <c r="R260" i="13"/>
  <c r="Q260" i="13"/>
  <c r="V259" i="13"/>
  <c r="U259" i="13"/>
  <c r="R259" i="13"/>
  <c r="Q259" i="13"/>
  <c r="S259" i="13" s="1"/>
  <c r="V258" i="13"/>
  <c r="U258" i="13"/>
  <c r="R258" i="13"/>
  <c r="Q258" i="13"/>
  <c r="S258" i="13" s="1"/>
  <c r="V257" i="13"/>
  <c r="U257" i="13"/>
  <c r="R257" i="13"/>
  <c r="Q257" i="13"/>
  <c r="S257" i="13" s="1"/>
  <c r="V256" i="13"/>
  <c r="U256" i="13"/>
  <c r="R256" i="13"/>
  <c r="Q256" i="13"/>
  <c r="V255" i="13"/>
  <c r="U255" i="13"/>
  <c r="R255" i="13"/>
  <c r="Q255" i="13"/>
  <c r="S255" i="13" s="1"/>
  <c r="V254" i="13"/>
  <c r="U254" i="13"/>
  <c r="R254" i="13"/>
  <c r="Q254" i="13"/>
  <c r="S254" i="13" s="1"/>
  <c r="V253" i="13"/>
  <c r="U253" i="13"/>
  <c r="R253" i="13"/>
  <c r="Q253" i="13"/>
  <c r="S253" i="13" s="1"/>
  <c r="V252" i="13"/>
  <c r="U252" i="13"/>
  <c r="R252" i="13"/>
  <c r="Q252" i="13"/>
  <c r="S252" i="13" s="1"/>
  <c r="V251" i="13"/>
  <c r="U251" i="13"/>
  <c r="R251" i="13"/>
  <c r="Q251" i="13"/>
  <c r="V250" i="13"/>
  <c r="U250" i="13"/>
  <c r="R250" i="13"/>
  <c r="Q250" i="13"/>
  <c r="S250" i="13" s="1"/>
  <c r="V249" i="13"/>
  <c r="U249" i="13"/>
  <c r="R249" i="13"/>
  <c r="Q249" i="13"/>
  <c r="V248" i="13"/>
  <c r="U248" i="13"/>
  <c r="R248" i="13"/>
  <c r="Q248" i="13"/>
  <c r="S248" i="13" s="1"/>
  <c r="V247" i="13"/>
  <c r="U247" i="13"/>
  <c r="R247" i="13"/>
  <c r="S247" i="13" s="1"/>
  <c r="Q247" i="13"/>
  <c r="V246" i="13"/>
  <c r="U246" i="13"/>
  <c r="R246" i="13"/>
  <c r="Q246" i="13"/>
  <c r="V245" i="13"/>
  <c r="U245" i="13"/>
  <c r="R245" i="13"/>
  <c r="Q245" i="13"/>
  <c r="S245" i="13" s="1"/>
  <c r="V244" i="13"/>
  <c r="U244" i="13"/>
  <c r="R244" i="13"/>
  <c r="Q244" i="13"/>
  <c r="S244" i="13" s="1"/>
  <c r="V243" i="13"/>
  <c r="U243" i="13"/>
  <c r="R243" i="13"/>
  <c r="Q243" i="13"/>
  <c r="V242" i="13"/>
  <c r="U242" i="13"/>
  <c r="R242" i="13"/>
  <c r="Q242" i="13"/>
  <c r="S242" i="13" s="1"/>
  <c r="V241" i="13"/>
  <c r="U241" i="13"/>
  <c r="R241" i="13"/>
  <c r="Q241" i="13"/>
  <c r="S241" i="13" s="1"/>
  <c r="V240" i="13"/>
  <c r="U240" i="13"/>
  <c r="R240" i="13"/>
  <c r="Q240" i="13"/>
  <c r="V239" i="13"/>
  <c r="U239" i="13"/>
  <c r="R239" i="13"/>
  <c r="Q239" i="13"/>
  <c r="V238" i="13"/>
  <c r="U238" i="13"/>
  <c r="R238" i="13"/>
  <c r="Q238" i="13"/>
  <c r="V237" i="13"/>
  <c r="U237" i="13"/>
  <c r="R237" i="13"/>
  <c r="Q237" i="13"/>
  <c r="S237" i="13" s="1"/>
  <c r="V236" i="13"/>
  <c r="U236" i="13"/>
  <c r="S236" i="13"/>
  <c r="R236" i="13"/>
  <c r="Q236" i="13"/>
  <c r="V235" i="13"/>
  <c r="U235" i="13"/>
  <c r="R235" i="13"/>
  <c r="Q235" i="13"/>
  <c r="S235" i="13" s="1"/>
  <c r="V234" i="13"/>
  <c r="U234" i="13"/>
  <c r="R234" i="13"/>
  <c r="Q234" i="13"/>
  <c r="V233" i="13"/>
  <c r="U233" i="13"/>
  <c r="R233" i="13"/>
  <c r="Q233" i="13"/>
  <c r="V232" i="13"/>
  <c r="U232" i="13"/>
  <c r="R232" i="13"/>
  <c r="Q232" i="13"/>
  <c r="V231" i="13"/>
  <c r="U231" i="13"/>
  <c r="R231" i="13"/>
  <c r="S231" i="13" s="1"/>
  <c r="Q231" i="13"/>
  <c r="V230" i="13"/>
  <c r="U230" i="13"/>
  <c r="R230" i="13"/>
  <c r="Q230" i="13"/>
  <c r="V229" i="13"/>
  <c r="U229" i="13"/>
  <c r="R229" i="13"/>
  <c r="Q229" i="13"/>
  <c r="S229" i="13" s="1"/>
  <c r="V228" i="13"/>
  <c r="U228" i="13"/>
  <c r="R228" i="13"/>
  <c r="S228" i="13" s="1"/>
  <c r="Q228" i="13"/>
  <c r="V227" i="13"/>
  <c r="U227" i="13"/>
  <c r="R227" i="13"/>
  <c r="Q227" i="13"/>
  <c r="V226" i="13"/>
  <c r="U226" i="13"/>
  <c r="R226" i="13"/>
  <c r="Q226" i="13"/>
  <c r="S226" i="13" s="1"/>
  <c r="V225" i="13"/>
  <c r="U225" i="13"/>
  <c r="R225" i="13"/>
  <c r="Q225" i="13"/>
  <c r="S225" i="13" s="1"/>
  <c r="V224" i="13"/>
  <c r="U224" i="13"/>
  <c r="R224" i="13"/>
  <c r="Q224" i="13"/>
  <c r="V223" i="13"/>
  <c r="U223" i="13"/>
  <c r="R223" i="13"/>
  <c r="Q223" i="13"/>
  <c r="S223" i="13" s="1"/>
  <c r="V222" i="13"/>
  <c r="U222" i="13"/>
  <c r="R222" i="13"/>
  <c r="Q222" i="13"/>
  <c r="V221" i="13"/>
  <c r="U221" i="13"/>
  <c r="R221" i="13"/>
  <c r="Q221" i="13"/>
  <c r="V220" i="13"/>
  <c r="U220" i="13"/>
  <c r="R220" i="13"/>
  <c r="Q220" i="13"/>
  <c r="S220" i="13" s="1"/>
  <c r="V219" i="13"/>
  <c r="U219" i="13"/>
  <c r="R219" i="13"/>
  <c r="Q219" i="13"/>
  <c r="V218" i="13"/>
  <c r="U218" i="13"/>
  <c r="R218" i="13"/>
  <c r="Q218" i="13"/>
  <c r="S218" i="13" s="1"/>
  <c r="V217" i="13"/>
  <c r="U217" i="13"/>
  <c r="R217" i="13"/>
  <c r="Q217" i="13"/>
  <c r="S217" i="13" s="1"/>
  <c r="V216" i="13"/>
  <c r="U216" i="13"/>
  <c r="R216" i="13"/>
  <c r="Q216" i="13"/>
  <c r="V215" i="13"/>
  <c r="U215" i="13"/>
  <c r="R215" i="13"/>
  <c r="Q215" i="13"/>
  <c r="S215" i="13" s="1"/>
  <c r="V214" i="13"/>
  <c r="U214" i="13"/>
  <c r="R214" i="13"/>
  <c r="Q214" i="13"/>
  <c r="V213" i="13"/>
  <c r="U213" i="13"/>
  <c r="R213" i="13"/>
  <c r="Q213" i="13"/>
  <c r="S213" i="13" s="1"/>
  <c r="V212" i="13"/>
  <c r="U212" i="13"/>
  <c r="R212" i="13"/>
  <c r="Q212" i="13"/>
  <c r="S212" i="13" s="1"/>
  <c r="V211" i="13"/>
  <c r="U211" i="13"/>
  <c r="R211" i="13"/>
  <c r="Q211" i="13"/>
  <c r="S211" i="13" s="1"/>
  <c r="V210" i="13"/>
  <c r="U210" i="13"/>
  <c r="R210" i="13"/>
  <c r="Q210" i="13"/>
  <c r="S210" i="13" s="1"/>
  <c r="V209" i="13"/>
  <c r="U209" i="13"/>
  <c r="R209" i="13"/>
  <c r="Q209" i="13"/>
  <c r="V208" i="13"/>
  <c r="U208" i="13"/>
  <c r="R208" i="13"/>
  <c r="Q208" i="13"/>
  <c r="S208" i="13" s="1"/>
  <c r="V207" i="13"/>
  <c r="U207" i="13"/>
  <c r="R207" i="13"/>
  <c r="Q207" i="13"/>
  <c r="V206" i="13"/>
  <c r="U206" i="13"/>
  <c r="R206" i="13"/>
  <c r="Q206" i="13"/>
  <c r="V205" i="13"/>
  <c r="U205" i="13"/>
  <c r="R205" i="13"/>
  <c r="Q205" i="13"/>
  <c r="S205" i="13" s="1"/>
  <c r="V204" i="13"/>
  <c r="U204" i="13"/>
  <c r="R204" i="13"/>
  <c r="Q204" i="13"/>
  <c r="S204" i="13" s="1"/>
  <c r="V203" i="13"/>
  <c r="U203" i="13"/>
  <c r="R203" i="13"/>
  <c r="Q203" i="13"/>
  <c r="V202" i="13"/>
  <c r="U202" i="13"/>
  <c r="R202" i="13"/>
  <c r="Q202" i="13"/>
  <c r="V201" i="13"/>
  <c r="U201" i="13"/>
  <c r="R201" i="13"/>
  <c r="Q201" i="13"/>
  <c r="S201" i="13" s="1"/>
  <c r="V200" i="13"/>
  <c r="U200" i="13"/>
  <c r="R200" i="13"/>
  <c r="Q200" i="13"/>
  <c r="V199" i="13"/>
  <c r="U199" i="13"/>
  <c r="R199" i="13"/>
  <c r="Q199" i="13"/>
  <c r="V198" i="13"/>
  <c r="U198" i="13"/>
  <c r="R198" i="13"/>
  <c r="Q198" i="13"/>
  <c r="S198" i="13" s="1"/>
  <c r="V197" i="13"/>
  <c r="U197" i="13"/>
  <c r="R197" i="13"/>
  <c r="Q197" i="13"/>
  <c r="S197" i="13" s="1"/>
  <c r="V196" i="13"/>
  <c r="U196" i="13"/>
  <c r="R196" i="13"/>
  <c r="Q196" i="13"/>
  <c r="V195" i="13"/>
  <c r="U195" i="13"/>
  <c r="R195" i="13"/>
  <c r="Q195" i="13"/>
  <c r="V194" i="13"/>
  <c r="U194" i="13"/>
  <c r="R194" i="13"/>
  <c r="Q194" i="13"/>
  <c r="S194" i="13" s="1"/>
  <c r="V193" i="13"/>
  <c r="U193" i="13"/>
  <c r="R193" i="13"/>
  <c r="Q193" i="13"/>
  <c r="S193" i="13" s="1"/>
  <c r="V192" i="13"/>
  <c r="U192" i="13"/>
  <c r="R192" i="13"/>
  <c r="Q192" i="13"/>
  <c r="V191" i="13"/>
  <c r="U191" i="13"/>
  <c r="R191" i="13"/>
  <c r="Q191" i="13"/>
  <c r="S191" i="13" s="1"/>
  <c r="V190" i="13"/>
  <c r="U190" i="13"/>
  <c r="R190" i="13"/>
  <c r="Q190" i="13"/>
  <c r="S190" i="13" s="1"/>
  <c r="V189" i="13"/>
  <c r="U189" i="13"/>
  <c r="R189" i="13"/>
  <c r="Q189" i="13"/>
  <c r="V188" i="13"/>
  <c r="U188" i="13"/>
  <c r="R188" i="13"/>
  <c r="Q188" i="13"/>
  <c r="V187" i="13"/>
  <c r="U187" i="13"/>
  <c r="R187" i="13"/>
  <c r="Q187" i="13"/>
  <c r="S187" i="13" s="1"/>
  <c r="V186" i="13"/>
  <c r="U186" i="13"/>
  <c r="R186" i="13"/>
  <c r="Q186" i="13"/>
  <c r="V185" i="13"/>
  <c r="U185" i="13"/>
  <c r="R185" i="13"/>
  <c r="Q185" i="13"/>
  <c r="S185" i="13" s="1"/>
  <c r="V184" i="13"/>
  <c r="U184" i="13"/>
  <c r="R184" i="13"/>
  <c r="Q184" i="13"/>
  <c r="S184" i="13" s="1"/>
  <c r="V183" i="13"/>
  <c r="U183" i="13"/>
  <c r="R183" i="13"/>
  <c r="Q183" i="13"/>
  <c r="V182" i="13"/>
  <c r="U182" i="13"/>
  <c r="R182" i="13"/>
  <c r="Q182" i="13"/>
  <c r="S182" i="13" s="1"/>
  <c r="V181" i="13"/>
  <c r="U181" i="13"/>
  <c r="R181" i="13"/>
  <c r="Q181" i="13"/>
  <c r="S181" i="13" s="1"/>
  <c r="V180" i="13"/>
  <c r="U180" i="13"/>
  <c r="R180" i="13"/>
  <c r="Q180" i="13"/>
  <c r="V179" i="13"/>
  <c r="U179" i="13"/>
  <c r="R179" i="13"/>
  <c r="Q179" i="13"/>
  <c r="S179" i="13" s="1"/>
  <c r="V178" i="13"/>
  <c r="U178" i="13"/>
  <c r="R178" i="13"/>
  <c r="Q178" i="13"/>
  <c r="S178" i="13" s="1"/>
  <c r="V177" i="13"/>
  <c r="U177" i="13"/>
  <c r="R177" i="13"/>
  <c r="Q177" i="13"/>
  <c r="V176" i="13"/>
  <c r="U176" i="13"/>
  <c r="R176" i="13"/>
  <c r="Q176" i="13"/>
  <c r="V175" i="13"/>
  <c r="U175" i="13"/>
  <c r="R175" i="13"/>
  <c r="Q175" i="13"/>
  <c r="V174" i="13"/>
  <c r="U174" i="13"/>
  <c r="R174" i="13"/>
  <c r="Q174" i="13"/>
  <c r="V173" i="13"/>
  <c r="U173" i="13"/>
  <c r="R173" i="13"/>
  <c r="Q173" i="13"/>
  <c r="S173" i="13" s="1"/>
  <c r="V172" i="13"/>
  <c r="U172" i="13"/>
  <c r="R172" i="13"/>
  <c r="Q172" i="13"/>
  <c r="S172" i="13" s="1"/>
  <c r="V171" i="13"/>
  <c r="U171" i="13"/>
  <c r="S171" i="13"/>
  <c r="R171" i="13"/>
  <c r="Q171" i="13"/>
  <c r="V170" i="13"/>
  <c r="U170" i="13"/>
  <c r="R170" i="13"/>
  <c r="Q170" i="13"/>
  <c r="S170" i="13" s="1"/>
  <c r="V169" i="13"/>
  <c r="U169" i="13"/>
  <c r="R169" i="13"/>
  <c r="Q169" i="13"/>
  <c r="S169" i="13" s="1"/>
  <c r="V168" i="13"/>
  <c r="U168" i="13"/>
  <c r="R168" i="13"/>
  <c r="Q168" i="13"/>
  <c r="V167" i="13"/>
  <c r="U167" i="13"/>
  <c r="R167" i="13"/>
  <c r="Q167" i="13"/>
  <c r="S167" i="13" s="1"/>
  <c r="V166" i="13"/>
  <c r="U166" i="13"/>
  <c r="R166" i="13"/>
  <c r="Q166" i="13"/>
  <c r="V165" i="13"/>
  <c r="U165" i="13"/>
  <c r="R165" i="13"/>
  <c r="Q165" i="13"/>
  <c r="V164" i="13"/>
  <c r="U164" i="13"/>
  <c r="R164" i="13"/>
  <c r="Q164" i="13"/>
  <c r="S164" i="13" s="1"/>
  <c r="V163" i="13"/>
  <c r="U163" i="13"/>
  <c r="R163" i="13"/>
  <c r="S163" i="13" s="1"/>
  <c r="Q163" i="13"/>
  <c r="V162" i="13"/>
  <c r="U162" i="13"/>
  <c r="R162" i="13"/>
  <c r="Q162" i="13"/>
  <c r="V161" i="13"/>
  <c r="U161" i="13"/>
  <c r="R161" i="13"/>
  <c r="Q161" i="13"/>
  <c r="S161" i="13" s="1"/>
  <c r="V160" i="13"/>
  <c r="U160" i="13"/>
  <c r="R160" i="13"/>
  <c r="Q160" i="13"/>
  <c r="S160" i="13" s="1"/>
  <c r="V159" i="13"/>
  <c r="U159" i="13"/>
  <c r="R159" i="13"/>
  <c r="Q159" i="13"/>
  <c r="S159" i="13" s="1"/>
  <c r="V158" i="13"/>
  <c r="U158" i="13"/>
  <c r="R158" i="13"/>
  <c r="Q158" i="13"/>
  <c r="V157" i="13"/>
  <c r="U157" i="13"/>
  <c r="R157" i="13"/>
  <c r="Q157" i="13"/>
  <c r="S157" i="13" s="1"/>
  <c r="V156" i="13"/>
  <c r="U156" i="13"/>
  <c r="R156" i="13"/>
  <c r="Q156" i="13"/>
  <c r="S156" i="13" s="1"/>
  <c r="V155" i="13"/>
  <c r="U155" i="13"/>
  <c r="R155" i="13"/>
  <c r="Q155" i="13"/>
  <c r="S155" i="13" s="1"/>
  <c r="V154" i="13"/>
  <c r="U154" i="13"/>
  <c r="R154" i="13"/>
  <c r="Q154" i="13"/>
  <c r="V153" i="13"/>
  <c r="U153" i="13"/>
  <c r="R153" i="13"/>
  <c r="Q153" i="13"/>
  <c r="S153" i="13" s="1"/>
  <c r="V152" i="13"/>
  <c r="U152" i="13"/>
  <c r="R152" i="13"/>
  <c r="Q152" i="13"/>
  <c r="V151" i="13"/>
  <c r="U151" i="13"/>
  <c r="R151" i="13"/>
  <c r="Q151" i="13"/>
  <c r="V150" i="13"/>
  <c r="U150" i="13"/>
  <c r="R150" i="13"/>
  <c r="Q150" i="13"/>
  <c r="V149" i="13"/>
  <c r="U149" i="13"/>
  <c r="R149" i="13"/>
  <c r="Q149" i="13"/>
  <c r="S149" i="13" s="1"/>
  <c r="V148" i="13"/>
  <c r="U148" i="13"/>
  <c r="R148" i="13"/>
  <c r="Q148" i="13"/>
  <c r="V147" i="13"/>
  <c r="U147" i="13"/>
  <c r="R147" i="13"/>
  <c r="Q147" i="13"/>
  <c r="S147" i="13" s="1"/>
  <c r="V146" i="13"/>
  <c r="U146" i="13"/>
  <c r="R146" i="13"/>
  <c r="S146" i="13" s="1"/>
  <c r="Q146" i="13"/>
  <c r="V145" i="13"/>
  <c r="U145" i="13"/>
  <c r="R145" i="13"/>
  <c r="Q145" i="13"/>
  <c r="S145" i="13" s="1"/>
  <c r="V144" i="13"/>
  <c r="U144" i="13"/>
  <c r="R144" i="13"/>
  <c r="Q144" i="13"/>
  <c r="S144" i="13" s="1"/>
  <c r="V143" i="13"/>
  <c r="U143" i="13"/>
  <c r="R143" i="13"/>
  <c r="S143" i="13" s="1"/>
  <c r="Q143" i="13"/>
  <c r="V142" i="13"/>
  <c r="U142" i="13"/>
  <c r="R142" i="13"/>
  <c r="Q142" i="13"/>
  <c r="V141" i="13"/>
  <c r="U141" i="13"/>
  <c r="R141" i="13"/>
  <c r="Q141" i="13"/>
  <c r="S141" i="13" s="1"/>
  <c r="V140" i="13"/>
  <c r="U140" i="13"/>
  <c r="R140" i="13"/>
  <c r="Q140" i="13"/>
  <c r="V139" i="13"/>
  <c r="U139" i="13"/>
  <c r="R139" i="13"/>
  <c r="Q139" i="13"/>
  <c r="V138" i="13"/>
  <c r="U138" i="13"/>
  <c r="R138" i="13"/>
  <c r="Q138" i="13"/>
  <c r="S138" i="13" s="1"/>
  <c r="V137" i="13"/>
  <c r="U137" i="13"/>
  <c r="R137" i="13"/>
  <c r="Q137" i="13"/>
  <c r="S137" i="13" s="1"/>
  <c r="V136" i="13"/>
  <c r="U136" i="13"/>
  <c r="R136" i="13"/>
  <c r="Q136" i="13"/>
  <c r="S136" i="13" s="1"/>
  <c r="V135" i="13"/>
  <c r="U135" i="13"/>
  <c r="R135" i="13"/>
  <c r="Q135" i="13"/>
  <c r="S135" i="13" s="1"/>
  <c r="V134" i="13"/>
  <c r="U134" i="13"/>
  <c r="R134" i="13"/>
  <c r="Q134" i="13"/>
  <c r="S134" i="13" s="1"/>
  <c r="V133" i="13"/>
  <c r="U133" i="13"/>
  <c r="R133" i="13"/>
  <c r="Q133" i="13"/>
  <c r="S133" i="13" s="1"/>
  <c r="V132" i="13"/>
  <c r="U132" i="13"/>
  <c r="R132" i="13"/>
  <c r="Q132" i="13"/>
  <c r="V131" i="13"/>
  <c r="U131" i="13"/>
  <c r="R131" i="13"/>
  <c r="Q131" i="13"/>
  <c r="S131" i="13" s="1"/>
  <c r="V130" i="13"/>
  <c r="U130" i="13"/>
  <c r="R130" i="13"/>
  <c r="Q130" i="13"/>
  <c r="V129" i="13"/>
  <c r="U129" i="13"/>
  <c r="R129" i="13"/>
  <c r="Q129" i="13"/>
  <c r="V128" i="13"/>
  <c r="U128" i="13"/>
  <c r="R128" i="13"/>
  <c r="Q128" i="13"/>
  <c r="S128" i="13" s="1"/>
  <c r="V127" i="13"/>
  <c r="U127" i="13"/>
  <c r="R127" i="13"/>
  <c r="Q127" i="13"/>
  <c r="V126" i="13"/>
  <c r="U126" i="13"/>
  <c r="R126" i="13"/>
  <c r="Q126" i="13"/>
  <c r="S126" i="13" s="1"/>
  <c r="V125" i="13"/>
  <c r="U125" i="13"/>
  <c r="R125" i="13"/>
  <c r="Q125" i="13"/>
  <c r="S125" i="13" s="1"/>
  <c r="V124" i="13"/>
  <c r="U124" i="13"/>
  <c r="R124" i="13"/>
  <c r="Q124" i="13"/>
  <c r="V123" i="13"/>
  <c r="U123" i="13"/>
  <c r="R123" i="13"/>
  <c r="Q123" i="13"/>
  <c r="S123" i="13" s="1"/>
  <c r="V122" i="13"/>
  <c r="U122" i="13"/>
  <c r="R122" i="13"/>
  <c r="Q122" i="13"/>
  <c r="V121" i="13"/>
  <c r="U121" i="13"/>
  <c r="R121" i="13"/>
  <c r="S121" i="13" s="1"/>
  <c r="Q121" i="13"/>
  <c r="V120" i="13"/>
  <c r="U120" i="13"/>
  <c r="R120" i="13"/>
  <c r="Q120" i="13"/>
  <c r="S120" i="13" s="1"/>
  <c r="V119" i="13"/>
  <c r="U119" i="13"/>
  <c r="R119" i="13"/>
  <c r="Q119" i="13"/>
  <c r="V118" i="13"/>
  <c r="U118" i="13"/>
  <c r="R118" i="13"/>
  <c r="Q118" i="13"/>
  <c r="S118" i="13" s="1"/>
  <c r="V117" i="13"/>
  <c r="U117" i="13"/>
  <c r="R117" i="13"/>
  <c r="Q117" i="13"/>
  <c r="V116" i="13"/>
  <c r="U116" i="13"/>
  <c r="R116" i="13"/>
  <c r="Q116" i="13"/>
  <c r="V115" i="13"/>
  <c r="U115" i="13"/>
  <c r="R115" i="13"/>
  <c r="Q115" i="13"/>
  <c r="V114" i="13"/>
  <c r="U114" i="13"/>
  <c r="R114" i="13"/>
  <c r="Q114" i="13"/>
  <c r="V113" i="13"/>
  <c r="U113" i="13"/>
  <c r="R113" i="13"/>
  <c r="Q113" i="13"/>
  <c r="S113" i="13" s="1"/>
  <c r="V112" i="13"/>
  <c r="U112" i="13"/>
  <c r="R112" i="13"/>
  <c r="Q112" i="13"/>
  <c r="S112" i="13" s="1"/>
  <c r="V111" i="13"/>
  <c r="U111" i="13"/>
  <c r="R111" i="13"/>
  <c r="Q111" i="13"/>
  <c r="V110" i="13"/>
  <c r="U110" i="13"/>
  <c r="R110" i="13"/>
  <c r="Q110" i="13"/>
  <c r="S110" i="13" s="1"/>
  <c r="V109" i="13"/>
  <c r="U109" i="13"/>
  <c r="R109" i="13"/>
  <c r="Q109" i="13"/>
  <c r="S109" i="13" s="1"/>
  <c r="V108" i="13"/>
  <c r="U108" i="13"/>
  <c r="R108" i="13"/>
  <c r="Q108" i="13"/>
  <c r="V107" i="13"/>
  <c r="U107" i="13"/>
  <c r="R107" i="13"/>
  <c r="S107" i="13" s="1"/>
  <c r="Q107" i="13"/>
  <c r="V106" i="13"/>
  <c r="U106" i="13"/>
  <c r="R106" i="13"/>
  <c r="Q106" i="13"/>
  <c r="S106" i="13" s="1"/>
  <c r="V105" i="13"/>
  <c r="U105" i="13"/>
  <c r="R105" i="13"/>
  <c r="Q105" i="13"/>
  <c r="S105" i="13" s="1"/>
  <c r="V104" i="13"/>
  <c r="U104" i="13"/>
  <c r="S104" i="13"/>
  <c r="R104" i="13"/>
  <c r="Q104" i="13"/>
  <c r="V103" i="13"/>
  <c r="U103" i="13"/>
  <c r="R103" i="13"/>
  <c r="Q103" i="13"/>
  <c r="S103" i="13" s="1"/>
  <c r="V102" i="13"/>
  <c r="U102" i="13"/>
  <c r="R102" i="13"/>
  <c r="Q102" i="13"/>
  <c r="V101" i="13"/>
  <c r="U101" i="13"/>
  <c r="R101" i="13"/>
  <c r="Q101" i="13"/>
  <c r="S101" i="13" s="1"/>
  <c r="V100" i="13"/>
  <c r="U100" i="13"/>
  <c r="R100" i="13"/>
  <c r="Q100" i="13"/>
  <c r="V99" i="13"/>
  <c r="U99" i="13"/>
  <c r="R99" i="13"/>
  <c r="S99" i="13" s="1"/>
  <c r="Q99" i="13"/>
  <c r="V98" i="13"/>
  <c r="U98" i="13"/>
  <c r="R98" i="13"/>
  <c r="Q98" i="13"/>
  <c r="S98" i="13" s="1"/>
  <c r="V97" i="13"/>
  <c r="U97" i="13"/>
  <c r="R97" i="13"/>
  <c r="Q97" i="13"/>
  <c r="V96" i="13"/>
  <c r="U96" i="13"/>
  <c r="R96" i="13"/>
  <c r="S96" i="13" s="1"/>
  <c r="Q96" i="13"/>
  <c r="V95" i="13"/>
  <c r="U95" i="13"/>
  <c r="R95" i="13"/>
  <c r="Q95" i="13"/>
  <c r="S95" i="13" s="1"/>
  <c r="V94" i="13"/>
  <c r="U94" i="13"/>
  <c r="R94" i="13"/>
  <c r="Q94" i="13"/>
  <c r="V93" i="13"/>
  <c r="U93" i="13"/>
  <c r="S93" i="13"/>
  <c r="R93" i="13"/>
  <c r="Q93" i="13"/>
  <c r="V92" i="13"/>
  <c r="U92" i="13"/>
  <c r="R92" i="13"/>
  <c r="Q92" i="13"/>
  <c r="S92" i="13" s="1"/>
  <c r="V91" i="13"/>
  <c r="U91" i="13"/>
  <c r="R91" i="13"/>
  <c r="Q91" i="13"/>
  <c r="S91" i="13" s="1"/>
  <c r="V90" i="13"/>
  <c r="U90" i="13"/>
  <c r="R90" i="13"/>
  <c r="Q90" i="13"/>
  <c r="S90" i="13" s="1"/>
  <c r="V89" i="13"/>
  <c r="U89" i="13"/>
  <c r="R89" i="13"/>
  <c r="Q89" i="13"/>
  <c r="V88" i="13"/>
  <c r="U88" i="13"/>
  <c r="R88" i="13"/>
  <c r="Q88" i="13"/>
  <c r="S88" i="13" s="1"/>
  <c r="V87" i="13"/>
  <c r="U87" i="13"/>
  <c r="R87" i="13"/>
  <c r="Q87" i="13"/>
  <c r="S87" i="13" s="1"/>
  <c r="V86" i="13"/>
  <c r="U86" i="13"/>
  <c r="R86" i="13"/>
  <c r="Q86" i="13"/>
  <c r="S86" i="13" s="1"/>
  <c r="V85" i="13"/>
  <c r="U85" i="13"/>
  <c r="R85" i="13"/>
  <c r="Q85" i="13"/>
  <c r="S85" i="13" s="1"/>
  <c r="V84" i="13"/>
  <c r="U84" i="13"/>
  <c r="R84" i="13"/>
  <c r="Q84" i="13"/>
  <c r="S84" i="13" s="1"/>
  <c r="V83" i="13"/>
  <c r="U83" i="13"/>
  <c r="R83" i="13"/>
  <c r="Q83" i="13"/>
  <c r="S83" i="13" s="1"/>
  <c r="V82" i="13"/>
  <c r="U82" i="13"/>
  <c r="R82" i="13"/>
  <c r="Q82" i="13"/>
  <c r="S82" i="13" s="1"/>
  <c r="V81" i="13"/>
  <c r="U81" i="13"/>
  <c r="R81" i="13"/>
  <c r="Q81" i="13"/>
  <c r="V80" i="13"/>
  <c r="U80" i="13"/>
  <c r="R80" i="13"/>
  <c r="Q80" i="13"/>
  <c r="V79" i="13"/>
  <c r="U79" i="13"/>
  <c r="R79" i="13"/>
  <c r="Q79" i="13"/>
  <c r="S79" i="13" s="1"/>
  <c r="V78" i="13"/>
  <c r="U78" i="13"/>
  <c r="R78" i="13"/>
  <c r="Q78" i="13"/>
  <c r="S78" i="13" s="1"/>
  <c r="V77" i="13"/>
  <c r="U77" i="13"/>
  <c r="R77" i="13"/>
  <c r="Q77" i="13"/>
  <c r="S77" i="13" s="1"/>
  <c r="V76" i="13"/>
  <c r="U76" i="13"/>
  <c r="R76" i="13"/>
  <c r="Q76" i="13"/>
  <c r="V75" i="13"/>
  <c r="U75" i="13"/>
  <c r="R75" i="13"/>
  <c r="Q75" i="13"/>
  <c r="S75" i="13" s="1"/>
  <c r="V74" i="13"/>
  <c r="U74" i="13"/>
  <c r="R74" i="13"/>
  <c r="Q74" i="13"/>
  <c r="V73" i="13"/>
  <c r="U73" i="13"/>
  <c r="R73" i="13"/>
  <c r="Q73" i="13"/>
  <c r="S73" i="13" s="1"/>
  <c r="V72" i="13"/>
  <c r="U72" i="13"/>
  <c r="R72" i="13"/>
  <c r="Q72" i="13"/>
  <c r="V71" i="13"/>
  <c r="U71" i="13"/>
  <c r="R71" i="13"/>
  <c r="Q71" i="13"/>
  <c r="V70" i="13"/>
  <c r="U70" i="13"/>
  <c r="R70" i="13"/>
  <c r="Q70" i="13"/>
  <c r="S70" i="13" s="1"/>
  <c r="V69" i="13"/>
  <c r="U69" i="13"/>
  <c r="R69" i="13"/>
  <c r="Q69" i="13"/>
  <c r="S69" i="13" s="1"/>
  <c r="V68" i="13"/>
  <c r="U68" i="13"/>
  <c r="R68" i="13"/>
  <c r="Q68" i="13"/>
  <c r="V67" i="13"/>
  <c r="U67" i="13"/>
  <c r="R67" i="13"/>
  <c r="Q67" i="13"/>
  <c r="S67" i="13" s="1"/>
  <c r="V66" i="13"/>
  <c r="U66" i="13"/>
  <c r="R66" i="13"/>
  <c r="Q66" i="13"/>
  <c r="S66" i="13" s="1"/>
  <c r="V65" i="13"/>
  <c r="U65" i="13"/>
  <c r="R65" i="13"/>
  <c r="S65" i="13" s="1"/>
  <c r="Q65" i="13"/>
  <c r="V64" i="13"/>
  <c r="U64" i="13"/>
  <c r="R64" i="13"/>
  <c r="Q64" i="13"/>
  <c r="S64" i="13" s="1"/>
  <c r="V63" i="13"/>
  <c r="U63" i="13"/>
  <c r="R63" i="13"/>
  <c r="Q63" i="13"/>
  <c r="S63" i="13" s="1"/>
  <c r="V62" i="13"/>
  <c r="U62" i="13"/>
  <c r="R62" i="13"/>
  <c r="Q62" i="13"/>
  <c r="S62" i="13" s="1"/>
  <c r="V61" i="13"/>
  <c r="U61" i="13"/>
  <c r="R61" i="13"/>
  <c r="Q61" i="13"/>
  <c r="V60" i="13"/>
  <c r="U60" i="13"/>
  <c r="R60" i="13"/>
  <c r="Q60" i="13"/>
  <c r="S60" i="13" s="1"/>
  <c r="V59" i="13"/>
  <c r="U59" i="13"/>
  <c r="R59" i="13"/>
  <c r="Q59" i="13"/>
  <c r="S59" i="13" s="1"/>
  <c r="V58" i="13"/>
  <c r="U58" i="13"/>
  <c r="R58" i="13"/>
  <c r="Q58" i="13"/>
  <c r="V57" i="13"/>
  <c r="U57" i="13"/>
  <c r="R57" i="13"/>
  <c r="S57" i="13" s="1"/>
  <c r="Q57" i="13"/>
  <c r="V56" i="13"/>
  <c r="U56" i="13"/>
  <c r="R56" i="13"/>
  <c r="Q56" i="13"/>
  <c r="V55" i="13"/>
  <c r="U55" i="13"/>
  <c r="R55" i="13"/>
  <c r="Q55" i="13"/>
  <c r="V54" i="13"/>
  <c r="U54" i="13"/>
  <c r="R54" i="13"/>
  <c r="Q54" i="13"/>
  <c r="S54" i="13" s="1"/>
  <c r="V53" i="13"/>
  <c r="U53" i="13"/>
  <c r="R53" i="13"/>
  <c r="Q53" i="13"/>
  <c r="S53" i="13" s="1"/>
  <c r="V52" i="13"/>
  <c r="U52" i="13"/>
  <c r="R52" i="13"/>
  <c r="Q52" i="13"/>
  <c r="V51" i="13"/>
  <c r="U51" i="13"/>
  <c r="R51" i="13"/>
  <c r="Q51" i="13"/>
  <c r="S51" i="13" s="1"/>
  <c r="V50" i="13"/>
  <c r="U50" i="13"/>
  <c r="R50" i="13"/>
  <c r="Q50" i="13"/>
  <c r="S50" i="13" s="1"/>
  <c r="V49" i="13"/>
  <c r="U49" i="13"/>
  <c r="R49" i="13"/>
  <c r="Q49" i="13"/>
  <c r="S49" i="13" s="1"/>
  <c r="V48" i="13"/>
  <c r="U48" i="13"/>
  <c r="R48" i="13"/>
  <c r="Q48" i="13"/>
  <c r="S48" i="13" s="1"/>
  <c r="V47" i="13"/>
  <c r="U47" i="13"/>
  <c r="R47" i="13"/>
  <c r="Q47" i="13"/>
  <c r="S47" i="13" s="1"/>
  <c r="V46" i="13"/>
  <c r="U46" i="13"/>
  <c r="R46" i="13"/>
  <c r="Q46" i="13"/>
  <c r="S46" i="13" s="1"/>
  <c r="V45" i="13"/>
  <c r="U45" i="13"/>
  <c r="R45" i="13"/>
  <c r="Q45" i="13"/>
  <c r="S45" i="13" s="1"/>
  <c r="V44" i="13"/>
  <c r="U44" i="13"/>
  <c r="R44" i="13"/>
  <c r="Q44" i="13"/>
  <c r="V43" i="13"/>
  <c r="U43" i="13"/>
  <c r="R43" i="13"/>
  <c r="Q43" i="13"/>
  <c r="S43" i="13" s="1"/>
  <c r="V42" i="13"/>
  <c r="U42" i="13"/>
  <c r="R42" i="13"/>
  <c r="Q42" i="13"/>
  <c r="V41" i="13"/>
  <c r="U41" i="13"/>
  <c r="R41" i="13"/>
  <c r="Q41" i="13"/>
  <c r="S41" i="13" s="1"/>
  <c r="V40" i="13"/>
  <c r="U40" i="13"/>
  <c r="R40" i="13"/>
  <c r="S40" i="13" s="1"/>
  <c r="Q40" i="13"/>
  <c r="V39" i="13"/>
  <c r="U39" i="13"/>
  <c r="R39" i="13"/>
  <c r="Q39" i="13"/>
  <c r="S39" i="13" s="1"/>
  <c r="V38" i="13"/>
  <c r="U38" i="13"/>
  <c r="R38" i="13"/>
  <c r="S38" i="13" s="1"/>
  <c r="Q38" i="13"/>
  <c r="V37" i="13"/>
  <c r="U37" i="13"/>
  <c r="S37" i="13"/>
  <c r="R37" i="13"/>
  <c r="Q37" i="13"/>
  <c r="V36" i="13"/>
  <c r="U36" i="13"/>
  <c r="R36" i="13"/>
  <c r="Q36" i="13"/>
  <c r="V35" i="13"/>
  <c r="U35" i="13"/>
  <c r="R35" i="13"/>
  <c r="Q35" i="13"/>
  <c r="S35" i="13" s="1"/>
  <c r="V34" i="13"/>
  <c r="U34" i="13"/>
  <c r="R34" i="13"/>
  <c r="Q34" i="13"/>
  <c r="S34" i="13" s="1"/>
  <c r="V33" i="13"/>
  <c r="U33" i="13"/>
  <c r="R33" i="13"/>
  <c r="Q33" i="13"/>
  <c r="V32" i="13"/>
  <c r="U32" i="13"/>
  <c r="R32" i="13"/>
  <c r="Q32" i="13"/>
  <c r="S32" i="13" s="1"/>
  <c r="V31" i="13"/>
  <c r="U31" i="13"/>
  <c r="R31" i="13"/>
  <c r="Q31" i="13"/>
  <c r="S31" i="13" s="1"/>
  <c r="V30" i="13"/>
  <c r="U30" i="13"/>
  <c r="R30" i="13"/>
  <c r="Q30" i="13"/>
  <c r="S30" i="13" s="1"/>
  <c r="V29" i="13"/>
  <c r="U29" i="13"/>
  <c r="R29" i="13"/>
  <c r="Q29" i="13"/>
  <c r="S29" i="13" s="1"/>
  <c r="V28" i="13"/>
  <c r="U28" i="13"/>
  <c r="R28" i="13"/>
  <c r="Q28" i="13"/>
  <c r="S28" i="13" s="1"/>
  <c r="V27" i="13"/>
  <c r="U27" i="13"/>
  <c r="R27" i="13"/>
  <c r="Q27" i="13"/>
  <c r="S27" i="13" s="1"/>
  <c r="V26" i="13"/>
  <c r="U26" i="13"/>
  <c r="R26" i="13"/>
  <c r="Q26" i="13"/>
  <c r="S26" i="13" s="1"/>
  <c r="V25" i="13"/>
  <c r="U25" i="13"/>
  <c r="R25" i="13"/>
  <c r="Q25" i="13"/>
  <c r="V24" i="13"/>
  <c r="U24" i="13"/>
  <c r="R24" i="13"/>
  <c r="Q24" i="13"/>
  <c r="S24" i="13" s="1"/>
  <c r="V23" i="13"/>
  <c r="U23" i="13"/>
  <c r="R23" i="13"/>
  <c r="Q23" i="13"/>
  <c r="S23" i="13" s="1"/>
  <c r="V22" i="13"/>
  <c r="U22" i="13"/>
  <c r="R22" i="13"/>
  <c r="Q22" i="13"/>
  <c r="V21" i="13"/>
  <c r="U21" i="13"/>
  <c r="R21" i="13"/>
  <c r="Q21" i="13"/>
  <c r="V20" i="13"/>
  <c r="U20" i="13"/>
  <c r="R20" i="13"/>
  <c r="Q20" i="13"/>
  <c r="S20" i="13" s="1"/>
  <c r="V19" i="13"/>
  <c r="U19" i="13"/>
  <c r="R19" i="13"/>
  <c r="Q19" i="13"/>
  <c r="S19" i="13" s="1"/>
  <c r="V18" i="13"/>
  <c r="U18" i="13"/>
  <c r="R18" i="13"/>
  <c r="Q18" i="13"/>
  <c r="V17" i="13"/>
  <c r="U17" i="13"/>
  <c r="R17" i="13"/>
  <c r="Q17" i="13"/>
  <c r="S17" i="13" s="1"/>
  <c r="V16" i="13"/>
  <c r="U16" i="13"/>
  <c r="R16" i="13"/>
  <c r="Q16" i="13"/>
  <c r="S16" i="13" s="1"/>
  <c r="V15" i="13"/>
  <c r="U15" i="13"/>
  <c r="R15" i="13"/>
  <c r="Q15" i="13"/>
  <c r="V14" i="13"/>
  <c r="U14" i="13"/>
  <c r="R14" i="13"/>
  <c r="Q14" i="13"/>
  <c r="S14" i="13" s="1"/>
  <c r="V13" i="13"/>
  <c r="U13" i="13"/>
  <c r="R13" i="13"/>
  <c r="Q13" i="13"/>
  <c r="V12" i="13"/>
  <c r="U12" i="13"/>
  <c r="R12" i="13"/>
  <c r="Q12" i="13"/>
  <c r="V11" i="13"/>
  <c r="U11" i="13"/>
  <c r="R11" i="13"/>
  <c r="Q11" i="13"/>
  <c r="S11" i="13" s="1"/>
  <c r="V10" i="13"/>
  <c r="U10" i="13"/>
  <c r="R10" i="13"/>
  <c r="Q10" i="13"/>
  <c r="V9" i="13"/>
  <c r="U9" i="13"/>
  <c r="S9" i="13"/>
  <c r="R9" i="13"/>
  <c r="Q9" i="13"/>
  <c r="V8" i="13"/>
  <c r="U8" i="13"/>
  <c r="R8" i="13"/>
  <c r="Q8" i="13"/>
  <c r="S8" i="13" s="1"/>
  <c r="V7" i="13"/>
  <c r="U7" i="13"/>
  <c r="R7" i="13"/>
  <c r="Q7" i="13"/>
  <c r="S7" i="13" s="1"/>
  <c r="V6" i="13"/>
  <c r="U6" i="13"/>
  <c r="R6" i="13"/>
  <c r="Q6" i="13"/>
  <c r="S6" i="13" s="1"/>
  <c r="V5" i="13"/>
  <c r="U5" i="13"/>
  <c r="R5" i="13"/>
  <c r="Q5" i="13"/>
  <c r="S553" i="13" l="1"/>
  <c r="X622" i="13"/>
  <c r="S429" i="13"/>
  <c r="S22" i="13"/>
  <c r="S117" i="13"/>
  <c r="S388" i="13"/>
  <c r="S139" i="13"/>
  <c r="S401" i="13"/>
  <c r="S80" i="13"/>
  <c r="S180" i="13"/>
  <c r="S221" i="13"/>
  <c r="S272" i="13"/>
  <c r="S280" i="13"/>
  <c r="S398" i="13"/>
  <c r="S428" i="13"/>
  <c r="S516" i="13"/>
  <c r="S563" i="13"/>
  <c r="S566" i="13"/>
  <c r="S140" i="13"/>
  <c r="S311" i="13"/>
  <c r="S512" i="13"/>
  <c r="S531" i="13"/>
  <c r="S81" i="13"/>
  <c r="S148" i="13"/>
  <c r="S308" i="13"/>
  <c r="S598" i="13"/>
  <c r="S21" i="13"/>
  <c r="S94" i="13"/>
  <c r="S102" i="13"/>
  <c r="S177" i="13"/>
  <c r="S373" i="13"/>
  <c r="S414" i="13"/>
  <c r="S521" i="13"/>
  <c r="S580" i="13"/>
  <c r="U624" i="13"/>
  <c r="S151" i="13"/>
  <c r="S260" i="13"/>
  <c r="S303" i="13"/>
  <c r="S509" i="13"/>
  <c r="S547" i="13"/>
  <c r="S590" i="13"/>
  <c r="S5" i="13"/>
  <c r="S61" i="13"/>
  <c r="S224" i="13"/>
  <c r="S540" i="13"/>
  <c r="U632" i="13"/>
  <c r="S407" i="13"/>
  <c r="S359" i="13"/>
  <c r="U616" i="13"/>
  <c r="S279" i="13"/>
  <c r="S327" i="13"/>
  <c r="U615" i="13"/>
  <c r="X630" i="13"/>
  <c r="S10" i="13"/>
  <c r="S13" i="13"/>
  <c r="S72" i="13"/>
  <c r="S116" i="13"/>
  <c r="S119" i="13"/>
  <c r="S122" i="13"/>
  <c r="S199" i="13"/>
  <c r="S207" i="13"/>
  <c r="S287" i="13"/>
  <c r="S295" i="13"/>
  <c r="S298" i="13"/>
  <c r="S483" i="13"/>
  <c r="S593" i="13"/>
  <c r="S604" i="13"/>
  <c r="U613" i="13"/>
  <c r="U614" i="13"/>
  <c r="S288" i="13"/>
  <c r="S33" i="13"/>
  <c r="S89" i="13"/>
  <c r="S271" i="13"/>
  <c r="S451" i="13"/>
  <c r="U635" i="13"/>
  <c r="S196" i="13"/>
  <c r="S256" i="13"/>
  <c r="S363" i="13"/>
  <c r="S371" i="13"/>
  <c r="S391" i="13"/>
  <c r="S396" i="13"/>
  <c r="S434" i="13"/>
  <c r="S440" i="13"/>
  <c r="S470" i="13"/>
  <c r="S586" i="13"/>
  <c r="U620" i="13"/>
  <c r="X625" i="13"/>
  <c r="X626" i="13"/>
  <c r="S319" i="13"/>
  <c r="S404" i="13"/>
  <c r="S97" i="13"/>
  <c r="X624" i="13"/>
  <c r="S129" i="13"/>
  <c r="S188" i="13"/>
  <c r="S539" i="13"/>
  <c r="S15" i="13"/>
  <c r="S18" i="13"/>
  <c r="S25" i="13"/>
  <c r="S56" i="13"/>
  <c r="S74" i="13"/>
  <c r="S115" i="13"/>
  <c r="S154" i="13"/>
  <c r="S175" i="13"/>
  <c r="S227" i="13"/>
  <c r="S233" i="13"/>
  <c r="S239" i="13"/>
  <c r="S336" i="13"/>
  <c r="S365" i="13"/>
  <c r="S385" i="13"/>
  <c r="S390" i="13"/>
  <c r="S419" i="13"/>
  <c r="S460" i="13"/>
  <c r="S463" i="13"/>
  <c r="S466" i="13"/>
  <c r="S562" i="13"/>
  <c r="S595" i="13"/>
  <c r="X623" i="13"/>
  <c r="S579" i="13"/>
  <c r="X619" i="13"/>
  <c r="S42" i="13"/>
  <c r="S52" i="13"/>
  <c r="S111" i="13"/>
  <c r="S124" i="13"/>
  <c r="S162" i="13"/>
  <c r="S189" i="13"/>
  <c r="S192" i="13"/>
  <c r="S195" i="13"/>
  <c r="S216" i="13"/>
  <c r="S219" i="13"/>
  <c r="S232" i="13"/>
  <c r="S249" i="13"/>
  <c r="S283" i="13"/>
  <c r="S286" i="13"/>
  <c r="S312" i="13"/>
  <c r="S323" i="13"/>
  <c r="S326" i="13"/>
  <c r="S355" i="13"/>
  <c r="S361" i="13"/>
  <c r="S375" i="13"/>
  <c r="S381" i="13"/>
  <c r="S384" i="13"/>
  <c r="S405" i="13"/>
  <c r="S433" i="13"/>
  <c r="S443" i="13"/>
  <c r="S446" i="13"/>
  <c r="S465" i="13"/>
  <c r="S468" i="13"/>
  <c r="S478" i="13"/>
  <c r="S481" i="13"/>
  <c r="S490" i="13"/>
  <c r="S506" i="13"/>
  <c r="S603" i="13"/>
  <c r="X611" i="13"/>
  <c r="S55" i="13"/>
  <c r="S58" i="13"/>
  <c r="S71" i="13"/>
  <c r="S114" i="13"/>
  <c r="S127" i="13"/>
  <c r="S130" i="13"/>
  <c r="S165" i="13"/>
  <c r="S174" i="13"/>
  <c r="S183" i="13"/>
  <c r="S200" i="13"/>
  <c r="S203" i="13"/>
  <c r="S206" i="13"/>
  <c r="S234" i="13"/>
  <c r="S240" i="13"/>
  <c r="S243" i="13"/>
  <c r="S246" i="13"/>
  <c r="S266" i="13"/>
  <c r="S291" i="13"/>
  <c r="S294" i="13"/>
  <c r="S297" i="13"/>
  <c r="S317" i="13"/>
  <c r="S331" i="13"/>
  <c r="S334" i="13"/>
  <c r="S337" i="13"/>
  <c r="S352" i="13"/>
  <c r="S358" i="13"/>
  <c r="S372" i="13"/>
  <c r="S389" i="13"/>
  <c r="S395" i="13"/>
  <c r="S411" i="13"/>
  <c r="S417" i="13"/>
  <c r="S420" i="13"/>
  <c r="S458" i="13"/>
  <c r="S474" i="13"/>
  <c r="S518" i="13"/>
  <c r="S550" i="13"/>
  <c r="S575" i="13"/>
  <c r="S578" i="13"/>
  <c r="S599" i="13"/>
  <c r="X614" i="13"/>
  <c r="U625" i="13"/>
  <c r="X633" i="13"/>
  <c r="X634" i="13"/>
  <c r="S12" i="13"/>
  <c r="S44" i="13"/>
  <c r="S76" i="13"/>
  <c r="S108" i="13"/>
  <c r="S36" i="13"/>
  <c r="S68" i="13"/>
  <c r="S100" i="13"/>
  <c r="S132" i="13"/>
  <c r="U636" i="13"/>
  <c r="S150" i="13"/>
  <c r="U634" i="13"/>
  <c r="S166" i="13"/>
  <c r="S202" i="13"/>
  <c r="S261" i="13"/>
  <c r="S325" i="13"/>
  <c r="S379" i="13"/>
  <c r="R631" i="13"/>
  <c r="U631" i="13" s="1"/>
  <c r="S158" i="13"/>
  <c r="S214" i="13"/>
  <c r="S269" i="13"/>
  <c r="U633" i="13"/>
  <c r="S142" i="13"/>
  <c r="S152" i="13"/>
  <c r="S176" i="13"/>
  <c r="S186" i="13"/>
  <c r="S277" i="13"/>
  <c r="S309" i="13"/>
  <c r="S168" i="13"/>
  <c r="S285" i="13"/>
  <c r="S376" i="13"/>
  <c r="S222" i="13"/>
  <c r="U626" i="13"/>
  <c r="U628" i="13"/>
  <c r="U629" i="13"/>
  <c r="S209" i="13"/>
  <c r="S230" i="13"/>
  <c r="S392" i="13"/>
  <c r="S238" i="13"/>
  <c r="S251" i="13"/>
  <c r="S408" i="13"/>
  <c r="S495" i="13"/>
  <c r="S532" i="13"/>
  <c r="S439" i="13"/>
  <c r="S559" i="13"/>
  <c r="R619" i="13"/>
  <c r="U619" i="13" s="1"/>
  <c r="S431" i="13"/>
  <c r="S471" i="13"/>
  <c r="S596" i="13"/>
  <c r="U617" i="13"/>
  <c r="U618" i="13"/>
  <c r="X616" i="13"/>
  <c r="U630" i="13"/>
  <c r="U610" i="13"/>
  <c r="X628" i="13"/>
  <c r="S455" i="13"/>
  <c r="S487" i="13"/>
  <c r="S519" i="13"/>
  <c r="S551" i="13"/>
  <c r="S583" i="13"/>
  <c r="U622" i="13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5" i="1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5" i="12"/>
  <c r="K6" i="12"/>
  <c r="L6" i="12" s="1"/>
  <c r="K7" i="12"/>
  <c r="L7" i="12" s="1"/>
  <c r="K8" i="12"/>
  <c r="L8" i="12" s="1"/>
  <c r="K9" i="12"/>
  <c r="L9" i="12" s="1"/>
  <c r="K10" i="12"/>
  <c r="L10" i="12" s="1"/>
  <c r="K11" i="12"/>
  <c r="L11" i="12" s="1"/>
  <c r="K12" i="12"/>
  <c r="L12" i="12" s="1"/>
  <c r="K13" i="12"/>
  <c r="L13" i="12" s="1"/>
  <c r="K14" i="12"/>
  <c r="L14" i="12" s="1"/>
  <c r="K15" i="12"/>
  <c r="L15" i="12" s="1"/>
  <c r="K16" i="12"/>
  <c r="L16" i="12" s="1"/>
  <c r="K17" i="12"/>
  <c r="L17" i="12" s="1"/>
  <c r="K18" i="12"/>
  <c r="L18" i="12" s="1"/>
  <c r="K19" i="12"/>
  <c r="L19" i="12" s="1"/>
  <c r="K20" i="12"/>
  <c r="L20" i="12" s="1"/>
  <c r="K21" i="12"/>
  <c r="L21" i="12" s="1"/>
  <c r="K22" i="12"/>
  <c r="L22" i="12" s="1"/>
  <c r="K23" i="12"/>
  <c r="L23" i="12" s="1"/>
  <c r="K24" i="12"/>
  <c r="L24" i="12" s="1"/>
  <c r="K25" i="12"/>
  <c r="L25" i="12" s="1"/>
  <c r="K26" i="12"/>
  <c r="L26" i="12" s="1"/>
  <c r="K27" i="12"/>
  <c r="L27" i="12" s="1"/>
  <c r="K28" i="12"/>
  <c r="L28" i="12" s="1"/>
  <c r="K29" i="12"/>
  <c r="L29" i="12" s="1"/>
  <c r="K30" i="12"/>
  <c r="L30" i="12" s="1"/>
  <c r="K31" i="12"/>
  <c r="L31" i="12" s="1"/>
  <c r="K32" i="12"/>
  <c r="L32" i="12" s="1"/>
  <c r="K33" i="12"/>
  <c r="L33" i="12" s="1"/>
  <c r="K34" i="12"/>
  <c r="L34" i="12" s="1"/>
  <c r="K35" i="12"/>
  <c r="L35" i="12" s="1"/>
  <c r="K36" i="12"/>
  <c r="L36" i="12" s="1"/>
  <c r="K37" i="12"/>
  <c r="L37" i="12" s="1"/>
  <c r="K38" i="12"/>
  <c r="L38" i="12" s="1"/>
  <c r="K39" i="12"/>
  <c r="L39" i="12" s="1"/>
  <c r="K40" i="12"/>
  <c r="L40" i="12" s="1"/>
  <c r="K41" i="12"/>
  <c r="L41" i="12" s="1"/>
  <c r="K42" i="12"/>
  <c r="L42" i="12" s="1"/>
  <c r="K43" i="12"/>
  <c r="L43" i="12" s="1"/>
  <c r="K44" i="12"/>
  <c r="L44" i="12" s="1"/>
  <c r="K45" i="12"/>
  <c r="L45" i="12" s="1"/>
  <c r="K46" i="12"/>
  <c r="L46" i="12" s="1"/>
  <c r="K47" i="12"/>
  <c r="L47" i="12" s="1"/>
  <c r="K5" i="12"/>
  <c r="L5" i="12" s="1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5" i="12"/>
  <c r="I5" i="8" l="1"/>
  <c r="J5" i="8" s="1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4" i="8"/>
  <c r="J14" i="8" s="1"/>
  <c r="I15" i="8"/>
  <c r="J15" i="8" s="1"/>
  <c r="I16" i="8"/>
  <c r="J16" i="8" s="1"/>
  <c r="I17" i="8"/>
  <c r="J17" i="8" s="1"/>
  <c r="I18" i="8"/>
  <c r="J18" i="8" s="1"/>
  <c r="I19" i="8"/>
  <c r="J19" i="8" s="1"/>
  <c r="I20" i="8"/>
  <c r="J20" i="8" s="1"/>
  <c r="I21" i="8"/>
  <c r="J21" i="8" s="1"/>
  <c r="I22" i="8"/>
  <c r="J22" i="8" s="1"/>
  <c r="I23" i="8"/>
  <c r="J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8" i="8"/>
  <c r="J38" i="8" s="1"/>
  <c r="I39" i="8"/>
  <c r="J39" i="8" s="1"/>
  <c r="I40" i="8"/>
  <c r="J40" i="8" s="1"/>
  <c r="I41" i="8"/>
  <c r="J41" i="8" s="1"/>
  <c r="I42" i="8"/>
  <c r="J42" i="8" s="1"/>
  <c r="I43" i="8"/>
  <c r="J43" i="8" s="1"/>
  <c r="I44" i="8"/>
  <c r="J44" i="8" s="1"/>
  <c r="I45" i="8"/>
  <c r="J45" i="8" s="1"/>
  <c r="I46" i="8"/>
  <c r="J46" i="8" s="1"/>
  <c r="I47" i="8"/>
  <c r="J47" i="8" s="1"/>
  <c r="I48" i="8"/>
  <c r="J48" i="8" s="1"/>
  <c r="I49" i="8"/>
  <c r="J49" i="8" s="1"/>
  <c r="I50" i="8"/>
  <c r="J50" i="8" s="1"/>
  <c r="I51" i="8"/>
  <c r="J51" i="8" s="1"/>
  <c r="I52" i="8"/>
  <c r="J52" i="8" s="1"/>
  <c r="I53" i="8"/>
  <c r="J53" i="8" s="1"/>
  <c r="I54" i="8"/>
  <c r="J54" i="8" s="1"/>
  <c r="I55" i="8"/>
  <c r="J55" i="8" s="1"/>
  <c r="I56" i="8"/>
  <c r="J56" i="8" s="1"/>
  <c r="I57" i="8"/>
  <c r="J57" i="8" s="1"/>
  <c r="I58" i="8"/>
  <c r="J58" i="8" s="1"/>
  <c r="I59" i="8"/>
  <c r="J59" i="8" s="1"/>
  <c r="I60" i="8"/>
  <c r="J60" i="8" s="1"/>
  <c r="I61" i="8"/>
  <c r="J61" i="8" s="1"/>
  <c r="I62" i="8"/>
  <c r="J62" i="8" s="1"/>
  <c r="I63" i="8"/>
  <c r="J63" i="8" s="1"/>
  <c r="I64" i="8"/>
  <c r="J64" i="8" s="1"/>
  <c r="I65" i="8"/>
  <c r="J65" i="8" s="1"/>
  <c r="I66" i="8"/>
  <c r="J66" i="8" s="1"/>
  <c r="I67" i="8"/>
  <c r="J67" i="8" s="1"/>
  <c r="I68" i="8"/>
  <c r="J68" i="8" s="1"/>
  <c r="I69" i="8"/>
  <c r="J69" i="8" s="1"/>
  <c r="I70" i="8"/>
  <c r="J70" i="8" s="1"/>
  <c r="I71" i="8"/>
  <c r="J71" i="8" s="1"/>
  <c r="I72" i="8"/>
  <c r="J72" i="8" s="1"/>
  <c r="I73" i="8"/>
  <c r="J73" i="8" s="1"/>
  <c r="I74" i="8"/>
  <c r="J74" i="8" s="1"/>
  <c r="I75" i="8"/>
  <c r="J75" i="8" s="1"/>
  <c r="I76" i="8"/>
  <c r="J76" i="8" s="1"/>
  <c r="I77" i="8"/>
  <c r="J77" i="8" s="1"/>
  <c r="I78" i="8"/>
  <c r="J78" i="8" s="1"/>
  <c r="I79" i="8"/>
  <c r="J79" i="8" s="1"/>
  <c r="I80" i="8"/>
  <c r="J80" i="8" s="1"/>
  <c r="I81" i="8"/>
  <c r="J81" i="8" s="1"/>
  <c r="I82" i="8"/>
  <c r="J82" i="8" s="1"/>
  <c r="I83" i="8"/>
  <c r="J83" i="8" s="1"/>
  <c r="I84" i="8"/>
  <c r="J84" i="8" s="1"/>
  <c r="I85" i="8"/>
  <c r="J85" i="8" s="1"/>
  <c r="I86" i="8"/>
  <c r="J86" i="8" s="1"/>
  <c r="I87" i="8"/>
  <c r="J87" i="8" s="1"/>
  <c r="I88" i="8"/>
  <c r="J88" i="8" s="1"/>
  <c r="I89" i="8"/>
  <c r="J89" i="8" s="1"/>
  <c r="I90" i="8"/>
  <c r="J90" i="8" s="1"/>
  <c r="I91" i="8"/>
  <c r="J91" i="8" s="1"/>
  <c r="I92" i="8"/>
  <c r="J92" i="8" s="1"/>
  <c r="I93" i="8"/>
  <c r="J93" i="8" s="1"/>
  <c r="I94" i="8"/>
  <c r="J94" i="8" s="1"/>
  <c r="I95" i="8"/>
  <c r="J95" i="8" s="1"/>
  <c r="I96" i="8"/>
  <c r="J96" i="8" s="1"/>
  <c r="I97" i="8"/>
  <c r="J97" i="8" s="1"/>
  <c r="I98" i="8"/>
  <c r="J98" i="8" s="1"/>
  <c r="I99" i="8"/>
  <c r="J99" i="8" s="1"/>
  <c r="I100" i="8"/>
  <c r="J100" i="8" s="1"/>
  <c r="I101" i="8"/>
  <c r="J101" i="8" s="1"/>
  <c r="I102" i="8"/>
  <c r="J102" i="8" s="1"/>
  <c r="I103" i="8"/>
  <c r="J103" i="8" s="1"/>
  <c r="I104" i="8"/>
  <c r="J104" i="8" s="1"/>
  <c r="I105" i="8"/>
  <c r="J105" i="8" s="1"/>
  <c r="I106" i="8"/>
  <c r="J106" i="8" s="1"/>
  <c r="I107" i="8"/>
  <c r="J107" i="8" s="1"/>
  <c r="I108" i="8"/>
  <c r="J108" i="8" s="1"/>
  <c r="I109" i="8"/>
  <c r="J109" i="8" s="1"/>
  <c r="I110" i="8"/>
  <c r="J110" i="8" s="1"/>
  <c r="I111" i="8"/>
  <c r="J111" i="8" s="1"/>
  <c r="I112" i="8"/>
  <c r="J112" i="8" s="1"/>
  <c r="I113" i="8"/>
  <c r="J113" i="8" s="1"/>
  <c r="I114" i="8"/>
  <c r="J114" i="8" s="1"/>
  <c r="I115" i="8"/>
  <c r="J115" i="8" s="1"/>
  <c r="I116" i="8"/>
  <c r="J116" i="8" s="1"/>
  <c r="I117" i="8"/>
  <c r="J117" i="8" s="1"/>
  <c r="I118" i="8"/>
  <c r="J118" i="8" s="1"/>
  <c r="I119" i="8"/>
  <c r="J119" i="8" s="1"/>
  <c r="I120" i="8"/>
  <c r="J120" i="8" s="1"/>
  <c r="I121" i="8"/>
  <c r="J121" i="8" s="1"/>
  <c r="I122" i="8"/>
  <c r="J122" i="8" s="1"/>
  <c r="I123" i="8"/>
  <c r="J123" i="8" s="1"/>
  <c r="I124" i="8"/>
  <c r="J124" i="8" s="1"/>
  <c r="I125" i="8"/>
  <c r="J125" i="8" s="1"/>
  <c r="I126" i="8"/>
  <c r="J126" i="8" s="1"/>
  <c r="I127" i="8"/>
  <c r="J127" i="8" s="1"/>
  <c r="I128" i="8"/>
  <c r="J128" i="8" s="1"/>
  <c r="I129" i="8"/>
  <c r="J129" i="8" s="1"/>
  <c r="I130" i="8"/>
  <c r="J130" i="8" s="1"/>
  <c r="I131" i="8"/>
  <c r="J131" i="8" s="1"/>
  <c r="I132" i="8"/>
  <c r="J132" i="8" s="1"/>
  <c r="I133" i="8"/>
  <c r="J133" i="8" s="1"/>
  <c r="I134" i="8"/>
  <c r="J134" i="8" s="1"/>
  <c r="I135" i="8"/>
  <c r="J135" i="8" s="1"/>
  <c r="I136" i="8"/>
  <c r="J136" i="8" s="1"/>
  <c r="I137" i="8"/>
  <c r="J137" i="8" s="1"/>
  <c r="I138" i="8"/>
  <c r="J138" i="8" s="1"/>
  <c r="I139" i="8"/>
  <c r="J139" i="8" s="1"/>
  <c r="I140" i="8"/>
  <c r="J140" i="8" s="1"/>
  <c r="I141" i="8"/>
  <c r="J141" i="8" s="1"/>
  <c r="I142" i="8"/>
  <c r="J142" i="8" s="1"/>
  <c r="I143" i="8"/>
  <c r="J143" i="8" s="1"/>
  <c r="I144" i="8"/>
  <c r="J144" i="8" s="1"/>
  <c r="I145" i="8"/>
  <c r="J145" i="8" s="1"/>
  <c r="I146" i="8"/>
  <c r="J146" i="8" s="1"/>
  <c r="I147" i="8"/>
  <c r="J147" i="8" s="1"/>
  <c r="I148" i="8"/>
  <c r="J148" i="8" s="1"/>
  <c r="I149" i="8"/>
  <c r="J149" i="8" s="1"/>
  <c r="I150" i="8"/>
  <c r="J150" i="8" s="1"/>
  <c r="I151" i="8"/>
  <c r="J151" i="8" s="1"/>
  <c r="I152" i="8"/>
  <c r="J152" i="8" s="1"/>
  <c r="I153" i="8"/>
  <c r="J153" i="8" s="1"/>
  <c r="I154" i="8"/>
  <c r="J154" i="8" s="1"/>
  <c r="I155" i="8"/>
  <c r="J155" i="8" s="1"/>
  <c r="I156" i="8"/>
  <c r="J156" i="8" s="1"/>
  <c r="I157" i="8"/>
  <c r="J157" i="8" s="1"/>
  <c r="I158" i="8"/>
  <c r="J158" i="8" s="1"/>
  <c r="I159" i="8"/>
  <c r="J159" i="8" s="1"/>
  <c r="I160" i="8"/>
  <c r="J160" i="8" s="1"/>
  <c r="I161" i="8"/>
  <c r="J161" i="8" s="1"/>
  <c r="I162" i="8"/>
  <c r="J162" i="8" s="1"/>
  <c r="I163" i="8"/>
  <c r="J163" i="8" s="1"/>
  <c r="I164" i="8"/>
  <c r="J164" i="8" s="1"/>
  <c r="I165" i="8"/>
  <c r="J165" i="8" s="1"/>
  <c r="I166" i="8"/>
  <c r="J166" i="8" s="1"/>
  <c r="I167" i="8"/>
  <c r="J167" i="8" s="1"/>
  <c r="I168" i="8"/>
  <c r="J168" i="8" s="1"/>
  <c r="I169" i="8"/>
  <c r="J169" i="8" s="1"/>
  <c r="I170" i="8"/>
  <c r="J170" i="8" s="1"/>
  <c r="I171" i="8"/>
  <c r="J171" i="8" s="1"/>
  <c r="I172" i="8"/>
  <c r="J172" i="8" s="1"/>
  <c r="I173" i="8"/>
  <c r="J173" i="8" s="1"/>
  <c r="I174" i="8"/>
  <c r="J174" i="8" s="1"/>
  <c r="I175" i="8"/>
  <c r="J175" i="8" s="1"/>
  <c r="I176" i="8"/>
  <c r="J176" i="8" s="1"/>
  <c r="I177" i="8"/>
  <c r="J177" i="8" s="1"/>
  <c r="I178" i="8"/>
  <c r="J178" i="8" s="1"/>
  <c r="I179" i="8"/>
  <c r="J179" i="8" s="1"/>
  <c r="I180" i="8"/>
  <c r="J180" i="8" s="1"/>
  <c r="I181" i="8"/>
  <c r="J181" i="8" s="1"/>
  <c r="I182" i="8"/>
  <c r="J182" i="8" s="1"/>
  <c r="I183" i="8"/>
  <c r="J183" i="8" s="1"/>
  <c r="I184" i="8"/>
  <c r="J184" i="8" s="1"/>
  <c r="I185" i="8"/>
  <c r="J185" i="8" s="1"/>
  <c r="I186" i="8"/>
  <c r="J186" i="8" s="1"/>
  <c r="I187" i="8"/>
  <c r="J187" i="8" s="1"/>
  <c r="I188" i="8"/>
  <c r="J188" i="8" s="1"/>
  <c r="I189" i="8"/>
  <c r="J189" i="8" s="1"/>
  <c r="I190" i="8"/>
  <c r="J190" i="8" s="1"/>
  <c r="I191" i="8"/>
  <c r="J191" i="8" s="1"/>
  <c r="I192" i="8"/>
  <c r="J192" i="8" s="1"/>
  <c r="I193" i="8"/>
  <c r="J193" i="8" s="1"/>
  <c r="I194" i="8"/>
  <c r="J194" i="8" s="1"/>
  <c r="I195" i="8"/>
  <c r="J195" i="8" s="1"/>
  <c r="I196" i="8"/>
  <c r="J196" i="8" s="1"/>
  <c r="I197" i="8"/>
  <c r="J197" i="8" s="1"/>
  <c r="I198" i="8"/>
  <c r="J198" i="8" s="1"/>
  <c r="I199" i="8"/>
  <c r="J199" i="8" s="1"/>
  <c r="I200" i="8"/>
  <c r="J200" i="8" s="1"/>
  <c r="I201" i="8"/>
  <c r="J201" i="8" s="1"/>
  <c r="I202" i="8"/>
  <c r="J202" i="8" s="1"/>
  <c r="I203" i="8"/>
  <c r="J203" i="8" s="1"/>
  <c r="I204" i="8"/>
  <c r="J204" i="8" s="1"/>
  <c r="I205" i="8"/>
  <c r="J205" i="8" s="1"/>
  <c r="I206" i="8"/>
  <c r="J206" i="8" s="1"/>
  <c r="I207" i="8"/>
  <c r="J207" i="8" s="1"/>
  <c r="I208" i="8"/>
  <c r="J208" i="8" s="1"/>
  <c r="I209" i="8"/>
  <c r="J209" i="8" s="1"/>
  <c r="I210" i="8"/>
  <c r="J210" i="8" s="1"/>
  <c r="I211" i="8"/>
  <c r="J211" i="8" s="1"/>
  <c r="I212" i="8"/>
  <c r="J212" i="8" s="1"/>
  <c r="I213" i="8"/>
  <c r="J213" i="8" s="1"/>
  <c r="I214" i="8"/>
  <c r="J214" i="8" s="1"/>
  <c r="I215" i="8"/>
  <c r="J215" i="8" s="1"/>
  <c r="I216" i="8"/>
  <c r="J216" i="8" s="1"/>
  <c r="I217" i="8"/>
  <c r="J217" i="8" s="1"/>
  <c r="I218" i="8"/>
  <c r="J218" i="8" s="1"/>
  <c r="I219" i="8"/>
  <c r="J219" i="8" s="1"/>
  <c r="I220" i="8"/>
  <c r="J220" i="8" s="1"/>
  <c r="I221" i="8"/>
  <c r="J221" i="8" s="1"/>
  <c r="I222" i="8"/>
  <c r="J222" i="8" s="1"/>
  <c r="I223" i="8"/>
  <c r="J223" i="8" s="1"/>
  <c r="I224" i="8"/>
  <c r="J224" i="8" s="1"/>
  <c r="I225" i="8"/>
  <c r="J225" i="8" s="1"/>
  <c r="I226" i="8"/>
  <c r="J226" i="8" s="1"/>
  <c r="I227" i="8"/>
  <c r="J227" i="8" s="1"/>
  <c r="I228" i="8"/>
  <c r="J228" i="8" s="1"/>
  <c r="I229" i="8"/>
  <c r="J229" i="8" s="1"/>
  <c r="I230" i="8"/>
  <c r="J230" i="8" s="1"/>
  <c r="I231" i="8"/>
  <c r="J231" i="8" s="1"/>
  <c r="I232" i="8"/>
  <c r="J232" i="8" s="1"/>
  <c r="I233" i="8"/>
  <c r="J233" i="8" s="1"/>
  <c r="I234" i="8"/>
  <c r="J234" i="8" s="1"/>
  <c r="I235" i="8"/>
  <c r="J235" i="8" s="1"/>
  <c r="I236" i="8"/>
  <c r="J236" i="8" s="1"/>
  <c r="I237" i="8"/>
  <c r="J237" i="8" s="1"/>
  <c r="I238" i="8"/>
  <c r="J238" i="8" s="1"/>
  <c r="I239" i="8"/>
  <c r="J239" i="8" s="1"/>
  <c r="I240" i="8"/>
  <c r="J240" i="8" s="1"/>
  <c r="I241" i="8"/>
  <c r="J241" i="8" s="1"/>
  <c r="I242" i="8"/>
  <c r="J242" i="8" s="1"/>
  <c r="I243" i="8"/>
  <c r="J243" i="8" s="1"/>
  <c r="I244" i="8"/>
  <c r="J244" i="8" s="1"/>
  <c r="I245" i="8"/>
  <c r="J245" i="8" s="1"/>
  <c r="I246" i="8"/>
  <c r="J246" i="8" s="1"/>
  <c r="I247" i="8"/>
  <c r="J247" i="8" s="1"/>
  <c r="I248" i="8"/>
  <c r="J248" i="8" s="1"/>
  <c r="I249" i="8"/>
  <c r="J249" i="8" s="1"/>
  <c r="I250" i="8"/>
  <c r="J250" i="8" s="1"/>
  <c r="I251" i="8"/>
  <c r="J251" i="8" s="1"/>
  <c r="I252" i="8"/>
  <c r="J252" i="8" s="1"/>
  <c r="I253" i="8"/>
  <c r="J253" i="8" s="1"/>
  <c r="I254" i="8"/>
  <c r="J254" i="8" s="1"/>
  <c r="I255" i="8"/>
  <c r="J255" i="8" s="1"/>
  <c r="I256" i="8"/>
  <c r="J256" i="8" s="1"/>
  <c r="I257" i="8"/>
  <c r="J257" i="8" s="1"/>
  <c r="I258" i="8"/>
  <c r="J258" i="8" s="1"/>
  <c r="I259" i="8"/>
  <c r="J259" i="8" s="1"/>
  <c r="I260" i="8"/>
  <c r="J260" i="8" s="1"/>
  <c r="I261" i="8"/>
  <c r="J261" i="8" s="1"/>
  <c r="I262" i="8"/>
  <c r="J262" i="8" s="1"/>
  <c r="I263" i="8"/>
  <c r="J263" i="8" s="1"/>
  <c r="I264" i="8"/>
  <c r="J264" i="8" s="1"/>
  <c r="I265" i="8"/>
  <c r="J265" i="8" s="1"/>
  <c r="I266" i="8"/>
  <c r="J266" i="8" s="1"/>
  <c r="I267" i="8"/>
  <c r="J267" i="8" s="1"/>
  <c r="I268" i="8"/>
  <c r="J268" i="8" s="1"/>
  <c r="I269" i="8"/>
  <c r="J269" i="8" s="1"/>
  <c r="I270" i="8"/>
  <c r="J270" i="8" s="1"/>
  <c r="I271" i="8"/>
  <c r="J271" i="8" s="1"/>
  <c r="I272" i="8"/>
  <c r="J272" i="8" s="1"/>
  <c r="I273" i="8"/>
  <c r="J273" i="8" s="1"/>
  <c r="I274" i="8"/>
  <c r="J274" i="8" s="1"/>
  <c r="I275" i="8"/>
  <c r="J275" i="8" s="1"/>
  <c r="I276" i="8"/>
  <c r="J276" i="8" s="1"/>
  <c r="I277" i="8"/>
  <c r="J277" i="8" s="1"/>
  <c r="I278" i="8"/>
  <c r="J278" i="8" s="1"/>
  <c r="I279" i="8"/>
  <c r="J279" i="8" s="1"/>
  <c r="I280" i="8"/>
  <c r="J280" i="8" s="1"/>
  <c r="I281" i="8"/>
  <c r="J281" i="8" s="1"/>
  <c r="I282" i="8"/>
  <c r="J282" i="8" s="1"/>
  <c r="I283" i="8"/>
  <c r="J283" i="8" s="1"/>
  <c r="I284" i="8"/>
  <c r="J284" i="8" s="1"/>
  <c r="I285" i="8"/>
  <c r="J285" i="8" s="1"/>
  <c r="I286" i="8"/>
  <c r="J286" i="8" s="1"/>
  <c r="I287" i="8"/>
  <c r="J287" i="8" s="1"/>
  <c r="I288" i="8"/>
  <c r="J288" i="8" s="1"/>
  <c r="I289" i="8"/>
  <c r="J289" i="8" s="1"/>
  <c r="I290" i="8"/>
  <c r="J290" i="8" s="1"/>
  <c r="I291" i="8"/>
  <c r="J291" i="8" s="1"/>
  <c r="I292" i="8"/>
  <c r="J292" i="8" s="1"/>
  <c r="I293" i="8"/>
  <c r="J293" i="8" s="1"/>
  <c r="I294" i="8"/>
  <c r="J294" i="8" s="1"/>
  <c r="I295" i="8"/>
  <c r="J295" i="8" s="1"/>
  <c r="I296" i="8"/>
  <c r="J296" i="8" s="1"/>
  <c r="I297" i="8"/>
  <c r="J297" i="8" s="1"/>
  <c r="I298" i="8"/>
  <c r="J298" i="8" s="1"/>
  <c r="I299" i="8"/>
  <c r="J299" i="8" s="1"/>
  <c r="I300" i="8"/>
  <c r="J300" i="8" s="1"/>
  <c r="I301" i="8"/>
  <c r="J301" i="8" s="1"/>
  <c r="I302" i="8"/>
  <c r="J302" i="8" s="1"/>
  <c r="I303" i="8"/>
  <c r="J303" i="8" s="1"/>
  <c r="I304" i="8"/>
  <c r="J304" i="8" s="1"/>
  <c r="I305" i="8"/>
  <c r="J305" i="8" s="1"/>
  <c r="I306" i="8"/>
  <c r="J306" i="8" s="1"/>
  <c r="I307" i="8"/>
  <c r="J307" i="8" s="1"/>
  <c r="I308" i="8"/>
  <c r="J308" i="8" s="1"/>
  <c r="I309" i="8"/>
  <c r="J309" i="8" s="1"/>
  <c r="I310" i="8"/>
  <c r="J310" i="8" s="1"/>
  <c r="I311" i="8"/>
  <c r="J311" i="8" s="1"/>
  <c r="I312" i="8"/>
  <c r="J312" i="8" s="1"/>
  <c r="I313" i="8"/>
  <c r="J313" i="8" s="1"/>
  <c r="I314" i="8"/>
  <c r="J314" i="8" s="1"/>
  <c r="I315" i="8"/>
  <c r="J315" i="8" s="1"/>
  <c r="I316" i="8"/>
  <c r="J316" i="8" s="1"/>
  <c r="I317" i="8"/>
  <c r="J317" i="8" s="1"/>
  <c r="I318" i="8"/>
  <c r="J318" i="8" s="1"/>
  <c r="I319" i="8"/>
  <c r="J319" i="8" s="1"/>
  <c r="I320" i="8"/>
  <c r="J320" i="8" s="1"/>
  <c r="I321" i="8"/>
  <c r="J321" i="8" s="1"/>
  <c r="I322" i="8"/>
  <c r="J322" i="8" s="1"/>
  <c r="I323" i="8"/>
  <c r="J323" i="8" s="1"/>
  <c r="I324" i="8"/>
  <c r="J324" i="8" s="1"/>
  <c r="I325" i="8"/>
  <c r="J325" i="8" s="1"/>
  <c r="I326" i="8"/>
  <c r="J326" i="8" s="1"/>
  <c r="I327" i="8"/>
  <c r="J327" i="8" s="1"/>
  <c r="I328" i="8"/>
  <c r="J328" i="8" s="1"/>
  <c r="I329" i="8"/>
  <c r="J329" i="8" s="1"/>
  <c r="I330" i="8"/>
  <c r="J330" i="8" s="1"/>
  <c r="I331" i="8"/>
  <c r="J331" i="8" s="1"/>
  <c r="I332" i="8"/>
  <c r="J332" i="8" s="1"/>
  <c r="I333" i="8"/>
  <c r="J333" i="8" s="1"/>
  <c r="I334" i="8"/>
  <c r="J334" i="8" s="1"/>
  <c r="I335" i="8"/>
  <c r="J335" i="8" s="1"/>
  <c r="I336" i="8"/>
  <c r="J336" i="8" s="1"/>
  <c r="I337" i="8"/>
  <c r="J337" i="8" s="1"/>
  <c r="I338" i="8"/>
  <c r="J338" i="8" s="1"/>
  <c r="I339" i="8"/>
  <c r="J339" i="8" s="1"/>
  <c r="I340" i="8"/>
  <c r="J340" i="8" s="1"/>
  <c r="I341" i="8"/>
  <c r="J341" i="8" s="1"/>
  <c r="I342" i="8"/>
  <c r="J342" i="8" s="1"/>
  <c r="I343" i="8"/>
  <c r="J343" i="8" s="1"/>
  <c r="I344" i="8"/>
  <c r="J344" i="8" s="1"/>
  <c r="I345" i="8"/>
  <c r="J345" i="8" s="1"/>
  <c r="I346" i="8"/>
  <c r="J346" i="8" s="1"/>
  <c r="I347" i="8"/>
  <c r="J347" i="8" s="1"/>
  <c r="I348" i="8"/>
  <c r="J348" i="8" s="1"/>
  <c r="I349" i="8"/>
  <c r="J349" i="8" s="1"/>
  <c r="I350" i="8"/>
  <c r="J350" i="8" s="1"/>
  <c r="I351" i="8"/>
  <c r="J351" i="8" s="1"/>
  <c r="I352" i="8"/>
  <c r="J352" i="8" s="1"/>
  <c r="I353" i="8"/>
  <c r="J353" i="8" s="1"/>
  <c r="I354" i="8"/>
  <c r="J354" i="8" s="1"/>
  <c r="I355" i="8"/>
  <c r="J355" i="8" s="1"/>
  <c r="I356" i="8"/>
  <c r="J356" i="8" s="1"/>
  <c r="I357" i="8"/>
  <c r="J357" i="8" s="1"/>
  <c r="I358" i="8"/>
  <c r="J358" i="8" s="1"/>
  <c r="I359" i="8"/>
  <c r="J359" i="8" s="1"/>
  <c r="I360" i="8"/>
  <c r="J360" i="8" s="1"/>
  <c r="I361" i="8"/>
  <c r="J361" i="8" s="1"/>
  <c r="I362" i="8"/>
  <c r="J362" i="8" s="1"/>
  <c r="I363" i="8"/>
  <c r="J363" i="8" s="1"/>
  <c r="I364" i="8"/>
  <c r="J364" i="8" s="1"/>
  <c r="I365" i="8"/>
  <c r="J365" i="8" s="1"/>
  <c r="I366" i="8"/>
  <c r="J366" i="8" s="1"/>
  <c r="I367" i="8"/>
  <c r="J367" i="8" s="1"/>
  <c r="I368" i="8"/>
  <c r="J368" i="8" s="1"/>
  <c r="I369" i="8"/>
  <c r="J369" i="8" s="1"/>
  <c r="I370" i="8"/>
  <c r="J370" i="8" s="1"/>
  <c r="I371" i="8"/>
  <c r="J371" i="8" s="1"/>
  <c r="I372" i="8"/>
  <c r="J372" i="8" s="1"/>
  <c r="I373" i="8"/>
  <c r="J373" i="8" s="1"/>
  <c r="I374" i="8"/>
  <c r="J374" i="8" s="1"/>
  <c r="I375" i="8"/>
  <c r="J375" i="8" s="1"/>
  <c r="I376" i="8"/>
  <c r="J376" i="8" s="1"/>
  <c r="I377" i="8"/>
  <c r="J377" i="8" s="1"/>
  <c r="I378" i="8"/>
  <c r="J378" i="8" s="1"/>
  <c r="I379" i="8"/>
  <c r="J379" i="8" s="1"/>
  <c r="I380" i="8"/>
  <c r="J380" i="8" s="1"/>
  <c r="I381" i="8"/>
  <c r="J381" i="8" s="1"/>
  <c r="I382" i="8"/>
  <c r="J382" i="8" s="1"/>
  <c r="I383" i="8"/>
  <c r="J383" i="8" s="1"/>
  <c r="I384" i="8"/>
  <c r="J384" i="8" s="1"/>
  <c r="I385" i="8"/>
  <c r="J385" i="8" s="1"/>
  <c r="I386" i="8"/>
  <c r="J386" i="8" s="1"/>
  <c r="I387" i="8"/>
  <c r="J387" i="8" s="1"/>
  <c r="I388" i="8"/>
  <c r="J388" i="8" s="1"/>
  <c r="I389" i="8"/>
  <c r="J389" i="8" s="1"/>
  <c r="I390" i="8"/>
  <c r="J390" i="8" s="1"/>
  <c r="I391" i="8"/>
  <c r="J391" i="8" s="1"/>
  <c r="I392" i="8"/>
  <c r="J392" i="8" s="1"/>
  <c r="I393" i="8"/>
  <c r="J393" i="8" s="1"/>
  <c r="I394" i="8"/>
  <c r="J394" i="8" s="1"/>
  <c r="I395" i="8"/>
  <c r="J395" i="8" s="1"/>
  <c r="I396" i="8"/>
  <c r="J396" i="8" s="1"/>
  <c r="I397" i="8"/>
  <c r="J397" i="8" s="1"/>
  <c r="I398" i="8"/>
  <c r="J398" i="8" s="1"/>
  <c r="I399" i="8"/>
  <c r="J399" i="8" s="1"/>
  <c r="I400" i="8"/>
  <c r="J400" i="8" s="1"/>
  <c r="I401" i="8"/>
  <c r="J401" i="8" s="1"/>
  <c r="I402" i="8"/>
  <c r="J402" i="8" s="1"/>
  <c r="I403" i="8"/>
  <c r="J403" i="8" s="1"/>
  <c r="I404" i="8"/>
  <c r="J404" i="8" s="1"/>
  <c r="I405" i="8"/>
  <c r="J405" i="8" s="1"/>
  <c r="I406" i="8"/>
  <c r="J406" i="8" s="1"/>
  <c r="I407" i="8"/>
  <c r="J407" i="8" s="1"/>
  <c r="I408" i="8"/>
  <c r="J408" i="8" s="1"/>
  <c r="I409" i="8"/>
  <c r="J409" i="8" s="1"/>
  <c r="I410" i="8"/>
  <c r="J410" i="8" s="1"/>
  <c r="I411" i="8"/>
  <c r="J411" i="8" s="1"/>
  <c r="I412" i="8"/>
  <c r="J412" i="8" s="1"/>
  <c r="I413" i="8"/>
  <c r="J413" i="8" s="1"/>
  <c r="I414" i="8"/>
  <c r="J414" i="8" s="1"/>
  <c r="I415" i="8"/>
  <c r="J415" i="8" s="1"/>
  <c r="I416" i="8"/>
  <c r="J416" i="8" s="1"/>
  <c r="I417" i="8"/>
  <c r="J417" i="8" s="1"/>
  <c r="I418" i="8"/>
  <c r="J418" i="8" s="1"/>
  <c r="I419" i="8"/>
  <c r="J419" i="8" s="1"/>
  <c r="I420" i="8"/>
  <c r="J420" i="8" s="1"/>
  <c r="I421" i="8"/>
  <c r="J421" i="8" s="1"/>
  <c r="I422" i="8"/>
  <c r="J422" i="8" s="1"/>
  <c r="I423" i="8"/>
  <c r="J423" i="8" s="1"/>
  <c r="I424" i="8"/>
  <c r="J424" i="8" s="1"/>
  <c r="I425" i="8"/>
  <c r="J425" i="8" s="1"/>
  <c r="I426" i="8"/>
  <c r="J426" i="8" s="1"/>
  <c r="I427" i="8"/>
  <c r="J427" i="8" s="1"/>
  <c r="I428" i="8"/>
  <c r="J428" i="8" s="1"/>
  <c r="I429" i="8"/>
  <c r="J429" i="8" s="1"/>
  <c r="I430" i="8"/>
  <c r="J430" i="8" s="1"/>
  <c r="I431" i="8"/>
  <c r="J431" i="8" s="1"/>
  <c r="I432" i="8"/>
  <c r="J432" i="8" s="1"/>
  <c r="I433" i="8"/>
  <c r="J433" i="8" s="1"/>
  <c r="I434" i="8"/>
  <c r="J434" i="8" s="1"/>
  <c r="I435" i="8"/>
  <c r="J435" i="8" s="1"/>
  <c r="I436" i="8"/>
  <c r="J436" i="8" s="1"/>
  <c r="I437" i="8"/>
  <c r="J437" i="8" s="1"/>
  <c r="I438" i="8"/>
  <c r="J438" i="8" s="1"/>
  <c r="I439" i="8"/>
  <c r="J439" i="8" s="1"/>
  <c r="I440" i="8"/>
  <c r="J440" i="8" s="1"/>
  <c r="I441" i="8"/>
  <c r="J441" i="8" s="1"/>
  <c r="I442" i="8"/>
  <c r="J442" i="8" s="1"/>
  <c r="I443" i="8"/>
  <c r="J443" i="8" s="1"/>
  <c r="I444" i="8"/>
  <c r="J444" i="8" s="1"/>
  <c r="I445" i="8"/>
  <c r="J445" i="8" s="1"/>
  <c r="I446" i="8"/>
  <c r="J446" i="8" s="1"/>
  <c r="I447" i="8"/>
  <c r="J447" i="8" s="1"/>
  <c r="I448" i="8"/>
  <c r="J448" i="8" s="1"/>
  <c r="I449" i="8"/>
  <c r="J449" i="8" s="1"/>
  <c r="I450" i="8"/>
  <c r="J450" i="8" s="1"/>
  <c r="I451" i="8"/>
  <c r="J451" i="8" s="1"/>
  <c r="I452" i="8"/>
  <c r="J452" i="8" s="1"/>
  <c r="I453" i="8"/>
  <c r="J453" i="8" s="1"/>
  <c r="I454" i="8"/>
  <c r="J454" i="8" s="1"/>
  <c r="I455" i="8"/>
  <c r="J455" i="8" s="1"/>
  <c r="I456" i="8"/>
  <c r="J456" i="8" s="1"/>
  <c r="I457" i="8"/>
  <c r="J457" i="8" s="1"/>
  <c r="I458" i="8"/>
  <c r="J458" i="8" s="1"/>
  <c r="I459" i="8"/>
  <c r="J459" i="8" s="1"/>
  <c r="I460" i="8"/>
  <c r="J460" i="8" s="1"/>
  <c r="I461" i="8"/>
  <c r="J461" i="8" s="1"/>
  <c r="I462" i="8"/>
  <c r="J462" i="8" s="1"/>
  <c r="I463" i="8"/>
  <c r="J463" i="8" s="1"/>
  <c r="I464" i="8"/>
  <c r="J464" i="8" s="1"/>
  <c r="I465" i="8"/>
  <c r="J465" i="8" s="1"/>
  <c r="I466" i="8"/>
  <c r="J466" i="8" s="1"/>
  <c r="I467" i="8"/>
  <c r="J467" i="8" s="1"/>
  <c r="I468" i="8"/>
  <c r="J468" i="8" s="1"/>
  <c r="I469" i="8"/>
  <c r="J469" i="8" s="1"/>
  <c r="I470" i="8"/>
  <c r="J470" i="8" s="1"/>
  <c r="I471" i="8"/>
  <c r="J471" i="8" s="1"/>
  <c r="I472" i="8"/>
  <c r="J472" i="8" s="1"/>
  <c r="I473" i="8"/>
  <c r="J473" i="8" s="1"/>
  <c r="I474" i="8"/>
  <c r="J474" i="8" s="1"/>
  <c r="I475" i="8"/>
  <c r="J475" i="8" s="1"/>
  <c r="I476" i="8"/>
  <c r="J476" i="8" s="1"/>
  <c r="I477" i="8"/>
  <c r="J477" i="8" s="1"/>
  <c r="I478" i="8"/>
  <c r="J478" i="8" s="1"/>
  <c r="I479" i="8"/>
  <c r="J479" i="8" s="1"/>
  <c r="I480" i="8"/>
  <c r="J480" i="8" s="1"/>
  <c r="I481" i="8"/>
  <c r="J481" i="8" s="1"/>
  <c r="I482" i="8"/>
  <c r="J482" i="8" s="1"/>
  <c r="I483" i="8"/>
  <c r="J483" i="8" s="1"/>
  <c r="I484" i="8"/>
  <c r="J484" i="8" s="1"/>
  <c r="I485" i="8"/>
  <c r="J485" i="8" s="1"/>
  <c r="I486" i="8"/>
  <c r="J486" i="8" s="1"/>
  <c r="I487" i="8"/>
  <c r="J487" i="8" s="1"/>
  <c r="I488" i="8"/>
  <c r="J488" i="8" s="1"/>
  <c r="I489" i="8"/>
  <c r="J489" i="8" s="1"/>
  <c r="I490" i="8"/>
  <c r="J490" i="8" s="1"/>
  <c r="I491" i="8"/>
  <c r="J491" i="8" s="1"/>
  <c r="I492" i="8"/>
  <c r="J492" i="8" s="1"/>
  <c r="I493" i="8"/>
  <c r="J493" i="8" s="1"/>
  <c r="I494" i="8"/>
  <c r="J494" i="8" s="1"/>
  <c r="I495" i="8"/>
  <c r="J495" i="8" s="1"/>
  <c r="I496" i="8"/>
  <c r="J496" i="8" s="1"/>
  <c r="I497" i="8"/>
  <c r="J497" i="8" s="1"/>
  <c r="I498" i="8"/>
  <c r="J498" i="8" s="1"/>
  <c r="I499" i="8"/>
  <c r="J499" i="8" s="1"/>
  <c r="I500" i="8"/>
  <c r="J500" i="8" s="1"/>
  <c r="I501" i="8"/>
  <c r="J501" i="8" s="1"/>
  <c r="I502" i="8"/>
  <c r="J502" i="8" s="1"/>
  <c r="I503" i="8"/>
  <c r="J503" i="8" s="1"/>
  <c r="I504" i="8"/>
  <c r="J504" i="8" s="1"/>
  <c r="I505" i="8"/>
  <c r="J505" i="8" s="1"/>
  <c r="I506" i="8"/>
  <c r="J506" i="8" s="1"/>
  <c r="I507" i="8"/>
  <c r="J507" i="8" s="1"/>
  <c r="I508" i="8"/>
  <c r="J508" i="8" s="1"/>
  <c r="I509" i="8"/>
  <c r="J509" i="8" s="1"/>
  <c r="I510" i="8"/>
  <c r="J510" i="8" s="1"/>
  <c r="I511" i="8"/>
  <c r="J511" i="8" s="1"/>
  <c r="I512" i="8"/>
  <c r="J512" i="8" s="1"/>
  <c r="I513" i="8"/>
  <c r="J513" i="8" s="1"/>
  <c r="I514" i="8"/>
  <c r="J514" i="8" s="1"/>
  <c r="I515" i="8"/>
  <c r="J515" i="8" s="1"/>
  <c r="I516" i="8"/>
  <c r="J516" i="8" s="1"/>
  <c r="I517" i="8"/>
  <c r="J517" i="8" s="1"/>
  <c r="I518" i="8"/>
  <c r="J518" i="8" s="1"/>
  <c r="I519" i="8"/>
  <c r="J519" i="8" s="1"/>
  <c r="I520" i="8"/>
  <c r="J520" i="8" s="1"/>
  <c r="I521" i="8"/>
  <c r="J521" i="8" s="1"/>
  <c r="I522" i="8"/>
  <c r="J522" i="8" s="1"/>
  <c r="I523" i="8"/>
  <c r="J523" i="8" s="1"/>
  <c r="I524" i="8"/>
  <c r="J524" i="8" s="1"/>
  <c r="I525" i="8"/>
  <c r="J525" i="8" s="1"/>
  <c r="I526" i="8"/>
  <c r="J526" i="8" s="1"/>
  <c r="I527" i="8"/>
  <c r="J527" i="8" s="1"/>
  <c r="I528" i="8"/>
  <c r="J528" i="8" s="1"/>
  <c r="I529" i="8"/>
  <c r="J529" i="8" s="1"/>
  <c r="I530" i="8"/>
  <c r="J530" i="8" s="1"/>
  <c r="I531" i="8"/>
  <c r="J531" i="8" s="1"/>
  <c r="I532" i="8"/>
  <c r="J532" i="8" s="1"/>
  <c r="I533" i="8"/>
  <c r="J533" i="8" s="1"/>
  <c r="I534" i="8"/>
  <c r="J534" i="8" s="1"/>
  <c r="I535" i="8"/>
  <c r="J535" i="8" s="1"/>
  <c r="I536" i="8"/>
  <c r="J536" i="8" s="1"/>
  <c r="I537" i="8"/>
  <c r="J537" i="8" s="1"/>
  <c r="I538" i="8"/>
  <c r="J538" i="8" s="1"/>
  <c r="I539" i="8"/>
  <c r="J539" i="8" s="1"/>
  <c r="I540" i="8"/>
  <c r="J540" i="8" s="1"/>
  <c r="I541" i="8"/>
  <c r="J541" i="8" s="1"/>
  <c r="I542" i="8"/>
  <c r="J542" i="8" s="1"/>
  <c r="I543" i="8"/>
  <c r="J543" i="8" s="1"/>
  <c r="I544" i="8"/>
  <c r="J544" i="8" s="1"/>
  <c r="I545" i="8"/>
  <c r="J545" i="8" s="1"/>
  <c r="I546" i="8"/>
  <c r="J546" i="8" s="1"/>
  <c r="I547" i="8"/>
  <c r="J547" i="8" s="1"/>
  <c r="I548" i="8"/>
  <c r="J548" i="8" s="1"/>
  <c r="I549" i="8"/>
  <c r="J549" i="8" s="1"/>
  <c r="I550" i="8"/>
  <c r="J550" i="8" s="1"/>
  <c r="I551" i="8"/>
  <c r="J551" i="8" s="1"/>
  <c r="I552" i="8"/>
  <c r="J552" i="8" s="1"/>
  <c r="I553" i="8"/>
  <c r="J553" i="8" s="1"/>
  <c r="I554" i="8"/>
  <c r="J554" i="8" s="1"/>
  <c r="I555" i="8"/>
  <c r="J555" i="8" s="1"/>
  <c r="I556" i="8"/>
  <c r="J556" i="8" s="1"/>
  <c r="I557" i="8"/>
  <c r="J557" i="8" s="1"/>
  <c r="I558" i="8"/>
  <c r="J558" i="8" s="1"/>
  <c r="I559" i="8"/>
  <c r="J559" i="8" s="1"/>
  <c r="I560" i="8"/>
  <c r="J560" i="8" s="1"/>
  <c r="I561" i="8"/>
  <c r="J561" i="8" s="1"/>
  <c r="I562" i="8"/>
  <c r="J562" i="8" s="1"/>
  <c r="I563" i="8"/>
  <c r="J563" i="8" s="1"/>
  <c r="I564" i="8"/>
  <c r="J564" i="8" s="1"/>
  <c r="I565" i="8"/>
  <c r="J565" i="8" s="1"/>
  <c r="I566" i="8"/>
  <c r="J566" i="8" s="1"/>
  <c r="I567" i="8"/>
  <c r="J567" i="8" s="1"/>
  <c r="I568" i="8"/>
  <c r="J568" i="8" s="1"/>
  <c r="I569" i="8"/>
  <c r="J569" i="8" s="1"/>
  <c r="I570" i="8"/>
  <c r="J570" i="8" s="1"/>
  <c r="I571" i="8"/>
  <c r="J571" i="8" s="1"/>
  <c r="I572" i="8"/>
  <c r="J572" i="8" s="1"/>
  <c r="I573" i="8"/>
  <c r="J573" i="8" s="1"/>
  <c r="I574" i="8"/>
  <c r="J574" i="8" s="1"/>
  <c r="I575" i="8"/>
  <c r="J575" i="8" s="1"/>
  <c r="I576" i="8"/>
  <c r="J576" i="8" s="1"/>
  <c r="I577" i="8"/>
  <c r="J577" i="8" s="1"/>
  <c r="I578" i="8"/>
  <c r="J578" i="8" s="1"/>
  <c r="I579" i="8"/>
  <c r="J579" i="8" s="1"/>
  <c r="I580" i="8"/>
  <c r="J580" i="8" s="1"/>
  <c r="I581" i="8"/>
  <c r="J581" i="8" s="1"/>
  <c r="I582" i="8"/>
  <c r="J582" i="8" s="1"/>
  <c r="I583" i="8"/>
  <c r="J583" i="8" s="1"/>
  <c r="I584" i="8"/>
  <c r="J584" i="8" s="1"/>
  <c r="I585" i="8"/>
  <c r="J585" i="8" s="1"/>
  <c r="I586" i="8"/>
  <c r="J586" i="8" s="1"/>
  <c r="I587" i="8"/>
  <c r="J587" i="8" s="1"/>
  <c r="I588" i="8"/>
  <c r="J588" i="8" s="1"/>
  <c r="I589" i="8"/>
  <c r="J589" i="8" s="1"/>
  <c r="I590" i="8"/>
  <c r="J590" i="8" s="1"/>
  <c r="I591" i="8"/>
  <c r="J591" i="8" s="1"/>
  <c r="I592" i="8"/>
  <c r="J592" i="8" s="1"/>
  <c r="I593" i="8"/>
  <c r="J593" i="8" s="1"/>
  <c r="I594" i="8"/>
  <c r="J594" i="8" s="1"/>
  <c r="I595" i="8"/>
  <c r="J595" i="8" s="1"/>
  <c r="I596" i="8"/>
  <c r="J596" i="8" s="1"/>
  <c r="I597" i="8"/>
  <c r="J597" i="8" s="1"/>
  <c r="I598" i="8"/>
  <c r="J598" i="8" s="1"/>
  <c r="I599" i="8"/>
  <c r="J599" i="8" s="1"/>
  <c r="I600" i="8"/>
  <c r="J600" i="8" s="1"/>
  <c r="I601" i="8"/>
  <c r="J601" i="8" s="1"/>
  <c r="I602" i="8"/>
  <c r="J602" i="8" s="1"/>
  <c r="I603" i="8"/>
  <c r="J603" i="8" s="1"/>
  <c r="I604" i="8"/>
  <c r="J604" i="8" s="1"/>
  <c r="I605" i="8"/>
  <c r="J605" i="8" s="1"/>
  <c r="I606" i="8"/>
  <c r="J606" i="8" s="1"/>
  <c r="I607" i="8"/>
  <c r="J607" i="8" s="1"/>
  <c r="I608" i="8"/>
  <c r="J608" i="8" s="1"/>
  <c r="I609" i="8"/>
  <c r="J609" i="8" s="1"/>
  <c r="I610" i="8"/>
  <c r="J610" i="8" s="1"/>
  <c r="I611" i="8"/>
  <c r="J611" i="8" s="1"/>
  <c r="I612" i="8"/>
  <c r="J612" i="8" s="1"/>
  <c r="I613" i="8"/>
  <c r="J613" i="8" s="1"/>
  <c r="I614" i="8"/>
  <c r="J614" i="8" s="1"/>
  <c r="I615" i="8"/>
  <c r="J615" i="8" s="1"/>
  <c r="I616" i="8"/>
  <c r="J616" i="8" s="1"/>
  <c r="I617" i="8"/>
  <c r="J617" i="8" s="1"/>
  <c r="I618" i="8"/>
  <c r="J618" i="8" s="1"/>
  <c r="I619" i="8"/>
  <c r="J619" i="8" s="1"/>
  <c r="I620" i="8"/>
  <c r="J620" i="8" s="1"/>
  <c r="I621" i="8"/>
  <c r="J621" i="8" s="1"/>
  <c r="I622" i="8"/>
  <c r="J622" i="8" s="1"/>
  <c r="I623" i="8"/>
  <c r="J623" i="8" s="1"/>
  <c r="I624" i="8"/>
  <c r="J624" i="8" s="1"/>
  <c r="I625" i="8"/>
  <c r="J625" i="8" s="1"/>
  <c r="I626" i="8"/>
  <c r="J626" i="8" s="1"/>
  <c r="I4" i="8"/>
  <c r="J4" i="8" s="1"/>
  <c r="E15" i="10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31" i="6"/>
  <c r="I80" i="6" l="1"/>
  <c r="G37" i="6"/>
  <c r="H37" i="6" s="1"/>
  <c r="G38" i="6"/>
  <c r="H38" i="6" s="1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H47" i="6" s="1"/>
  <c r="G48" i="6"/>
  <c r="H48" i="6" s="1"/>
  <c r="G49" i="6"/>
  <c r="H49" i="6" s="1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H63" i="6" s="1"/>
  <c r="G64" i="6"/>
  <c r="H64" i="6" s="1"/>
  <c r="G65" i="6"/>
  <c r="H65" i="6" s="1"/>
  <c r="G75" i="6"/>
  <c r="H75" i="6" s="1"/>
  <c r="G76" i="6"/>
  <c r="H76" i="6" s="1"/>
  <c r="G77" i="6"/>
  <c r="H77" i="6" s="1"/>
  <c r="G78" i="6"/>
  <c r="H78" i="6" s="1"/>
  <c r="G79" i="6"/>
  <c r="H79" i="6" s="1"/>
  <c r="G31" i="6"/>
  <c r="H31" i="6" s="1"/>
  <c r="G32" i="6"/>
  <c r="H32" i="6" s="1"/>
  <c r="G33" i="6"/>
  <c r="H33" i="6" s="1"/>
  <c r="G34" i="6"/>
  <c r="H34" i="6" s="1"/>
  <c r="G35" i="6"/>
  <c r="H35" i="6" s="1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H72" i="6" s="1"/>
  <c r="G73" i="6"/>
  <c r="H73" i="6" s="1"/>
  <c r="G74" i="6"/>
  <c r="H74" i="6" s="1"/>
  <c r="G36" i="6"/>
  <c r="H36" i="6" s="1"/>
  <c r="E14" i="6" l="1"/>
  <c r="F14" i="6"/>
  <c r="E13" i="6"/>
  <c r="F13" i="6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5" i="1"/>
  <c r="J606" i="1"/>
  <c r="L606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5" i="1"/>
  <c r="R6" i="1"/>
  <c r="S6" i="1"/>
  <c r="T6" i="1"/>
  <c r="R7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S21" i="1"/>
  <c r="T21" i="1"/>
  <c r="R22" i="1"/>
  <c r="S22" i="1"/>
  <c r="T22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R43" i="1"/>
  <c r="S43" i="1"/>
  <c r="T43" i="1"/>
  <c r="R44" i="1"/>
  <c r="S44" i="1"/>
  <c r="T44" i="1"/>
  <c r="R45" i="1"/>
  <c r="S45" i="1"/>
  <c r="T45" i="1"/>
  <c r="R46" i="1"/>
  <c r="S46" i="1"/>
  <c r="T46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54" i="1"/>
  <c r="S54" i="1"/>
  <c r="T54" i="1"/>
  <c r="R55" i="1"/>
  <c r="S55" i="1"/>
  <c r="T55" i="1"/>
  <c r="R56" i="1"/>
  <c r="S56" i="1"/>
  <c r="T56" i="1"/>
  <c r="R57" i="1"/>
  <c r="S57" i="1"/>
  <c r="T57" i="1"/>
  <c r="R58" i="1"/>
  <c r="S58" i="1"/>
  <c r="T58" i="1"/>
  <c r="R59" i="1"/>
  <c r="S59" i="1"/>
  <c r="T59" i="1"/>
  <c r="R60" i="1"/>
  <c r="S60" i="1"/>
  <c r="T60" i="1"/>
  <c r="R61" i="1"/>
  <c r="S61" i="1"/>
  <c r="T61" i="1"/>
  <c r="R62" i="1"/>
  <c r="S62" i="1"/>
  <c r="T62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S85" i="1"/>
  <c r="T85" i="1"/>
  <c r="R86" i="1"/>
  <c r="S86" i="1"/>
  <c r="T86" i="1"/>
  <c r="R87" i="1"/>
  <c r="S87" i="1"/>
  <c r="T87" i="1"/>
  <c r="S88" i="1"/>
  <c r="T88" i="1"/>
  <c r="R89" i="1"/>
  <c r="S89" i="1"/>
  <c r="T89" i="1"/>
  <c r="R90" i="1"/>
  <c r="S90" i="1"/>
  <c r="T90" i="1"/>
  <c r="R91" i="1"/>
  <c r="S91" i="1"/>
  <c r="T91" i="1"/>
  <c r="R92" i="1"/>
  <c r="S92" i="1"/>
  <c r="T92" i="1"/>
  <c r="R93" i="1"/>
  <c r="S93" i="1"/>
  <c r="T93" i="1"/>
  <c r="R94" i="1"/>
  <c r="S94" i="1"/>
  <c r="T94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106" i="1"/>
  <c r="S106" i="1"/>
  <c r="T106" i="1"/>
  <c r="R107" i="1"/>
  <c r="S107" i="1"/>
  <c r="T107" i="1"/>
  <c r="R108" i="1"/>
  <c r="S108" i="1"/>
  <c r="T108" i="1"/>
  <c r="R109" i="1"/>
  <c r="S109" i="1"/>
  <c r="T109" i="1"/>
  <c r="R110" i="1"/>
  <c r="S110" i="1"/>
  <c r="T110" i="1"/>
  <c r="R111" i="1"/>
  <c r="S111" i="1"/>
  <c r="T111" i="1"/>
  <c r="R112" i="1"/>
  <c r="S112" i="1"/>
  <c r="T112" i="1"/>
  <c r="R113" i="1"/>
  <c r="S113" i="1"/>
  <c r="T113" i="1"/>
  <c r="R114" i="1"/>
  <c r="S114" i="1"/>
  <c r="T114" i="1"/>
  <c r="R115" i="1"/>
  <c r="S115" i="1"/>
  <c r="T115" i="1"/>
  <c r="R116" i="1"/>
  <c r="S116" i="1"/>
  <c r="T116" i="1"/>
  <c r="R117" i="1"/>
  <c r="S117" i="1"/>
  <c r="T117" i="1"/>
  <c r="R118" i="1"/>
  <c r="S118" i="1"/>
  <c r="T118" i="1"/>
  <c r="R119" i="1"/>
  <c r="S119" i="1"/>
  <c r="T119" i="1"/>
  <c r="S120" i="1"/>
  <c r="T120" i="1"/>
  <c r="R121" i="1"/>
  <c r="S121" i="1"/>
  <c r="T121" i="1"/>
  <c r="R122" i="1"/>
  <c r="S122" i="1"/>
  <c r="T122" i="1"/>
  <c r="R123" i="1"/>
  <c r="S123" i="1"/>
  <c r="T123" i="1"/>
  <c r="R124" i="1"/>
  <c r="S124" i="1"/>
  <c r="T124" i="1"/>
  <c r="R125" i="1"/>
  <c r="S125" i="1"/>
  <c r="T125" i="1"/>
  <c r="R126" i="1"/>
  <c r="S126" i="1"/>
  <c r="T126" i="1"/>
  <c r="R127" i="1"/>
  <c r="S127" i="1"/>
  <c r="T127" i="1"/>
  <c r="R128" i="1"/>
  <c r="S128" i="1"/>
  <c r="T128" i="1"/>
  <c r="R129" i="1"/>
  <c r="S129" i="1"/>
  <c r="T129" i="1"/>
  <c r="R130" i="1"/>
  <c r="S130" i="1"/>
  <c r="T130" i="1"/>
  <c r="R131" i="1"/>
  <c r="S131" i="1"/>
  <c r="T131" i="1"/>
  <c r="R132" i="1"/>
  <c r="S132" i="1"/>
  <c r="T132" i="1"/>
  <c r="R133" i="1"/>
  <c r="S133" i="1"/>
  <c r="T133" i="1"/>
  <c r="R134" i="1"/>
  <c r="S134" i="1"/>
  <c r="T134" i="1"/>
  <c r="R135" i="1"/>
  <c r="S135" i="1"/>
  <c r="T135" i="1"/>
  <c r="R136" i="1"/>
  <c r="S136" i="1"/>
  <c r="T136" i="1"/>
  <c r="R137" i="1"/>
  <c r="S137" i="1"/>
  <c r="T137" i="1"/>
  <c r="R138" i="1"/>
  <c r="S138" i="1"/>
  <c r="T138" i="1"/>
  <c r="S139" i="1"/>
  <c r="T139" i="1"/>
  <c r="S140" i="1"/>
  <c r="T140" i="1"/>
  <c r="R141" i="1"/>
  <c r="S141" i="1"/>
  <c r="T141" i="1"/>
  <c r="R142" i="1"/>
  <c r="S142" i="1"/>
  <c r="T142" i="1"/>
  <c r="R143" i="1"/>
  <c r="S143" i="1"/>
  <c r="T143" i="1"/>
  <c r="R144" i="1"/>
  <c r="S144" i="1"/>
  <c r="T144" i="1"/>
  <c r="R145" i="1"/>
  <c r="S145" i="1"/>
  <c r="T145" i="1"/>
  <c r="R146" i="1"/>
  <c r="S146" i="1"/>
  <c r="T146" i="1"/>
  <c r="R147" i="1"/>
  <c r="S147" i="1"/>
  <c r="T147" i="1"/>
  <c r="R148" i="1"/>
  <c r="S148" i="1"/>
  <c r="T148" i="1"/>
  <c r="R149" i="1"/>
  <c r="S149" i="1"/>
  <c r="T149" i="1"/>
  <c r="R150" i="1"/>
  <c r="S150" i="1"/>
  <c r="T150" i="1"/>
  <c r="R151" i="1"/>
  <c r="S151" i="1"/>
  <c r="T151" i="1"/>
  <c r="S152" i="1"/>
  <c r="T152" i="1"/>
  <c r="R153" i="1"/>
  <c r="S153" i="1"/>
  <c r="T153" i="1"/>
  <c r="R154" i="1"/>
  <c r="S154" i="1"/>
  <c r="T154" i="1"/>
  <c r="R155" i="1"/>
  <c r="S155" i="1"/>
  <c r="T155" i="1"/>
  <c r="R156" i="1"/>
  <c r="S156" i="1"/>
  <c r="T156" i="1"/>
  <c r="R157" i="1"/>
  <c r="S157" i="1"/>
  <c r="T157" i="1"/>
  <c r="R158" i="1"/>
  <c r="S158" i="1"/>
  <c r="T158" i="1"/>
  <c r="S159" i="1"/>
  <c r="T159" i="1"/>
  <c r="R160" i="1"/>
  <c r="S160" i="1"/>
  <c r="T160" i="1"/>
  <c r="S161" i="1"/>
  <c r="T161" i="1"/>
  <c r="R162" i="1"/>
  <c r="S162" i="1"/>
  <c r="T162" i="1"/>
  <c r="R163" i="1"/>
  <c r="S163" i="1"/>
  <c r="T163" i="1"/>
  <c r="R164" i="1"/>
  <c r="S164" i="1"/>
  <c r="T164" i="1"/>
  <c r="R165" i="1"/>
  <c r="S165" i="1"/>
  <c r="T165" i="1"/>
  <c r="R166" i="1"/>
  <c r="S166" i="1"/>
  <c r="T166" i="1"/>
  <c r="R167" i="1"/>
  <c r="S167" i="1"/>
  <c r="T167" i="1"/>
  <c r="S168" i="1"/>
  <c r="T168" i="1"/>
  <c r="R169" i="1"/>
  <c r="S169" i="1"/>
  <c r="T169" i="1"/>
  <c r="R170" i="1"/>
  <c r="S170" i="1"/>
  <c r="T170" i="1"/>
  <c r="R171" i="1"/>
  <c r="S171" i="1"/>
  <c r="T171" i="1"/>
  <c r="S172" i="1"/>
  <c r="T172" i="1"/>
  <c r="R173" i="1"/>
  <c r="S173" i="1"/>
  <c r="T173" i="1"/>
  <c r="R174" i="1"/>
  <c r="S174" i="1"/>
  <c r="T174" i="1"/>
  <c r="R175" i="1"/>
  <c r="S175" i="1"/>
  <c r="T175" i="1"/>
  <c r="R176" i="1"/>
  <c r="S176" i="1"/>
  <c r="T176" i="1"/>
  <c r="R177" i="1"/>
  <c r="S177" i="1"/>
  <c r="T177" i="1"/>
  <c r="R178" i="1"/>
  <c r="S178" i="1"/>
  <c r="T178" i="1"/>
  <c r="R179" i="1"/>
  <c r="S179" i="1"/>
  <c r="T179" i="1"/>
  <c r="R180" i="1"/>
  <c r="S180" i="1"/>
  <c r="T180" i="1"/>
  <c r="S181" i="1"/>
  <c r="T181" i="1"/>
  <c r="R182" i="1"/>
  <c r="S182" i="1"/>
  <c r="T182" i="1"/>
  <c r="S183" i="1"/>
  <c r="T183" i="1"/>
  <c r="R184" i="1"/>
  <c r="S184" i="1"/>
  <c r="T184" i="1"/>
  <c r="S185" i="1"/>
  <c r="T185" i="1"/>
  <c r="R186" i="1"/>
  <c r="S186" i="1"/>
  <c r="T186" i="1"/>
  <c r="R187" i="1"/>
  <c r="S187" i="1"/>
  <c r="T187" i="1"/>
  <c r="R188" i="1"/>
  <c r="S188" i="1"/>
  <c r="T188" i="1"/>
  <c r="R189" i="1"/>
  <c r="S189" i="1"/>
  <c r="T189" i="1"/>
  <c r="R190" i="1"/>
  <c r="S190" i="1"/>
  <c r="T190" i="1"/>
  <c r="R191" i="1"/>
  <c r="S191" i="1"/>
  <c r="T191" i="1"/>
  <c r="R192" i="1"/>
  <c r="S192" i="1"/>
  <c r="T192" i="1"/>
  <c r="R193" i="1"/>
  <c r="S193" i="1"/>
  <c r="T193" i="1"/>
  <c r="R194" i="1"/>
  <c r="S194" i="1"/>
  <c r="T194" i="1"/>
  <c r="R195" i="1"/>
  <c r="S195" i="1"/>
  <c r="T195" i="1"/>
  <c r="R196" i="1"/>
  <c r="S196" i="1"/>
  <c r="T196" i="1"/>
  <c r="R197" i="1"/>
  <c r="S197" i="1"/>
  <c r="T197" i="1"/>
  <c r="R198" i="1"/>
  <c r="S198" i="1"/>
  <c r="T198" i="1"/>
  <c r="R199" i="1"/>
  <c r="S199" i="1"/>
  <c r="T199" i="1"/>
  <c r="R200" i="1"/>
  <c r="S200" i="1"/>
  <c r="T200" i="1"/>
  <c r="S201" i="1"/>
  <c r="T201" i="1"/>
  <c r="R202" i="1"/>
  <c r="S202" i="1"/>
  <c r="T202" i="1"/>
  <c r="S203" i="1"/>
  <c r="T203" i="1"/>
  <c r="S204" i="1"/>
  <c r="T204" i="1"/>
  <c r="R205" i="1"/>
  <c r="S205" i="1"/>
  <c r="T205" i="1"/>
  <c r="R206" i="1"/>
  <c r="S206" i="1"/>
  <c r="T206" i="1"/>
  <c r="R207" i="1"/>
  <c r="S207" i="1"/>
  <c r="T207" i="1"/>
  <c r="R208" i="1"/>
  <c r="S208" i="1"/>
  <c r="T208" i="1"/>
  <c r="R209" i="1"/>
  <c r="S209" i="1"/>
  <c r="T209" i="1"/>
  <c r="R210" i="1"/>
  <c r="S210" i="1"/>
  <c r="T210" i="1"/>
  <c r="R211" i="1"/>
  <c r="S211" i="1"/>
  <c r="T211" i="1"/>
  <c r="R212" i="1"/>
  <c r="S212" i="1"/>
  <c r="T212" i="1"/>
  <c r="R213" i="1"/>
  <c r="S213" i="1"/>
  <c r="T213" i="1"/>
  <c r="R214" i="1"/>
  <c r="S214" i="1"/>
  <c r="T214" i="1"/>
  <c r="R215" i="1"/>
  <c r="S215" i="1"/>
  <c r="T215" i="1"/>
  <c r="S216" i="1"/>
  <c r="T216" i="1"/>
  <c r="R217" i="1"/>
  <c r="S217" i="1"/>
  <c r="T217" i="1"/>
  <c r="R218" i="1"/>
  <c r="S218" i="1"/>
  <c r="T218" i="1"/>
  <c r="R219" i="1"/>
  <c r="S219" i="1"/>
  <c r="T219" i="1"/>
  <c r="R220" i="1"/>
  <c r="S220" i="1"/>
  <c r="T220" i="1"/>
  <c r="R221" i="1"/>
  <c r="S221" i="1"/>
  <c r="T221" i="1"/>
  <c r="R222" i="1"/>
  <c r="S222" i="1"/>
  <c r="T222" i="1"/>
  <c r="R223" i="1"/>
  <c r="S223" i="1"/>
  <c r="T223" i="1"/>
  <c r="R224" i="1"/>
  <c r="S224" i="1"/>
  <c r="T224" i="1"/>
  <c r="R225" i="1"/>
  <c r="S225" i="1"/>
  <c r="T225" i="1"/>
  <c r="R226" i="1"/>
  <c r="S226" i="1"/>
  <c r="T226" i="1"/>
  <c r="R227" i="1"/>
  <c r="S227" i="1"/>
  <c r="T227" i="1"/>
  <c r="R228" i="1"/>
  <c r="S228" i="1"/>
  <c r="T228" i="1"/>
  <c r="R229" i="1"/>
  <c r="S229" i="1"/>
  <c r="T229" i="1"/>
  <c r="R230" i="1"/>
  <c r="S230" i="1"/>
  <c r="T230" i="1"/>
  <c r="R231" i="1"/>
  <c r="S231" i="1"/>
  <c r="T231" i="1"/>
  <c r="R232" i="1"/>
  <c r="S232" i="1"/>
  <c r="T232" i="1"/>
  <c r="S233" i="1"/>
  <c r="T233" i="1"/>
  <c r="R234" i="1"/>
  <c r="S234" i="1"/>
  <c r="T234" i="1"/>
  <c r="R235" i="1"/>
  <c r="S235" i="1"/>
  <c r="T235" i="1"/>
  <c r="S236" i="1"/>
  <c r="T236" i="1"/>
  <c r="R237" i="1"/>
  <c r="S237" i="1"/>
  <c r="T237" i="1"/>
  <c r="R238" i="1"/>
  <c r="S238" i="1"/>
  <c r="T238" i="1"/>
  <c r="R239" i="1"/>
  <c r="S239" i="1"/>
  <c r="T239" i="1"/>
  <c r="R240" i="1"/>
  <c r="S240" i="1"/>
  <c r="T240" i="1"/>
  <c r="R241" i="1"/>
  <c r="S241" i="1"/>
  <c r="T241" i="1"/>
  <c r="R242" i="1"/>
  <c r="S242" i="1"/>
  <c r="T242" i="1"/>
  <c r="R243" i="1"/>
  <c r="S243" i="1"/>
  <c r="T243" i="1"/>
  <c r="R244" i="1"/>
  <c r="S244" i="1"/>
  <c r="T244" i="1"/>
  <c r="S245" i="1"/>
  <c r="T245" i="1"/>
  <c r="R246" i="1"/>
  <c r="S246" i="1"/>
  <c r="T246" i="1"/>
  <c r="S247" i="1"/>
  <c r="T247" i="1"/>
  <c r="R248" i="1"/>
  <c r="S248" i="1"/>
  <c r="T248" i="1"/>
  <c r="S249" i="1"/>
  <c r="T249" i="1"/>
  <c r="R250" i="1"/>
  <c r="S250" i="1"/>
  <c r="T250" i="1"/>
  <c r="R251" i="1"/>
  <c r="S251" i="1"/>
  <c r="T251" i="1"/>
  <c r="R252" i="1"/>
  <c r="S252" i="1"/>
  <c r="T252" i="1"/>
  <c r="R253" i="1"/>
  <c r="S253" i="1"/>
  <c r="T253" i="1"/>
  <c r="R254" i="1"/>
  <c r="S254" i="1"/>
  <c r="T254" i="1"/>
  <c r="R255" i="1"/>
  <c r="S255" i="1"/>
  <c r="T255" i="1"/>
  <c r="R256" i="1"/>
  <c r="S256" i="1"/>
  <c r="T256" i="1"/>
  <c r="R257" i="1"/>
  <c r="S257" i="1"/>
  <c r="T257" i="1"/>
  <c r="R258" i="1"/>
  <c r="S258" i="1"/>
  <c r="T258" i="1"/>
  <c r="R259" i="1"/>
  <c r="S259" i="1"/>
  <c r="T259" i="1"/>
  <c r="R260" i="1"/>
  <c r="S260" i="1"/>
  <c r="T260" i="1"/>
  <c r="R261" i="1"/>
  <c r="S261" i="1"/>
  <c r="T261" i="1"/>
  <c r="R262" i="1"/>
  <c r="S262" i="1"/>
  <c r="T262" i="1"/>
  <c r="R263" i="1"/>
  <c r="S263" i="1"/>
  <c r="T263" i="1"/>
  <c r="R264" i="1"/>
  <c r="S264" i="1"/>
  <c r="T264" i="1"/>
  <c r="S265" i="1"/>
  <c r="T265" i="1"/>
  <c r="R266" i="1"/>
  <c r="S266" i="1"/>
  <c r="T266" i="1"/>
  <c r="S267" i="1"/>
  <c r="T267" i="1"/>
  <c r="R268" i="1"/>
  <c r="S268" i="1"/>
  <c r="T268" i="1"/>
  <c r="S269" i="1"/>
  <c r="T269" i="1"/>
  <c r="R270" i="1"/>
  <c r="S270" i="1"/>
  <c r="T270" i="1"/>
  <c r="R271" i="1"/>
  <c r="S271" i="1"/>
  <c r="T271" i="1"/>
  <c r="R272" i="1"/>
  <c r="S272" i="1"/>
  <c r="T272" i="1"/>
  <c r="R273" i="1"/>
  <c r="S273" i="1"/>
  <c r="T273" i="1"/>
  <c r="R274" i="1"/>
  <c r="S274" i="1"/>
  <c r="T274" i="1"/>
  <c r="R275" i="1"/>
  <c r="S275" i="1"/>
  <c r="T275" i="1"/>
  <c r="R276" i="1"/>
  <c r="S276" i="1"/>
  <c r="T276" i="1"/>
  <c r="S277" i="1"/>
  <c r="T277" i="1"/>
  <c r="R278" i="1"/>
  <c r="S278" i="1"/>
  <c r="T278" i="1"/>
  <c r="R279" i="1"/>
  <c r="S279" i="1"/>
  <c r="T279" i="1"/>
  <c r="S280" i="1"/>
  <c r="T280" i="1"/>
  <c r="R281" i="1"/>
  <c r="S281" i="1"/>
  <c r="T281" i="1"/>
  <c r="R282" i="1"/>
  <c r="S282" i="1"/>
  <c r="T282" i="1"/>
  <c r="R283" i="1"/>
  <c r="S283" i="1"/>
  <c r="T283" i="1"/>
  <c r="R284" i="1"/>
  <c r="S284" i="1"/>
  <c r="T284" i="1"/>
  <c r="R285" i="1"/>
  <c r="S285" i="1"/>
  <c r="T285" i="1"/>
  <c r="R286" i="1"/>
  <c r="S286" i="1"/>
  <c r="T286" i="1"/>
  <c r="S287" i="1"/>
  <c r="T287" i="1"/>
  <c r="R288" i="1"/>
  <c r="S288" i="1"/>
  <c r="T288" i="1"/>
  <c r="S289" i="1"/>
  <c r="T289" i="1"/>
  <c r="R290" i="1"/>
  <c r="S290" i="1"/>
  <c r="T290" i="1"/>
  <c r="R291" i="1"/>
  <c r="S291" i="1"/>
  <c r="T291" i="1"/>
  <c r="R292" i="1"/>
  <c r="S292" i="1"/>
  <c r="T292" i="1"/>
  <c r="R293" i="1"/>
  <c r="S293" i="1"/>
  <c r="T293" i="1"/>
  <c r="R294" i="1"/>
  <c r="S294" i="1"/>
  <c r="T294" i="1"/>
  <c r="R295" i="1"/>
  <c r="S295" i="1"/>
  <c r="T295" i="1"/>
  <c r="R296" i="1"/>
  <c r="S296" i="1"/>
  <c r="T296" i="1"/>
  <c r="R297" i="1"/>
  <c r="S297" i="1"/>
  <c r="T297" i="1"/>
  <c r="R298" i="1"/>
  <c r="S298" i="1"/>
  <c r="T298" i="1"/>
  <c r="R299" i="1"/>
  <c r="S299" i="1"/>
  <c r="T299" i="1"/>
  <c r="S300" i="1"/>
  <c r="T300" i="1"/>
  <c r="R301" i="1"/>
  <c r="S301" i="1"/>
  <c r="T301" i="1"/>
  <c r="R302" i="1"/>
  <c r="S302" i="1"/>
  <c r="T302" i="1"/>
  <c r="R303" i="1"/>
  <c r="S303" i="1"/>
  <c r="T303" i="1"/>
  <c r="R304" i="1"/>
  <c r="S304" i="1"/>
  <c r="T304" i="1"/>
  <c r="R305" i="1"/>
  <c r="S305" i="1"/>
  <c r="T305" i="1"/>
  <c r="R306" i="1"/>
  <c r="S306" i="1"/>
  <c r="T306" i="1"/>
  <c r="R307" i="1"/>
  <c r="S307" i="1"/>
  <c r="T307" i="1"/>
  <c r="R308" i="1"/>
  <c r="S308" i="1"/>
  <c r="T308" i="1"/>
  <c r="S309" i="1"/>
  <c r="T309" i="1"/>
  <c r="R310" i="1"/>
  <c r="S310" i="1"/>
  <c r="T310" i="1"/>
  <c r="S311" i="1"/>
  <c r="T311" i="1"/>
  <c r="R312" i="1"/>
  <c r="S312" i="1"/>
  <c r="T312" i="1"/>
  <c r="R313" i="1"/>
  <c r="S313" i="1"/>
  <c r="T313" i="1"/>
  <c r="R314" i="1"/>
  <c r="S314" i="1"/>
  <c r="T314" i="1"/>
  <c r="R315" i="1"/>
  <c r="S315" i="1"/>
  <c r="T315" i="1"/>
  <c r="R316" i="1"/>
  <c r="S316" i="1"/>
  <c r="T316" i="1"/>
  <c r="R317" i="1"/>
  <c r="S317" i="1"/>
  <c r="T317" i="1"/>
  <c r="R318" i="1"/>
  <c r="S318" i="1"/>
  <c r="T318" i="1"/>
  <c r="R319" i="1"/>
  <c r="S319" i="1"/>
  <c r="T319" i="1"/>
  <c r="R320" i="1"/>
  <c r="S320" i="1"/>
  <c r="T320" i="1"/>
  <c r="R321" i="1"/>
  <c r="S321" i="1"/>
  <c r="T321" i="1"/>
  <c r="R322" i="1"/>
  <c r="S322" i="1"/>
  <c r="T322" i="1"/>
  <c r="R323" i="1"/>
  <c r="S323" i="1"/>
  <c r="T323" i="1"/>
  <c r="R324" i="1"/>
  <c r="S324" i="1"/>
  <c r="T324" i="1"/>
  <c r="R325" i="1"/>
  <c r="S325" i="1"/>
  <c r="T325" i="1"/>
  <c r="R326" i="1"/>
  <c r="S326" i="1"/>
  <c r="T326" i="1"/>
  <c r="R327" i="1"/>
  <c r="S327" i="1"/>
  <c r="T327" i="1"/>
  <c r="R328" i="1"/>
  <c r="S328" i="1"/>
  <c r="T328" i="1"/>
  <c r="S329" i="1"/>
  <c r="T329" i="1"/>
  <c r="R330" i="1"/>
  <c r="S330" i="1"/>
  <c r="T330" i="1"/>
  <c r="R331" i="1"/>
  <c r="S331" i="1"/>
  <c r="T331" i="1"/>
  <c r="S332" i="1"/>
  <c r="T332" i="1"/>
  <c r="R333" i="1"/>
  <c r="S333" i="1"/>
  <c r="T333" i="1"/>
  <c r="R334" i="1"/>
  <c r="S334" i="1"/>
  <c r="T334" i="1"/>
  <c r="R335" i="1"/>
  <c r="S335" i="1"/>
  <c r="T335" i="1"/>
  <c r="R336" i="1"/>
  <c r="S336" i="1"/>
  <c r="T336" i="1"/>
  <c r="R337" i="1"/>
  <c r="S337" i="1"/>
  <c r="T337" i="1"/>
  <c r="R338" i="1"/>
  <c r="S338" i="1"/>
  <c r="T338" i="1"/>
  <c r="R339" i="1"/>
  <c r="S339" i="1"/>
  <c r="T339" i="1"/>
  <c r="R340" i="1"/>
  <c r="S340" i="1"/>
  <c r="T340" i="1"/>
  <c r="R341" i="1"/>
  <c r="S341" i="1"/>
  <c r="T341" i="1"/>
  <c r="R342" i="1"/>
  <c r="S342" i="1"/>
  <c r="T342" i="1"/>
  <c r="R343" i="1"/>
  <c r="S343" i="1"/>
  <c r="T343" i="1"/>
  <c r="S344" i="1"/>
  <c r="T344" i="1"/>
  <c r="R345" i="1"/>
  <c r="S345" i="1"/>
  <c r="T345" i="1"/>
  <c r="R346" i="1"/>
  <c r="S346" i="1"/>
  <c r="T346" i="1"/>
  <c r="R347" i="1"/>
  <c r="S347" i="1"/>
  <c r="T347" i="1"/>
  <c r="R348" i="1"/>
  <c r="S348" i="1"/>
  <c r="T348" i="1"/>
  <c r="R349" i="1"/>
  <c r="S349" i="1"/>
  <c r="T349" i="1"/>
  <c r="R350" i="1"/>
  <c r="S350" i="1"/>
  <c r="T350" i="1"/>
  <c r="R351" i="1"/>
  <c r="S351" i="1"/>
  <c r="T351" i="1"/>
  <c r="R352" i="1"/>
  <c r="S352" i="1"/>
  <c r="T352" i="1"/>
  <c r="R353" i="1"/>
  <c r="S353" i="1"/>
  <c r="T353" i="1"/>
  <c r="R354" i="1"/>
  <c r="S354" i="1"/>
  <c r="T354" i="1"/>
  <c r="R355" i="1"/>
  <c r="S355" i="1"/>
  <c r="T355" i="1"/>
  <c r="R356" i="1"/>
  <c r="S356" i="1"/>
  <c r="T356" i="1"/>
  <c r="R357" i="1"/>
  <c r="S357" i="1"/>
  <c r="T357" i="1"/>
  <c r="R358" i="1"/>
  <c r="S358" i="1"/>
  <c r="T358" i="1"/>
  <c r="R359" i="1"/>
  <c r="S359" i="1"/>
  <c r="T359" i="1"/>
  <c r="R360" i="1"/>
  <c r="S360" i="1"/>
  <c r="T360" i="1"/>
  <c r="R361" i="1"/>
  <c r="S361" i="1"/>
  <c r="T361" i="1"/>
  <c r="R362" i="1"/>
  <c r="S362" i="1"/>
  <c r="T362" i="1"/>
  <c r="R363" i="1"/>
  <c r="S363" i="1"/>
  <c r="T363" i="1"/>
  <c r="R364" i="1"/>
  <c r="S364" i="1"/>
  <c r="T364" i="1"/>
  <c r="R365" i="1"/>
  <c r="S365" i="1"/>
  <c r="T365" i="1"/>
  <c r="R366" i="1"/>
  <c r="S366" i="1"/>
  <c r="T366" i="1"/>
  <c r="R367" i="1"/>
  <c r="S367" i="1"/>
  <c r="T367" i="1"/>
  <c r="R368" i="1"/>
  <c r="S368" i="1"/>
  <c r="T368" i="1"/>
  <c r="R369" i="1"/>
  <c r="S369" i="1"/>
  <c r="T369" i="1"/>
  <c r="S370" i="1"/>
  <c r="T370" i="1"/>
  <c r="R371" i="1"/>
  <c r="S371" i="1"/>
  <c r="T371" i="1"/>
  <c r="R372" i="1"/>
  <c r="S372" i="1"/>
  <c r="T372" i="1"/>
  <c r="S373" i="1"/>
  <c r="T373" i="1"/>
  <c r="R374" i="1"/>
  <c r="S374" i="1"/>
  <c r="T374" i="1"/>
  <c r="R375" i="1"/>
  <c r="S375" i="1"/>
  <c r="T375" i="1"/>
  <c r="R376" i="1"/>
  <c r="S376" i="1"/>
  <c r="T376" i="1"/>
  <c r="R377" i="1"/>
  <c r="S377" i="1"/>
  <c r="T377" i="1"/>
  <c r="R378" i="1"/>
  <c r="S378" i="1"/>
  <c r="T378" i="1"/>
  <c r="R379" i="1"/>
  <c r="S379" i="1"/>
  <c r="T379" i="1"/>
  <c r="R380" i="1"/>
  <c r="S380" i="1"/>
  <c r="T380" i="1"/>
  <c r="R381" i="1"/>
  <c r="S381" i="1"/>
  <c r="T381" i="1"/>
  <c r="R382" i="1"/>
  <c r="S382" i="1"/>
  <c r="T382" i="1"/>
  <c r="R383" i="1"/>
  <c r="S383" i="1"/>
  <c r="T383" i="1"/>
  <c r="R384" i="1"/>
  <c r="S384" i="1"/>
  <c r="T384" i="1"/>
  <c r="R385" i="1"/>
  <c r="S385" i="1"/>
  <c r="T385" i="1"/>
  <c r="R386" i="1"/>
  <c r="S386" i="1"/>
  <c r="T386" i="1"/>
  <c r="R387" i="1"/>
  <c r="S387" i="1"/>
  <c r="T387" i="1"/>
  <c r="R388" i="1"/>
  <c r="S388" i="1"/>
  <c r="T388" i="1"/>
  <c r="R389" i="1"/>
  <c r="S389" i="1"/>
  <c r="T389" i="1"/>
  <c r="R390" i="1"/>
  <c r="S390" i="1"/>
  <c r="T390" i="1"/>
  <c r="R391" i="1"/>
  <c r="S391" i="1"/>
  <c r="T391" i="1"/>
  <c r="R392" i="1"/>
  <c r="S392" i="1"/>
  <c r="T392" i="1"/>
  <c r="R393" i="1"/>
  <c r="S393" i="1"/>
  <c r="T393" i="1"/>
  <c r="R394" i="1"/>
  <c r="S394" i="1"/>
  <c r="T394" i="1"/>
  <c r="R395" i="1"/>
  <c r="S395" i="1"/>
  <c r="T395" i="1"/>
  <c r="R396" i="1"/>
  <c r="S396" i="1"/>
  <c r="T396" i="1"/>
  <c r="R397" i="1"/>
  <c r="S397" i="1"/>
  <c r="T397" i="1"/>
  <c r="R398" i="1"/>
  <c r="S398" i="1"/>
  <c r="T398" i="1"/>
  <c r="R399" i="1"/>
  <c r="S399" i="1"/>
  <c r="T399" i="1"/>
  <c r="R400" i="1"/>
  <c r="S400" i="1"/>
  <c r="T400" i="1"/>
  <c r="R401" i="1"/>
  <c r="S401" i="1"/>
  <c r="T401" i="1"/>
  <c r="R402" i="1"/>
  <c r="S402" i="1"/>
  <c r="T402" i="1"/>
  <c r="R403" i="1"/>
  <c r="S403" i="1"/>
  <c r="T403" i="1"/>
  <c r="R404" i="1"/>
  <c r="S404" i="1"/>
  <c r="T404" i="1"/>
  <c r="S405" i="1"/>
  <c r="T405" i="1"/>
  <c r="R406" i="1"/>
  <c r="S406" i="1"/>
  <c r="T406" i="1"/>
  <c r="R407" i="1"/>
  <c r="S407" i="1"/>
  <c r="T407" i="1"/>
  <c r="R408" i="1"/>
  <c r="S408" i="1"/>
  <c r="T408" i="1"/>
  <c r="R409" i="1"/>
  <c r="S409" i="1"/>
  <c r="T409" i="1"/>
  <c r="R410" i="1"/>
  <c r="S410" i="1"/>
  <c r="T410" i="1"/>
  <c r="R411" i="1"/>
  <c r="S411" i="1"/>
  <c r="T411" i="1"/>
  <c r="R412" i="1"/>
  <c r="S412" i="1"/>
  <c r="T412" i="1"/>
  <c r="S413" i="1"/>
  <c r="T413" i="1"/>
  <c r="R414" i="1"/>
  <c r="S414" i="1"/>
  <c r="T414" i="1"/>
  <c r="R415" i="1"/>
  <c r="S415" i="1"/>
  <c r="T415" i="1"/>
  <c r="R416" i="1"/>
  <c r="S416" i="1"/>
  <c r="T416" i="1"/>
  <c r="R417" i="1"/>
  <c r="S417" i="1"/>
  <c r="T417" i="1"/>
  <c r="R418" i="1"/>
  <c r="S418" i="1"/>
  <c r="T418" i="1"/>
  <c r="R419" i="1"/>
  <c r="S419" i="1"/>
  <c r="T419" i="1"/>
  <c r="R420" i="1"/>
  <c r="S420" i="1"/>
  <c r="T420" i="1"/>
  <c r="R421" i="1"/>
  <c r="S421" i="1"/>
  <c r="T421" i="1"/>
  <c r="R422" i="1"/>
  <c r="S422" i="1"/>
  <c r="T422" i="1"/>
  <c r="R423" i="1"/>
  <c r="S423" i="1"/>
  <c r="T423" i="1"/>
  <c r="R424" i="1"/>
  <c r="S424" i="1"/>
  <c r="T424" i="1"/>
  <c r="R425" i="1"/>
  <c r="S425" i="1"/>
  <c r="T425" i="1"/>
  <c r="R426" i="1"/>
  <c r="S426" i="1"/>
  <c r="T426" i="1"/>
  <c r="R427" i="1"/>
  <c r="S427" i="1"/>
  <c r="T427" i="1"/>
  <c r="R428" i="1"/>
  <c r="S428" i="1"/>
  <c r="T428" i="1"/>
  <c r="R429" i="1"/>
  <c r="S429" i="1"/>
  <c r="T429" i="1"/>
  <c r="R430" i="1"/>
  <c r="S430" i="1"/>
  <c r="T430" i="1"/>
  <c r="R431" i="1"/>
  <c r="S431" i="1"/>
  <c r="T431" i="1"/>
  <c r="R432" i="1"/>
  <c r="S432" i="1"/>
  <c r="T432" i="1"/>
  <c r="R433" i="1"/>
  <c r="S433" i="1"/>
  <c r="T433" i="1"/>
  <c r="R434" i="1"/>
  <c r="S434" i="1"/>
  <c r="T434" i="1"/>
  <c r="R435" i="1"/>
  <c r="S435" i="1"/>
  <c r="T435" i="1"/>
  <c r="R436" i="1"/>
  <c r="S436" i="1"/>
  <c r="T436" i="1"/>
  <c r="S437" i="1"/>
  <c r="T437" i="1"/>
  <c r="R438" i="1"/>
  <c r="S438" i="1"/>
  <c r="T438" i="1"/>
  <c r="R439" i="1"/>
  <c r="S439" i="1"/>
  <c r="T439" i="1"/>
  <c r="R440" i="1"/>
  <c r="S440" i="1"/>
  <c r="T440" i="1"/>
  <c r="R441" i="1"/>
  <c r="S441" i="1"/>
  <c r="T441" i="1"/>
  <c r="R442" i="1"/>
  <c r="S442" i="1"/>
  <c r="T442" i="1"/>
  <c r="R443" i="1"/>
  <c r="S443" i="1"/>
  <c r="T443" i="1"/>
  <c r="R444" i="1"/>
  <c r="S444" i="1"/>
  <c r="T444" i="1"/>
  <c r="R445" i="1"/>
  <c r="S445" i="1"/>
  <c r="T445" i="1"/>
  <c r="R446" i="1"/>
  <c r="S446" i="1"/>
  <c r="T446" i="1"/>
  <c r="R447" i="1"/>
  <c r="S447" i="1"/>
  <c r="T447" i="1"/>
  <c r="R448" i="1"/>
  <c r="S448" i="1"/>
  <c r="T448" i="1"/>
  <c r="R449" i="1"/>
  <c r="S449" i="1"/>
  <c r="T449" i="1"/>
  <c r="R450" i="1"/>
  <c r="S450" i="1"/>
  <c r="T450" i="1"/>
  <c r="R451" i="1"/>
  <c r="S451" i="1"/>
  <c r="T451" i="1"/>
  <c r="R452" i="1"/>
  <c r="S452" i="1"/>
  <c r="T452" i="1"/>
  <c r="R453" i="1"/>
  <c r="S453" i="1"/>
  <c r="T453" i="1"/>
  <c r="R454" i="1"/>
  <c r="S454" i="1"/>
  <c r="T454" i="1"/>
  <c r="R455" i="1"/>
  <c r="S455" i="1"/>
  <c r="T455" i="1"/>
  <c r="R456" i="1"/>
  <c r="S456" i="1"/>
  <c r="T456" i="1"/>
  <c r="R457" i="1"/>
  <c r="S457" i="1"/>
  <c r="T457" i="1"/>
  <c r="R458" i="1"/>
  <c r="S458" i="1"/>
  <c r="T458" i="1"/>
  <c r="R459" i="1"/>
  <c r="S459" i="1"/>
  <c r="T459" i="1"/>
  <c r="R460" i="1"/>
  <c r="S460" i="1"/>
  <c r="T460" i="1"/>
  <c r="R461" i="1"/>
  <c r="S461" i="1"/>
  <c r="T461" i="1"/>
  <c r="R462" i="1"/>
  <c r="S462" i="1"/>
  <c r="T462" i="1"/>
  <c r="R463" i="1"/>
  <c r="S463" i="1"/>
  <c r="T463" i="1"/>
  <c r="R464" i="1"/>
  <c r="S464" i="1"/>
  <c r="T464" i="1"/>
  <c r="R465" i="1"/>
  <c r="S465" i="1"/>
  <c r="T465" i="1"/>
  <c r="R466" i="1"/>
  <c r="S466" i="1"/>
  <c r="T466" i="1"/>
  <c r="R467" i="1"/>
  <c r="S467" i="1"/>
  <c r="T467" i="1"/>
  <c r="R468" i="1"/>
  <c r="S468" i="1"/>
  <c r="T468" i="1"/>
  <c r="S469" i="1"/>
  <c r="T469" i="1"/>
  <c r="R470" i="1"/>
  <c r="S470" i="1"/>
  <c r="T470" i="1"/>
  <c r="R471" i="1"/>
  <c r="S471" i="1"/>
  <c r="T471" i="1"/>
  <c r="R472" i="1"/>
  <c r="S472" i="1"/>
  <c r="T472" i="1"/>
  <c r="R473" i="1"/>
  <c r="S473" i="1"/>
  <c r="T473" i="1"/>
  <c r="R474" i="1"/>
  <c r="S474" i="1"/>
  <c r="T474" i="1"/>
  <c r="R475" i="1"/>
  <c r="S475" i="1"/>
  <c r="T475" i="1"/>
  <c r="R476" i="1"/>
  <c r="S476" i="1"/>
  <c r="T476" i="1"/>
  <c r="R477" i="1"/>
  <c r="S477" i="1"/>
  <c r="T477" i="1"/>
  <c r="R478" i="1"/>
  <c r="S478" i="1"/>
  <c r="T478" i="1"/>
  <c r="R479" i="1"/>
  <c r="S479" i="1"/>
  <c r="T479" i="1"/>
  <c r="R480" i="1"/>
  <c r="S480" i="1"/>
  <c r="T480" i="1"/>
  <c r="R481" i="1"/>
  <c r="S481" i="1"/>
  <c r="T481" i="1"/>
  <c r="R482" i="1"/>
  <c r="S482" i="1"/>
  <c r="T482" i="1"/>
  <c r="R483" i="1"/>
  <c r="S483" i="1"/>
  <c r="T483" i="1"/>
  <c r="R484" i="1"/>
  <c r="S484" i="1"/>
  <c r="T484" i="1"/>
  <c r="R485" i="1"/>
  <c r="S485" i="1"/>
  <c r="T485" i="1"/>
  <c r="R486" i="1"/>
  <c r="S486" i="1"/>
  <c r="T486" i="1"/>
  <c r="R487" i="1"/>
  <c r="S487" i="1"/>
  <c r="T487" i="1"/>
  <c r="R488" i="1"/>
  <c r="S488" i="1"/>
  <c r="T488" i="1"/>
  <c r="R489" i="1"/>
  <c r="S489" i="1"/>
  <c r="T489" i="1"/>
  <c r="R490" i="1"/>
  <c r="S490" i="1"/>
  <c r="T490" i="1"/>
  <c r="R491" i="1"/>
  <c r="S491" i="1"/>
  <c r="T491" i="1"/>
  <c r="R492" i="1"/>
  <c r="S492" i="1"/>
  <c r="T492" i="1"/>
  <c r="R493" i="1"/>
  <c r="S493" i="1"/>
  <c r="T493" i="1"/>
  <c r="R494" i="1"/>
  <c r="S494" i="1"/>
  <c r="T494" i="1"/>
  <c r="R495" i="1"/>
  <c r="S495" i="1"/>
  <c r="T495" i="1"/>
  <c r="R496" i="1"/>
  <c r="S496" i="1"/>
  <c r="T496" i="1"/>
  <c r="R497" i="1"/>
  <c r="S497" i="1"/>
  <c r="T497" i="1"/>
  <c r="R498" i="1"/>
  <c r="S498" i="1"/>
  <c r="T498" i="1"/>
  <c r="R499" i="1"/>
  <c r="S499" i="1"/>
  <c r="T499" i="1"/>
  <c r="R500" i="1"/>
  <c r="S500" i="1"/>
  <c r="T500" i="1"/>
  <c r="R501" i="1"/>
  <c r="S501" i="1"/>
  <c r="T501" i="1"/>
  <c r="R502" i="1"/>
  <c r="S502" i="1"/>
  <c r="T502" i="1"/>
  <c r="R503" i="1"/>
  <c r="S503" i="1"/>
  <c r="T503" i="1"/>
  <c r="R504" i="1"/>
  <c r="S504" i="1"/>
  <c r="T504" i="1"/>
  <c r="R505" i="1"/>
  <c r="S505" i="1"/>
  <c r="T505" i="1"/>
  <c r="R506" i="1"/>
  <c r="S506" i="1"/>
  <c r="T506" i="1"/>
  <c r="R507" i="1"/>
  <c r="S507" i="1"/>
  <c r="T507" i="1"/>
  <c r="R508" i="1"/>
  <c r="S508" i="1"/>
  <c r="T508" i="1"/>
  <c r="R509" i="1"/>
  <c r="S509" i="1"/>
  <c r="T509" i="1"/>
  <c r="R510" i="1"/>
  <c r="S510" i="1"/>
  <c r="T510" i="1"/>
  <c r="R511" i="1"/>
  <c r="S511" i="1"/>
  <c r="T511" i="1"/>
  <c r="R512" i="1"/>
  <c r="S512" i="1"/>
  <c r="T512" i="1"/>
  <c r="R513" i="1"/>
  <c r="S513" i="1"/>
  <c r="T513" i="1"/>
  <c r="R514" i="1"/>
  <c r="S514" i="1"/>
  <c r="T514" i="1"/>
  <c r="R515" i="1"/>
  <c r="S515" i="1"/>
  <c r="T515" i="1"/>
  <c r="R516" i="1"/>
  <c r="S516" i="1"/>
  <c r="T516" i="1"/>
  <c r="R517" i="1"/>
  <c r="S517" i="1"/>
  <c r="T517" i="1"/>
  <c r="R518" i="1"/>
  <c r="S518" i="1"/>
  <c r="T518" i="1"/>
  <c r="R519" i="1"/>
  <c r="S519" i="1"/>
  <c r="T519" i="1"/>
  <c r="R520" i="1"/>
  <c r="S520" i="1"/>
  <c r="T520" i="1"/>
  <c r="R521" i="1"/>
  <c r="S521" i="1"/>
  <c r="T521" i="1"/>
  <c r="R522" i="1"/>
  <c r="S522" i="1"/>
  <c r="T522" i="1"/>
  <c r="R523" i="1"/>
  <c r="S523" i="1"/>
  <c r="T523" i="1"/>
  <c r="R524" i="1"/>
  <c r="S524" i="1"/>
  <c r="T524" i="1"/>
  <c r="R525" i="1"/>
  <c r="S525" i="1"/>
  <c r="T525" i="1"/>
  <c r="R526" i="1"/>
  <c r="S526" i="1"/>
  <c r="T526" i="1"/>
  <c r="R527" i="1"/>
  <c r="S527" i="1"/>
  <c r="T527" i="1"/>
  <c r="R528" i="1"/>
  <c r="S528" i="1"/>
  <c r="T528" i="1"/>
  <c r="R529" i="1"/>
  <c r="S529" i="1"/>
  <c r="T529" i="1"/>
  <c r="R530" i="1"/>
  <c r="S530" i="1"/>
  <c r="T530" i="1"/>
  <c r="R531" i="1"/>
  <c r="S531" i="1"/>
  <c r="T531" i="1"/>
  <c r="R532" i="1"/>
  <c r="S532" i="1"/>
  <c r="T532" i="1"/>
  <c r="R533" i="1"/>
  <c r="S533" i="1"/>
  <c r="T533" i="1"/>
  <c r="R534" i="1"/>
  <c r="S534" i="1"/>
  <c r="T534" i="1"/>
  <c r="R535" i="1"/>
  <c r="S535" i="1"/>
  <c r="T535" i="1"/>
  <c r="R536" i="1"/>
  <c r="S536" i="1"/>
  <c r="T536" i="1"/>
  <c r="R537" i="1"/>
  <c r="S537" i="1"/>
  <c r="T537" i="1"/>
  <c r="R538" i="1"/>
  <c r="S538" i="1"/>
  <c r="T538" i="1"/>
  <c r="R539" i="1"/>
  <c r="S539" i="1"/>
  <c r="T539" i="1"/>
  <c r="R540" i="1"/>
  <c r="S540" i="1"/>
  <c r="T540" i="1"/>
  <c r="R541" i="1"/>
  <c r="S541" i="1"/>
  <c r="T541" i="1"/>
  <c r="R542" i="1"/>
  <c r="S542" i="1"/>
  <c r="T542" i="1"/>
  <c r="R543" i="1"/>
  <c r="S543" i="1"/>
  <c r="T543" i="1"/>
  <c r="R544" i="1"/>
  <c r="S544" i="1"/>
  <c r="T544" i="1"/>
  <c r="R545" i="1"/>
  <c r="S545" i="1"/>
  <c r="T545" i="1"/>
  <c r="R546" i="1"/>
  <c r="S546" i="1"/>
  <c r="T546" i="1"/>
  <c r="R547" i="1"/>
  <c r="S547" i="1"/>
  <c r="T547" i="1"/>
  <c r="R548" i="1"/>
  <c r="S548" i="1"/>
  <c r="T548" i="1"/>
  <c r="R549" i="1"/>
  <c r="S549" i="1"/>
  <c r="T549" i="1"/>
  <c r="R550" i="1"/>
  <c r="S550" i="1"/>
  <c r="T550" i="1"/>
  <c r="R551" i="1"/>
  <c r="S551" i="1"/>
  <c r="T551" i="1"/>
  <c r="R552" i="1"/>
  <c r="S552" i="1"/>
  <c r="T552" i="1"/>
  <c r="R553" i="1"/>
  <c r="S553" i="1"/>
  <c r="T553" i="1"/>
  <c r="R554" i="1"/>
  <c r="S554" i="1"/>
  <c r="T554" i="1"/>
  <c r="R555" i="1"/>
  <c r="S555" i="1"/>
  <c r="T555" i="1"/>
  <c r="R556" i="1"/>
  <c r="S556" i="1"/>
  <c r="T556" i="1"/>
  <c r="S557" i="1"/>
  <c r="T557" i="1"/>
  <c r="R558" i="1"/>
  <c r="S558" i="1"/>
  <c r="T558" i="1"/>
  <c r="R559" i="1"/>
  <c r="S559" i="1"/>
  <c r="T559" i="1"/>
  <c r="R560" i="1"/>
  <c r="S560" i="1"/>
  <c r="T560" i="1"/>
  <c r="R561" i="1"/>
  <c r="S561" i="1"/>
  <c r="T561" i="1"/>
  <c r="R562" i="1"/>
  <c r="S562" i="1"/>
  <c r="T562" i="1"/>
  <c r="R563" i="1"/>
  <c r="S563" i="1"/>
  <c r="T563" i="1"/>
  <c r="R564" i="1"/>
  <c r="S564" i="1"/>
  <c r="T564" i="1"/>
  <c r="R565" i="1"/>
  <c r="S565" i="1"/>
  <c r="T565" i="1"/>
  <c r="R566" i="1"/>
  <c r="S566" i="1"/>
  <c r="T566" i="1"/>
  <c r="R567" i="1"/>
  <c r="S567" i="1"/>
  <c r="T567" i="1"/>
  <c r="R568" i="1"/>
  <c r="S568" i="1"/>
  <c r="T568" i="1"/>
  <c r="R569" i="1"/>
  <c r="S569" i="1"/>
  <c r="T569" i="1"/>
  <c r="R570" i="1"/>
  <c r="S570" i="1"/>
  <c r="T570" i="1"/>
  <c r="R571" i="1"/>
  <c r="S571" i="1"/>
  <c r="T571" i="1"/>
  <c r="R572" i="1"/>
  <c r="S572" i="1"/>
  <c r="T572" i="1"/>
  <c r="R573" i="1"/>
  <c r="S573" i="1"/>
  <c r="T573" i="1"/>
  <c r="R574" i="1"/>
  <c r="S574" i="1"/>
  <c r="T574" i="1"/>
  <c r="R575" i="1"/>
  <c r="S575" i="1"/>
  <c r="T575" i="1"/>
  <c r="R576" i="1"/>
  <c r="S576" i="1"/>
  <c r="T576" i="1"/>
  <c r="R577" i="1"/>
  <c r="S577" i="1"/>
  <c r="T577" i="1"/>
  <c r="R578" i="1"/>
  <c r="S578" i="1"/>
  <c r="T578" i="1"/>
  <c r="R579" i="1"/>
  <c r="S579" i="1"/>
  <c r="T579" i="1"/>
  <c r="R580" i="1"/>
  <c r="S580" i="1"/>
  <c r="T580" i="1"/>
  <c r="R581" i="1"/>
  <c r="S581" i="1"/>
  <c r="T581" i="1"/>
  <c r="R582" i="1"/>
  <c r="S582" i="1"/>
  <c r="T582" i="1"/>
  <c r="R583" i="1"/>
  <c r="S583" i="1"/>
  <c r="T583" i="1"/>
  <c r="R584" i="1"/>
  <c r="S584" i="1"/>
  <c r="T584" i="1"/>
  <c r="R585" i="1"/>
  <c r="S585" i="1"/>
  <c r="T585" i="1"/>
  <c r="R586" i="1"/>
  <c r="S586" i="1"/>
  <c r="T586" i="1"/>
  <c r="R587" i="1"/>
  <c r="S587" i="1"/>
  <c r="T587" i="1"/>
  <c r="R588" i="1"/>
  <c r="S588" i="1"/>
  <c r="T588" i="1"/>
  <c r="R589" i="1"/>
  <c r="S589" i="1"/>
  <c r="T589" i="1"/>
  <c r="R590" i="1"/>
  <c r="S590" i="1"/>
  <c r="T590" i="1"/>
  <c r="R591" i="1"/>
  <c r="S591" i="1"/>
  <c r="T591" i="1"/>
  <c r="R592" i="1"/>
  <c r="S592" i="1"/>
  <c r="T592" i="1"/>
  <c r="R593" i="1"/>
  <c r="S593" i="1"/>
  <c r="T593" i="1"/>
  <c r="R594" i="1"/>
  <c r="S594" i="1"/>
  <c r="T594" i="1"/>
  <c r="R595" i="1"/>
  <c r="S595" i="1"/>
  <c r="T595" i="1"/>
  <c r="R596" i="1"/>
  <c r="S596" i="1"/>
  <c r="T596" i="1"/>
  <c r="R597" i="1"/>
  <c r="S597" i="1"/>
  <c r="T597" i="1"/>
  <c r="R598" i="1"/>
  <c r="S598" i="1"/>
  <c r="T598" i="1"/>
  <c r="R599" i="1"/>
  <c r="S599" i="1"/>
  <c r="T599" i="1"/>
  <c r="R600" i="1"/>
  <c r="S600" i="1"/>
  <c r="T600" i="1"/>
  <c r="R601" i="1"/>
  <c r="S601" i="1"/>
  <c r="T601" i="1"/>
  <c r="R602" i="1"/>
  <c r="S602" i="1"/>
  <c r="T602" i="1"/>
  <c r="R603" i="1"/>
  <c r="S603" i="1"/>
  <c r="T603" i="1"/>
  <c r="R604" i="1"/>
  <c r="S604" i="1"/>
  <c r="T604" i="1"/>
  <c r="T5" i="1"/>
  <c r="S5" i="1"/>
  <c r="R5" i="1"/>
  <c r="F15" i="6" l="1"/>
  <c r="D5" i="5"/>
  <c r="D4" i="5"/>
  <c r="G14" i="6"/>
  <c r="E15" i="6"/>
  <c r="G13" i="6"/>
  <c r="U43" i="1"/>
  <c r="U254" i="1"/>
  <c r="U219" i="1"/>
  <c r="U551" i="1"/>
  <c r="U482" i="1"/>
  <c r="U137" i="1"/>
  <c r="U68" i="1"/>
  <c r="U553" i="1"/>
  <c r="U107" i="1"/>
  <c r="U321" i="1"/>
  <c r="U567" i="1"/>
  <c r="U514" i="1"/>
  <c r="U334" i="1"/>
  <c r="U217" i="1"/>
  <c r="U558" i="1"/>
  <c r="U423" i="1"/>
  <c r="U466" i="1"/>
  <c r="U319" i="1"/>
  <c r="U165" i="1"/>
  <c r="U158" i="1"/>
  <c r="U518" i="1"/>
  <c r="U200" i="1"/>
  <c r="U105" i="1"/>
  <c r="U588" i="1"/>
  <c r="U597" i="1"/>
  <c r="U575" i="1"/>
  <c r="U301" i="1"/>
  <c r="U400" i="1"/>
  <c r="U414" i="1"/>
  <c r="U52" i="1"/>
  <c r="U590" i="1"/>
  <c r="U462" i="1"/>
  <c r="U365" i="1"/>
  <c r="U317" i="1"/>
  <c r="U92" i="1"/>
  <c r="U516" i="1"/>
  <c r="U540" i="1"/>
  <c r="U455" i="1"/>
  <c r="U544" i="1"/>
  <c r="U468" i="1"/>
  <c r="U450" i="1"/>
  <c r="U407" i="1"/>
  <c r="U402" i="1"/>
  <c r="U391" i="1"/>
  <c r="U62" i="1"/>
  <c r="U41" i="1"/>
  <c r="U585" i="1"/>
  <c r="U492" i="1"/>
  <c r="U131" i="1"/>
  <c r="U593" i="1"/>
  <c r="U297" i="1"/>
  <c r="U142" i="1"/>
  <c r="U498" i="1"/>
  <c r="U396" i="1"/>
  <c r="U326" i="1"/>
  <c r="U299" i="1"/>
  <c r="U180" i="1"/>
  <c r="U144" i="1"/>
  <c r="U56" i="1"/>
  <c r="U577" i="1"/>
  <c r="U208" i="1"/>
  <c r="U30" i="1"/>
  <c r="U600" i="1"/>
  <c r="U496" i="1"/>
  <c r="U529" i="1"/>
  <c r="U169" i="1"/>
  <c r="U112" i="1"/>
  <c r="U167" i="1"/>
  <c r="U148" i="1"/>
  <c r="U65" i="1"/>
  <c r="U40" i="1"/>
  <c r="U14" i="1"/>
  <c r="U352" i="1"/>
  <c r="U494" i="1"/>
  <c r="U188" i="1"/>
  <c r="U79" i="1"/>
  <c r="U35" i="1"/>
  <c r="U464" i="1"/>
  <c r="U398" i="1"/>
  <c r="U325" i="1"/>
  <c r="U174" i="1"/>
  <c r="U420" i="1"/>
  <c r="U337" i="1"/>
  <c r="U293" i="1"/>
  <c r="U119" i="1"/>
  <c r="U536" i="1"/>
  <c r="U489" i="1"/>
  <c r="U278" i="1"/>
  <c r="U262" i="1"/>
  <c r="U179" i="1"/>
  <c r="U132" i="1"/>
  <c r="U570" i="1"/>
  <c r="U538" i="1"/>
  <c r="U509" i="1"/>
  <c r="U419" i="1"/>
  <c r="U416" i="1"/>
  <c r="U134" i="1"/>
  <c r="U511" i="1"/>
  <c r="U477" i="1"/>
  <c r="U445" i="1"/>
  <c r="U441" i="1"/>
  <c r="U295" i="1"/>
  <c r="U286" i="1"/>
  <c r="U284" i="1"/>
  <c r="U237" i="1"/>
  <c r="U193" i="1"/>
  <c r="U171" i="1"/>
  <c r="U143" i="1"/>
  <c r="U136" i="1"/>
  <c r="U117" i="1"/>
  <c r="U80" i="1"/>
  <c r="U74" i="1"/>
  <c r="U55" i="1"/>
  <c r="U48" i="1"/>
  <c r="U24" i="1"/>
  <c r="U15" i="1"/>
  <c r="U264" i="1"/>
  <c r="U253" i="1"/>
  <c r="U103" i="1"/>
  <c r="U23" i="1"/>
  <c r="U214" i="1"/>
  <c r="U11" i="1"/>
  <c r="U386" i="1"/>
  <c r="U384" i="1"/>
  <c r="U376" i="1"/>
  <c r="U235" i="1"/>
  <c r="U51" i="1"/>
  <c r="U8" i="1"/>
  <c r="U578" i="1"/>
  <c r="U572" i="1"/>
  <c r="U526" i="1"/>
  <c r="U521" i="1"/>
  <c r="U519" i="1"/>
  <c r="U513" i="1"/>
  <c r="U404" i="1"/>
  <c r="U390" i="1"/>
  <c r="U388" i="1"/>
  <c r="U350" i="1"/>
  <c r="U211" i="1"/>
  <c r="U206" i="1"/>
  <c r="U429" i="1"/>
  <c r="U382" i="1"/>
  <c r="U77" i="1"/>
  <c r="U566" i="1"/>
  <c r="U228" i="1"/>
  <c r="U13" i="1"/>
  <c r="U439" i="1"/>
  <c r="U263" i="1"/>
  <c r="U113" i="1"/>
  <c r="U6" i="1"/>
  <c r="U5" i="1"/>
  <c r="U580" i="1"/>
  <c r="U550" i="1"/>
  <c r="U537" i="1"/>
  <c r="U533" i="1"/>
  <c r="U503" i="1"/>
  <c r="U481" i="1"/>
  <c r="U456" i="1"/>
  <c r="U449" i="1"/>
  <c r="U342" i="1"/>
  <c r="U222" i="1"/>
  <c r="U213" i="1"/>
  <c r="U199" i="1"/>
  <c r="U124" i="1"/>
  <c r="U110" i="1"/>
  <c r="U104" i="1"/>
  <c r="U89" i="1"/>
  <c r="U33" i="1"/>
  <c r="U505" i="1"/>
  <c r="U453" i="1"/>
  <c r="U328" i="1"/>
  <c r="U308" i="1"/>
  <c r="U279" i="1"/>
  <c r="U244" i="1"/>
  <c r="U215" i="1"/>
  <c r="U97" i="1"/>
  <c r="U71" i="1"/>
  <c r="R413" i="1"/>
  <c r="U413" i="1" s="1"/>
  <c r="U504" i="1"/>
  <c r="U356" i="1"/>
  <c r="U304" i="1"/>
  <c r="U125" i="1"/>
  <c r="U42" i="1"/>
  <c r="U34" i="1"/>
  <c r="U574" i="1"/>
  <c r="U53" i="1"/>
  <c r="U584" i="1"/>
  <c r="R557" i="1"/>
  <c r="U557" i="1" s="1"/>
  <c r="U506" i="1"/>
  <c r="U473" i="1"/>
  <c r="U349" i="1"/>
  <c r="U273" i="1"/>
  <c r="U259" i="1"/>
  <c r="U223" i="1"/>
  <c r="U123" i="1"/>
  <c r="U27" i="1"/>
  <c r="U484" i="1"/>
  <c r="U460" i="1"/>
  <c r="U84" i="1"/>
  <c r="U78" i="1"/>
  <c r="U586" i="1"/>
  <c r="U59" i="1"/>
  <c r="U560" i="1"/>
  <c r="U520" i="1"/>
  <c r="U501" i="1"/>
  <c r="U488" i="1"/>
  <c r="U491" i="1"/>
  <c r="U451" i="1"/>
  <c r="U307" i="1"/>
  <c r="U221" i="1"/>
  <c r="U197" i="1"/>
  <c r="U91" i="1"/>
  <c r="U9" i="1"/>
  <c r="U599" i="1"/>
  <c r="U576" i="1"/>
  <c r="U545" i="1"/>
  <c r="U543" i="1"/>
  <c r="U497" i="1"/>
  <c r="U190" i="1"/>
  <c r="U164" i="1"/>
  <c r="U146" i="1"/>
  <c r="U99" i="1"/>
  <c r="U46" i="1"/>
  <c r="U601" i="1"/>
  <c r="U582" i="1"/>
  <c r="U525" i="1"/>
  <c r="U493" i="1"/>
  <c r="U428" i="1"/>
  <c r="U339" i="1"/>
  <c r="U101" i="1"/>
  <c r="U69" i="1"/>
  <c r="U527" i="1"/>
  <c r="U205" i="1"/>
  <c r="U189" i="1"/>
  <c r="U111" i="1"/>
  <c r="U73" i="1"/>
  <c r="U573" i="1"/>
  <c r="U522" i="1"/>
  <c r="U479" i="1"/>
  <c r="U470" i="1"/>
  <c r="U343" i="1"/>
  <c r="U327" i="1"/>
  <c r="U272" i="1"/>
  <c r="U251" i="1"/>
  <c r="U19" i="1"/>
  <c r="U487" i="1"/>
  <c r="U448" i="1"/>
  <c r="U401" i="1"/>
  <c r="U399" i="1"/>
  <c r="U395" i="1"/>
  <c r="U359" i="1"/>
  <c r="U336" i="1"/>
  <c r="U310" i="1"/>
  <c r="U274" i="1"/>
  <c r="U231" i="1"/>
  <c r="U207" i="1"/>
  <c r="U198" i="1"/>
  <c r="U173" i="1"/>
  <c r="U102" i="1"/>
  <c r="U98" i="1"/>
  <c r="U60" i="1"/>
  <c r="U16" i="1"/>
  <c r="U592" i="1"/>
  <c r="U363" i="1"/>
  <c r="U353" i="1"/>
  <c r="U316" i="1"/>
  <c r="U225" i="1"/>
  <c r="U409" i="1"/>
  <c r="U341" i="1"/>
  <c r="U252" i="1"/>
  <c r="U240" i="1"/>
  <c r="U238" i="1"/>
  <c r="U176" i="1"/>
  <c r="U156" i="1"/>
  <c r="U28" i="1"/>
  <c r="U17" i="1"/>
  <c r="U594" i="1"/>
  <c r="U583" i="1"/>
  <c r="U568" i="1"/>
  <c r="U562" i="1"/>
  <c r="U472" i="1"/>
  <c r="U381" i="1"/>
  <c r="U345" i="1"/>
  <c r="U303" i="1"/>
  <c r="U220" i="1"/>
  <c r="U191" i="1"/>
  <c r="U75" i="1"/>
  <c r="U591" i="1"/>
  <c r="U548" i="1"/>
  <c r="U535" i="1"/>
  <c r="U476" i="1"/>
  <c r="U461" i="1"/>
  <c r="U408" i="1"/>
  <c r="U403" i="1"/>
  <c r="U392" i="1"/>
  <c r="U377" i="1"/>
  <c r="U354" i="1"/>
  <c r="U333" i="1"/>
  <c r="U302" i="1"/>
  <c r="U294" i="1"/>
  <c r="U255" i="1"/>
  <c r="U226" i="1"/>
  <c r="U209" i="1"/>
  <c r="U182" i="1"/>
  <c r="U151" i="1"/>
  <c r="U128" i="1"/>
  <c r="U114" i="1"/>
  <c r="U72" i="1"/>
  <c r="U66" i="1"/>
  <c r="U598" i="1"/>
  <c r="U565" i="1"/>
  <c r="U559" i="1"/>
  <c r="U502" i="1"/>
  <c r="U490" i="1"/>
  <c r="U480" i="1"/>
  <c r="U446" i="1"/>
  <c r="U436" i="1"/>
  <c r="U424" i="1"/>
  <c r="U375" i="1"/>
  <c r="U348" i="1"/>
  <c r="U305" i="1"/>
  <c r="U241" i="1"/>
  <c r="U239" i="1"/>
  <c r="U175" i="1"/>
  <c r="U135" i="1"/>
  <c r="U133" i="1"/>
  <c r="U129" i="1"/>
  <c r="U126" i="1"/>
  <c r="U83" i="1"/>
  <c r="U22" i="1"/>
  <c r="U563" i="1"/>
  <c r="U546" i="1"/>
  <c r="U528" i="1"/>
  <c r="U524" i="1"/>
  <c r="U512" i="1"/>
  <c r="U508" i="1"/>
  <c r="U438" i="1"/>
  <c r="U421" i="1"/>
  <c r="U417" i="1"/>
  <c r="U368" i="1"/>
  <c r="U335" i="1"/>
  <c r="U318" i="1"/>
  <c r="U292" i="1"/>
  <c r="U290" i="1"/>
  <c r="U270" i="1"/>
  <c r="U243" i="1"/>
  <c r="U177" i="1"/>
  <c r="U149" i="1"/>
  <c r="U93" i="1"/>
  <c r="U87" i="1"/>
  <c r="U38" i="1"/>
  <c r="U32" i="1"/>
  <c r="R469" i="1"/>
  <c r="U469" i="1" s="1"/>
  <c r="R139" i="1"/>
  <c r="U139" i="1" s="1"/>
  <c r="U579" i="1"/>
  <c r="U478" i="1"/>
  <c r="U444" i="1"/>
  <c r="U361" i="1"/>
  <c r="U331" i="1"/>
  <c r="U323" i="1"/>
  <c r="U296" i="1"/>
  <c r="R277" i="1"/>
  <c r="U277" i="1" s="1"/>
  <c r="R233" i="1"/>
  <c r="U233" i="1" s="1"/>
  <c r="U555" i="1"/>
  <c r="U500" i="1"/>
  <c r="U483" i="1"/>
  <c r="U474" i="1"/>
  <c r="U431" i="1"/>
  <c r="U425" i="1"/>
  <c r="R344" i="1"/>
  <c r="U344" i="1" s="1"/>
  <c r="R300" i="1"/>
  <c r="U300" i="1" s="1"/>
  <c r="R245" i="1"/>
  <c r="U245" i="1" s="1"/>
  <c r="U153" i="1"/>
  <c r="U138" i="1"/>
  <c r="U581" i="1"/>
  <c r="U531" i="1"/>
  <c r="U447" i="1"/>
  <c r="U433" i="1"/>
  <c r="R405" i="1"/>
  <c r="U405" i="1" s="1"/>
  <c r="U394" i="1"/>
  <c r="U372" i="1"/>
  <c r="U281" i="1"/>
  <c r="U155" i="1"/>
  <c r="R88" i="1"/>
  <c r="U88" i="1" s="1"/>
  <c r="R31" i="1"/>
  <c r="U31" i="1" s="1"/>
  <c r="R21" i="1"/>
  <c r="U21" i="1" s="1"/>
  <c r="U589" i="1"/>
  <c r="U556" i="1"/>
  <c r="U547" i="1"/>
  <c r="U485" i="1"/>
  <c r="U369" i="1"/>
  <c r="R287" i="1"/>
  <c r="U287" i="1" s="1"/>
  <c r="R204" i="1"/>
  <c r="U204" i="1" s="1"/>
  <c r="R161" i="1"/>
  <c r="U161" i="1" s="1"/>
  <c r="U100" i="1"/>
  <c r="U81" i="1"/>
  <c r="U76" i="1"/>
  <c r="U595" i="1"/>
  <c r="U569" i="1"/>
  <c r="U530" i="1"/>
  <c r="U463" i="1"/>
  <c r="U454" i="1"/>
  <c r="U452" i="1"/>
  <c r="U432" i="1"/>
  <c r="U430" i="1"/>
  <c r="U422" i="1"/>
  <c r="U406" i="1"/>
  <c r="U196" i="1"/>
  <c r="U184" i="1"/>
  <c r="U116" i="1"/>
  <c r="U49" i="1"/>
  <c r="R47" i="1"/>
  <c r="U47" i="1" s="1"/>
  <c r="U561" i="1"/>
  <c r="U554" i="1"/>
  <c r="U552" i="1"/>
  <c r="U549" i="1"/>
  <c r="U541" i="1"/>
  <c r="U510" i="1"/>
  <c r="U499" i="1"/>
  <c r="U495" i="1"/>
  <c r="U471" i="1"/>
  <c r="U467" i="1"/>
  <c r="U459" i="1"/>
  <c r="R437" i="1"/>
  <c r="U437" i="1" s="1"/>
  <c r="U434" i="1"/>
  <c r="U393" i="1"/>
  <c r="U387" i="1"/>
  <c r="U383" i="1"/>
  <c r="U379" i="1"/>
  <c r="U371" i="1"/>
  <c r="U362" i="1"/>
  <c r="U358" i="1"/>
  <c r="R269" i="1"/>
  <c r="U269" i="1" s="1"/>
  <c r="U261" i="1"/>
  <c r="U229" i="1"/>
  <c r="R201" i="1"/>
  <c r="U201" i="1" s="1"/>
  <c r="U160" i="1"/>
  <c r="U121" i="1"/>
  <c r="U109" i="1"/>
  <c r="R85" i="1"/>
  <c r="U85" i="1" s="1"/>
  <c r="U37" i="1"/>
  <c r="R329" i="1"/>
  <c r="U329" i="1" s="1"/>
  <c r="R63" i="1"/>
  <c r="U63" i="1" s="1"/>
  <c r="U596" i="1"/>
  <c r="U517" i="1"/>
  <c r="R172" i="1"/>
  <c r="U172" i="1" s="1"/>
  <c r="R370" i="1"/>
  <c r="U370" i="1" s="1"/>
  <c r="U340" i="1"/>
  <c r="U268" i="1"/>
  <c r="U178" i="1"/>
  <c r="U70" i="1"/>
  <c r="U542" i="1"/>
  <c r="U443" i="1"/>
  <c r="U367" i="1"/>
  <c r="U306" i="1"/>
  <c r="R247" i="1"/>
  <c r="U247" i="1" s="1"/>
  <c r="R159" i="1"/>
  <c r="U159" i="1" s="1"/>
  <c r="U64" i="1"/>
  <c r="U604" i="1"/>
  <c r="U564" i="1"/>
  <c r="U534" i="1"/>
  <c r="U486" i="1"/>
  <c r="U457" i="1"/>
  <c r="U418" i="1"/>
  <c r="U374" i="1"/>
  <c r="U283" i="1"/>
  <c r="U257" i="1"/>
  <c r="R249" i="1"/>
  <c r="U249" i="1" s="1"/>
  <c r="U10" i="1"/>
  <c r="U602" i="1"/>
  <c r="U523" i="1"/>
  <c r="U412" i="1"/>
  <c r="R289" i="1"/>
  <c r="U289" i="1" s="1"/>
  <c r="U246" i="1"/>
  <c r="U186" i="1"/>
  <c r="U127" i="1"/>
  <c r="U587" i="1"/>
  <c r="U532" i="1"/>
  <c r="U515" i="1"/>
  <c r="U465" i="1"/>
  <c r="U440" i="1"/>
  <c r="U426" i="1"/>
  <c r="U397" i="1"/>
  <c r="U385" i="1"/>
  <c r="U366" i="1"/>
  <c r="U364" i="1"/>
  <c r="U357" i="1"/>
  <c r="U355" i="1"/>
  <c r="U351" i="1"/>
  <c r="R332" i="1"/>
  <c r="U332" i="1" s="1"/>
  <c r="U324" i="1"/>
  <c r="U314" i="1"/>
  <c r="U312" i="1"/>
  <c r="U288" i="1"/>
  <c r="U275" i="1"/>
  <c r="R216" i="1"/>
  <c r="U216" i="1" s="1"/>
  <c r="U212" i="1"/>
  <c r="R203" i="1"/>
  <c r="U203" i="1" s="1"/>
  <c r="U195" i="1"/>
  <c r="R168" i="1"/>
  <c r="U168" i="1" s="1"/>
  <c r="U166" i="1"/>
  <c r="U162" i="1"/>
  <c r="U141" i="1"/>
  <c r="U115" i="1"/>
  <c r="R95" i="1"/>
  <c r="U95" i="1" s="1"/>
  <c r="U57" i="1"/>
  <c r="U347" i="1"/>
  <c r="U276" i="1"/>
  <c r="U230" i="1"/>
  <c r="R152" i="1"/>
  <c r="U152" i="1" s="1"/>
  <c r="U435" i="1"/>
  <c r="U415" i="1"/>
  <c r="U380" i="1"/>
  <c r="R373" i="1"/>
  <c r="U373" i="1" s="1"/>
  <c r="U360" i="1"/>
  <c r="U313" i="1"/>
  <c r="R311" i="1"/>
  <c r="U311" i="1" s="1"/>
  <c r="R265" i="1"/>
  <c r="U265" i="1" s="1"/>
  <c r="U260" i="1"/>
  <c r="U232" i="1"/>
  <c r="U224" i="1"/>
  <c r="U187" i="1"/>
  <c r="R183" i="1"/>
  <c r="U183" i="1" s="1"/>
  <c r="U94" i="1"/>
  <c r="U20" i="1"/>
  <c r="U12" i="1"/>
  <c r="R309" i="1"/>
  <c r="U309" i="1" s="1"/>
  <c r="R280" i="1"/>
  <c r="U280" i="1" s="1"/>
  <c r="U242" i="1"/>
  <c r="R181" i="1"/>
  <c r="U181" i="1" s="1"/>
  <c r="U603" i="1"/>
  <c r="U571" i="1"/>
  <c r="U539" i="1"/>
  <c r="U507" i="1"/>
  <c r="U475" i="1"/>
  <c r="U458" i="1"/>
  <c r="U427" i="1"/>
  <c r="U411" i="1"/>
  <c r="U389" i="1"/>
  <c r="U338" i="1"/>
  <c r="U315" i="1"/>
  <c r="U285" i="1"/>
  <c r="U271" i="1"/>
  <c r="R267" i="1"/>
  <c r="U267" i="1" s="1"/>
  <c r="U250" i="1"/>
  <c r="U248" i="1"/>
  <c r="R236" i="1"/>
  <c r="U236" i="1" s="1"/>
  <c r="U210" i="1"/>
  <c r="R185" i="1"/>
  <c r="U185" i="1" s="1"/>
  <c r="U157" i="1"/>
  <c r="R140" i="1"/>
  <c r="U140" i="1" s="1"/>
  <c r="U130" i="1"/>
  <c r="R120" i="1"/>
  <c r="U120" i="1" s="1"/>
  <c r="U96" i="1"/>
  <c r="U61" i="1"/>
  <c r="U25" i="1"/>
  <c r="U442" i="1"/>
  <c r="U410" i="1"/>
  <c r="U378" i="1"/>
  <c r="U346" i="1"/>
  <c r="U322" i="1"/>
  <c r="U320" i="1"/>
  <c r="U291" i="1"/>
  <c r="U282" i="1"/>
  <c r="U258" i="1"/>
  <c r="U256" i="1"/>
  <c r="U227" i="1"/>
  <c r="U218" i="1"/>
  <c r="U194" i="1"/>
  <c r="U192" i="1"/>
  <c r="U163" i="1"/>
  <c r="U150" i="1"/>
  <c r="U108" i="1"/>
  <c r="U67" i="1"/>
  <c r="U54" i="1"/>
  <c r="U50" i="1"/>
  <c r="U106" i="1"/>
  <c r="U86" i="1"/>
  <c r="U82" i="1"/>
  <c r="U45" i="1"/>
  <c r="U39" i="1"/>
  <c r="U36" i="1"/>
  <c r="U330" i="1"/>
  <c r="U298" i="1"/>
  <c r="U266" i="1"/>
  <c r="U234" i="1"/>
  <c r="U202" i="1"/>
  <c r="U170" i="1"/>
  <c r="U147" i="1"/>
  <c r="U145" i="1"/>
  <c r="U118" i="1"/>
  <c r="U44" i="1"/>
  <c r="U29" i="1"/>
  <c r="U18" i="1"/>
  <c r="U7" i="1"/>
  <c r="U154" i="1"/>
  <c r="U122" i="1"/>
  <c r="U90" i="1"/>
  <c r="U58" i="1"/>
  <c r="U26" i="1"/>
  <c r="D8" i="5" l="1"/>
  <c r="D6" i="5"/>
</calcChain>
</file>

<file path=xl/sharedStrings.xml><?xml version="1.0" encoding="utf-8"?>
<sst xmlns="http://schemas.openxmlformats.org/spreadsheetml/2006/main" count="17257" uniqueCount="1623">
  <si>
    <t>S. No.</t>
  </si>
  <si>
    <t>Transaction Id</t>
  </si>
  <si>
    <t xml:space="preserve"> Invoice Number</t>
  </si>
  <si>
    <t>Unique Contract No.</t>
  </si>
  <si>
    <t xml:space="preserve"> Customer Id</t>
  </si>
  <si>
    <t xml:space="preserve"> Invoice Date</t>
  </si>
  <si>
    <t xml:space="preserve"> Posted Timestamp</t>
  </si>
  <si>
    <t xml:space="preserve"> Service Period</t>
  </si>
  <si>
    <t xml:space="preserve"> Recorded Revenue</t>
  </si>
  <si>
    <t xml:space="preserve"> Currency</t>
  </si>
  <si>
    <t xml:space="preserve"> Tax Amount</t>
  </si>
  <si>
    <t xml:space="preserve"> Creator Id</t>
  </si>
  <si>
    <t xml:space="preserve"> Approver Id</t>
  </si>
  <si>
    <t>2021O81900</t>
  </si>
  <si>
    <t>CC272485</t>
  </si>
  <si>
    <t>C205</t>
  </si>
  <si>
    <t>Apr</t>
  </si>
  <si>
    <t>INR</t>
  </si>
  <si>
    <t>E115</t>
  </si>
  <si>
    <t>E118</t>
  </si>
  <si>
    <t>2021M11625</t>
  </si>
  <si>
    <t>CC889281</t>
  </si>
  <si>
    <t>C219</t>
  </si>
  <si>
    <t>E111</t>
  </si>
  <si>
    <t>E117</t>
  </si>
  <si>
    <t>2021S01216</t>
  </si>
  <si>
    <t>CC738783</t>
  </si>
  <si>
    <t>C224</t>
  </si>
  <si>
    <t>E116</t>
  </si>
  <si>
    <t>2021V81178</t>
  </si>
  <si>
    <t>CC797872</t>
  </si>
  <si>
    <t>E103</t>
  </si>
  <si>
    <t>E110</t>
  </si>
  <si>
    <t>2021C71611</t>
  </si>
  <si>
    <t>CC636860</t>
  </si>
  <si>
    <t>C212</t>
  </si>
  <si>
    <t>E102</t>
  </si>
  <si>
    <t>E114</t>
  </si>
  <si>
    <t>2021A01928</t>
  </si>
  <si>
    <t>CC369548</t>
  </si>
  <si>
    <t>C213</t>
  </si>
  <si>
    <t>E125</t>
  </si>
  <si>
    <t>E126</t>
  </si>
  <si>
    <t>2021M21757</t>
  </si>
  <si>
    <t>CC408705</t>
  </si>
  <si>
    <t>C228</t>
  </si>
  <si>
    <t>E112</t>
  </si>
  <si>
    <t>E121</t>
  </si>
  <si>
    <t>2021U21062</t>
  </si>
  <si>
    <t>CC396439</t>
  </si>
  <si>
    <t>C242</t>
  </si>
  <si>
    <t>E120</t>
  </si>
  <si>
    <t>2021G01389</t>
  </si>
  <si>
    <t>CC369136</t>
  </si>
  <si>
    <t>C226</t>
  </si>
  <si>
    <t>2021O11170</t>
  </si>
  <si>
    <t>CC935141</t>
  </si>
  <si>
    <t>C202</t>
  </si>
  <si>
    <t>2021H71183</t>
  </si>
  <si>
    <t>CC981153</t>
  </si>
  <si>
    <t>C221</t>
  </si>
  <si>
    <t>E113</t>
  </si>
  <si>
    <t>2021A91066</t>
  </si>
  <si>
    <t>CC263159</t>
  </si>
  <si>
    <t>C233</t>
  </si>
  <si>
    <t>2021X11623</t>
  </si>
  <si>
    <t>CC873915</t>
  </si>
  <si>
    <t>C230</t>
  </si>
  <si>
    <t>E119</t>
  </si>
  <si>
    <t>E124</t>
  </si>
  <si>
    <t>2021Z81129</t>
  </si>
  <si>
    <t>CC751346</t>
  </si>
  <si>
    <t>C246</t>
  </si>
  <si>
    <t>2021O41861</t>
  </si>
  <si>
    <t>CC347642</t>
  </si>
  <si>
    <t>2021H11671</t>
  </si>
  <si>
    <t>CC988247</t>
  </si>
  <si>
    <t>C235</t>
  </si>
  <si>
    <t>E107</t>
  </si>
  <si>
    <t>2021B31198</t>
  </si>
  <si>
    <t>CC767658</t>
  </si>
  <si>
    <t>C223</t>
  </si>
  <si>
    <t>2021R31092</t>
  </si>
  <si>
    <t>CC975232</t>
  </si>
  <si>
    <t>C206</t>
  </si>
  <si>
    <t>2021A51194</t>
  </si>
  <si>
    <t>CC133156</t>
  </si>
  <si>
    <t>C225</t>
  </si>
  <si>
    <t>2021Z41307</t>
  </si>
  <si>
    <t>CC635100</t>
  </si>
  <si>
    <t>2021R91771</t>
  </si>
  <si>
    <t>CC746542</t>
  </si>
  <si>
    <t>C245</t>
  </si>
  <si>
    <t>2021S11228</t>
  </si>
  <si>
    <t>CC833959</t>
  </si>
  <si>
    <t>C209</t>
  </si>
  <si>
    <t>May</t>
  </si>
  <si>
    <t>2021V31896</t>
  </si>
  <si>
    <t>CC885725</t>
  </si>
  <si>
    <t>2021G01002</t>
  </si>
  <si>
    <t>CC906339</t>
  </si>
  <si>
    <t>2021T51281</t>
  </si>
  <si>
    <t>CC561983</t>
  </si>
  <si>
    <t>C222</t>
  </si>
  <si>
    <t>2021O71143</t>
  </si>
  <si>
    <t>CC745730</t>
  </si>
  <si>
    <t>E105</t>
  </si>
  <si>
    <t>2021E51338</t>
  </si>
  <si>
    <t>CC773644</t>
  </si>
  <si>
    <t>2021B41966</t>
  </si>
  <si>
    <t>CC731431</t>
  </si>
  <si>
    <t>C239</t>
  </si>
  <si>
    <t>2021R41426</t>
  </si>
  <si>
    <t>CC798801</t>
  </si>
  <si>
    <t>C218</t>
  </si>
  <si>
    <t>2021Q11287</t>
  </si>
  <si>
    <t>CC140184</t>
  </si>
  <si>
    <t>2021A11259</t>
  </si>
  <si>
    <t>CC945907</t>
  </si>
  <si>
    <t>C220</t>
  </si>
  <si>
    <t>2021I01201</t>
  </si>
  <si>
    <t>CC390816</t>
  </si>
  <si>
    <t>C234</t>
  </si>
  <si>
    <t>2021I81416</t>
  </si>
  <si>
    <t>CC797183</t>
  </si>
  <si>
    <t>C229</t>
  </si>
  <si>
    <t>2021D81358</t>
  </si>
  <si>
    <t>CC391167</t>
  </si>
  <si>
    <t>C208</t>
  </si>
  <si>
    <t>2021F21584</t>
  </si>
  <si>
    <t>CC435175</t>
  </si>
  <si>
    <t>C201</t>
  </si>
  <si>
    <t>2021L91167</t>
  </si>
  <si>
    <t>CC365296</t>
  </si>
  <si>
    <t>E101</t>
  </si>
  <si>
    <t>2021B71720</t>
  </si>
  <si>
    <t>CC102530</t>
  </si>
  <si>
    <t>2021R91324</t>
  </si>
  <si>
    <t>CC662189</t>
  </si>
  <si>
    <t>2021B01631</t>
  </si>
  <si>
    <t>CC757929</t>
  </si>
  <si>
    <t>2021L81017</t>
  </si>
  <si>
    <t>CC631050</t>
  </si>
  <si>
    <t>C216</t>
  </si>
  <si>
    <t>E127</t>
  </si>
  <si>
    <t>2021X91684</t>
  </si>
  <si>
    <t>CC957201</t>
  </si>
  <si>
    <t>2021R61666</t>
  </si>
  <si>
    <t>CC121694</t>
  </si>
  <si>
    <t>2021X31753</t>
  </si>
  <si>
    <t>CC395630</t>
  </si>
  <si>
    <t>2021I61180</t>
  </si>
  <si>
    <t>CC170513</t>
  </si>
  <si>
    <t>C203</t>
  </si>
  <si>
    <t>2021T31701</t>
  </si>
  <si>
    <t>CC635521</t>
  </si>
  <si>
    <t>C241</t>
  </si>
  <si>
    <t>2021A61497</t>
  </si>
  <si>
    <t>CC194863</t>
  </si>
  <si>
    <t>2021M41446</t>
  </si>
  <si>
    <t>CC997850</t>
  </si>
  <si>
    <t>2021W81642</t>
  </si>
  <si>
    <t>CC864884</t>
  </si>
  <si>
    <t>Jun</t>
  </si>
  <si>
    <t>2021X21512</t>
  </si>
  <si>
    <t>CC439730</t>
  </si>
  <si>
    <t>2021J81369</t>
  </si>
  <si>
    <t>CC609961</t>
  </si>
  <si>
    <t>E109</t>
  </si>
  <si>
    <t>2021V11343</t>
  </si>
  <si>
    <t>CC231050</t>
  </si>
  <si>
    <t>2021D61060</t>
  </si>
  <si>
    <t>CC284849</t>
  </si>
  <si>
    <t>2021Y01677</t>
  </si>
  <si>
    <t>CC819578</t>
  </si>
  <si>
    <t>C210</t>
  </si>
  <si>
    <t>2021G21193</t>
  </si>
  <si>
    <t>CC908989</t>
  </si>
  <si>
    <t>2021U51795</t>
  </si>
  <si>
    <t>CC311019</t>
  </si>
  <si>
    <t>2021O01960</t>
  </si>
  <si>
    <t>CC349571</t>
  </si>
  <si>
    <t>2021T81469</t>
  </si>
  <si>
    <t>CC946950</t>
  </si>
  <si>
    <t>C215</t>
  </si>
  <si>
    <t>2021N31706</t>
  </si>
  <si>
    <t>CC134993</t>
  </si>
  <si>
    <t>C211</t>
  </si>
  <si>
    <t>2021P11624</t>
  </si>
  <si>
    <t>CC647688</t>
  </si>
  <si>
    <t>C214</t>
  </si>
  <si>
    <t>2021M81128</t>
  </si>
  <si>
    <t>CC602480</t>
  </si>
  <si>
    <t>2021N71287</t>
  </si>
  <si>
    <t>CC884936</t>
  </si>
  <si>
    <t>C247</t>
  </si>
  <si>
    <t>2021B61390</t>
  </si>
  <si>
    <t>CC202310</t>
  </si>
  <si>
    <t>2021Z81062</t>
  </si>
  <si>
    <t>CC707806</t>
  </si>
  <si>
    <t>E108</t>
  </si>
  <si>
    <t>2021M31102</t>
  </si>
  <si>
    <t>CC256345</t>
  </si>
  <si>
    <t>C217</t>
  </si>
  <si>
    <t>2021Y81250</t>
  </si>
  <si>
    <t>CC558542</t>
  </si>
  <si>
    <t>2021O21294</t>
  </si>
  <si>
    <t>CC215575</t>
  </si>
  <si>
    <t>2021U21759</t>
  </si>
  <si>
    <t>CC523412</t>
  </si>
  <si>
    <t>2021H71893</t>
  </si>
  <si>
    <t>CC533157</t>
  </si>
  <si>
    <t>2021W81912</t>
  </si>
  <si>
    <t>CC429411</t>
  </si>
  <si>
    <t>2021S81691</t>
  </si>
  <si>
    <t>CC701678</t>
  </si>
  <si>
    <t>Jul</t>
  </si>
  <si>
    <t>2021T81345</t>
  </si>
  <si>
    <t>CC826058</t>
  </si>
  <si>
    <t>2021T91070</t>
  </si>
  <si>
    <t>CC651707</t>
  </si>
  <si>
    <t>2021X01716</t>
  </si>
  <si>
    <t>CC986093</t>
  </si>
  <si>
    <t>2021Z01615</t>
  </si>
  <si>
    <t>CC375965</t>
  </si>
  <si>
    <t>2021B51090</t>
  </si>
  <si>
    <t>CC938107</t>
  </si>
  <si>
    <t>2021X01094</t>
  </si>
  <si>
    <t>CC583620</t>
  </si>
  <si>
    <t>C207</t>
  </si>
  <si>
    <t>2021J91894</t>
  </si>
  <si>
    <t>CC101931</t>
  </si>
  <si>
    <t>2021B71281</t>
  </si>
  <si>
    <t>CC106478</t>
  </si>
  <si>
    <t>2021H41102</t>
  </si>
  <si>
    <t>CC609755</t>
  </si>
  <si>
    <t>2021L01099</t>
  </si>
  <si>
    <t>CC622403</t>
  </si>
  <si>
    <t>C204</t>
  </si>
  <si>
    <t>2021Y51189</t>
  </si>
  <si>
    <t>CC404008</t>
  </si>
  <si>
    <t>C238</t>
  </si>
  <si>
    <t>2021M81255</t>
  </si>
  <si>
    <t>CC660318</t>
  </si>
  <si>
    <t>2021K41004</t>
  </si>
  <si>
    <t>CC349403</t>
  </si>
  <si>
    <t>2021W21969</t>
  </si>
  <si>
    <t>CC303098</t>
  </si>
  <si>
    <t>2021U41237</t>
  </si>
  <si>
    <t>CC539119</t>
  </si>
  <si>
    <t>2021A01638</t>
  </si>
  <si>
    <t>CC912514</t>
  </si>
  <si>
    <t>2021G01954</t>
  </si>
  <si>
    <t>CC300861</t>
  </si>
  <si>
    <t>2021J81996</t>
  </si>
  <si>
    <t>CC643300</t>
  </si>
  <si>
    <t>2021H01519</t>
  </si>
  <si>
    <t>CC357006</t>
  </si>
  <si>
    <t>2021A61174</t>
  </si>
  <si>
    <t>CC346925</t>
  </si>
  <si>
    <t>2021U71963</t>
  </si>
  <si>
    <t>CC775172</t>
  </si>
  <si>
    <t>C200</t>
  </si>
  <si>
    <t>2021S81127</t>
  </si>
  <si>
    <t>CC991831</t>
  </si>
  <si>
    <t>2021E71709</t>
  </si>
  <si>
    <t>CC484761</t>
  </si>
  <si>
    <t>2021H91573</t>
  </si>
  <si>
    <t>CC163197</t>
  </si>
  <si>
    <t>C232</t>
  </si>
  <si>
    <t>2021B01582</t>
  </si>
  <si>
    <t>CC163689</t>
  </si>
  <si>
    <t>C244</t>
  </si>
  <si>
    <t>2021T01220</t>
  </si>
  <si>
    <t>CC941267</t>
  </si>
  <si>
    <t>2021L51402</t>
  </si>
  <si>
    <t>CC142316</t>
  </si>
  <si>
    <t>Aug</t>
  </si>
  <si>
    <t>2021H21977</t>
  </si>
  <si>
    <t>CC140647</t>
  </si>
  <si>
    <t>2021X01580</t>
  </si>
  <si>
    <t>CC564246</t>
  </si>
  <si>
    <t>2021A71372</t>
  </si>
  <si>
    <t>CC608204</t>
  </si>
  <si>
    <t>2021B31430</t>
  </si>
  <si>
    <t>CC189736</t>
  </si>
  <si>
    <t>2021M91482</t>
  </si>
  <si>
    <t>CC490388</t>
  </si>
  <si>
    <t>2021B31300</t>
  </si>
  <si>
    <t>CC796823</t>
  </si>
  <si>
    <t>C227</t>
  </si>
  <si>
    <t>2021P61723</t>
  </si>
  <si>
    <t>CC963879</t>
  </si>
  <si>
    <t>C231</t>
  </si>
  <si>
    <t>2021P41840</t>
  </si>
  <si>
    <t>CC206692</t>
  </si>
  <si>
    <t>2021N11941</t>
  </si>
  <si>
    <t>CC879716</t>
  </si>
  <si>
    <t>2021A11297</t>
  </si>
  <si>
    <t>CC138113</t>
  </si>
  <si>
    <t>2021E11569</t>
  </si>
  <si>
    <t>CC757686</t>
  </si>
  <si>
    <t>2021U51929</t>
  </si>
  <si>
    <t>CC824101</t>
  </si>
  <si>
    <t>2021C81340</t>
  </si>
  <si>
    <t>CC234912</t>
  </si>
  <si>
    <t>2021G21610</t>
  </si>
  <si>
    <t>CC194242</t>
  </si>
  <si>
    <t>C240</t>
  </si>
  <si>
    <t>2021L81146</t>
  </si>
  <si>
    <t>CC262751</t>
  </si>
  <si>
    <t>2021I11304</t>
  </si>
  <si>
    <t>CC377358</t>
  </si>
  <si>
    <t>2021Q61728</t>
  </si>
  <si>
    <t>CC550811</t>
  </si>
  <si>
    <t>2021A61891</t>
  </si>
  <si>
    <t>CC963120</t>
  </si>
  <si>
    <t>2021B81995</t>
  </si>
  <si>
    <t>CC187415</t>
  </si>
  <si>
    <t>2021Q11357</t>
  </si>
  <si>
    <t>CC678464</t>
  </si>
  <si>
    <t>Sep</t>
  </si>
  <si>
    <t>2021W21207</t>
  </si>
  <si>
    <t>CC658620</t>
  </si>
  <si>
    <t>2021I01370</t>
  </si>
  <si>
    <t>CC272279</t>
  </si>
  <si>
    <t>2021A71500</t>
  </si>
  <si>
    <t>CC926667</t>
  </si>
  <si>
    <t>2021G41623</t>
  </si>
  <si>
    <t>CC669152</t>
  </si>
  <si>
    <t>2021Q11837</t>
  </si>
  <si>
    <t>CC520152</t>
  </si>
  <si>
    <t>C248</t>
  </si>
  <si>
    <t>2021D01722</t>
  </si>
  <si>
    <t>CC789932</t>
  </si>
  <si>
    <t>2021T41432</t>
  </si>
  <si>
    <t>CC129136</t>
  </si>
  <si>
    <t>2021A61477</t>
  </si>
  <si>
    <t>CC174050</t>
  </si>
  <si>
    <t>2021F71809</t>
  </si>
  <si>
    <t>CC203129</t>
  </si>
  <si>
    <t>2021K81641</t>
  </si>
  <si>
    <t>CC913019</t>
  </si>
  <si>
    <t>2021C71790</t>
  </si>
  <si>
    <t>CC605123</t>
  </si>
  <si>
    <t>2021B71939</t>
  </si>
  <si>
    <t>CC269136</t>
  </si>
  <si>
    <t>2021T21047</t>
  </si>
  <si>
    <t>CC689289</t>
  </si>
  <si>
    <t>2021H41240</t>
  </si>
  <si>
    <t>CC372625</t>
  </si>
  <si>
    <t>2021V41995</t>
  </si>
  <si>
    <t>CC818032</t>
  </si>
  <si>
    <t>CC360301</t>
  </si>
  <si>
    <t>2021T01222</t>
  </si>
  <si>
    <t>CC490914</t>
  </si>
  <si>
    <t>2021Y21296</t>
  </si>
  <si>
    <t>CC848821</t>
  </si>
  <si>
    <t>2021N51813</t>
  </si>
  <si>
    <t>CC365954</t>
  </si>
  <si>
    <t>2021M61954</t>
  </si>
  <si>
    <t>CC624106</t>
  </si>
  <si>
    <t>2021H81749</t>
  </si>
  <si>
    <t>CC388111</t>
  </si>
  <si>
    <t>2021P01829</t>
  </si>
  <si>
    <t>CC692084</t>
  </si>
  <si>
    <t>2021K11075</t>
  </si>
  <si>
    <t>CC226211</t>
  </si>
  <si>
    <t>2021A71669</t>
  </si>
  <si>
    <t>CC718075</t>
  </si>
  <si>
    <t>2021Z31837</t>
  </si>
  <si>
    <t>CC933354</t>
  </si>
  <si>
    <t>2021N81135</t>
  </si>
  <si>
    <t>CC143212</t>
  </si>
  <si>
    <t>2021T41774</t>
  </si>
  <si>
    <t>CC105500</t>
  </si>
  <si>
    <t>2021F71912</t>
  </si>
  <si>
    <t>CC833641</t>
  </si>
  <si>
    <t>C237</t>
  </si>
  <si>
    <t>2021M31038</t>
  </si>
  <si>
    <t>CC585370</t>
  </si>
  <si>
    <t>2021R71619</t>
  </si>
  <si>
    <t>CC676088</t>
  </si>
  <si>
    <t>Oct</t>
  </si>
  <si>
    <t>2021G41356</t>
  </si>
  <si>
    <t>CC744652</t>
  </si>
  <si>
    <t>2021W91598</t>
  </si>
  <si>
    <t>CC417823</t>
  </si>
  <si>
    <t>2021Z91645</t>
  </si>
  <si>
    <t>CC259184</t>
  </si>
  <si>
    <t>2021D71186</t>
  </si>
  <si>
    <t>CC327987</t>
  </si>
  <si>
    <t>2021N21531</t>
  </si>
  <si>
    <t>CC809239</t>
  </si>
  <si>
    <t>2021E11764</t>
  </si>
  <si>
    <t>CC619981</t>
  </si>
  <si>
    <t>2021U91067</t>
  </si>
  <si>
    <t>CC625217</t>
  </si>
  <si>
    <t>2021T31939</t>
  </si>
  <si>
    <t>CC677517</t>
  </si>
  <si>
    <t>2021P31013</t>
  </si>
  <si>
    <t>CC702013</t>
  </si>
  <si>
    <t>2021S81432</t>
  </si>
  <si>
    <t>CC779818</t>
  </si>
  <si>
    <t>2021U21619</t>
  </si>
  <si>
    <t>CC454104</t>
  </si>
  <si>
    <t>2021D91475</t>
  </si>
  <si>
    <t>CC924095</t>
  </si>
  <si>
    <t>2021V91929</t>
  </si>
  <si>
    <t>CC301372</t>
  </si>
  <si>
    <t>2021Y01767</t>
  </si>
  <si>
    <t>CC180974</t>
  </si>
  <si>
    <t>2021L21306</t>
  </si>
  <si>
    <t>CC879944</t>
  </si>
  <si>
    <t>2021X31264</t>
  </si>
  <si>
    <t>CC309164</t>
  </si>
  <si>
    <t>2021Q41237</t>
  </si>
  <si>
    <t>CC555009</t>
  </si>
  <si>
    <t>2021U31823</t>
  </si>
  <si>
    <t>CC967324</t>
  </si>
  <si>
    <t>2021R11934</t>
  </si>
  <si>
    <t>CC203009</t>
  </si>
  <si>
    <t>2021Q71393</t>
  </si>
  <si>
    <t>CC492186</t>
  </si>
  <si>
    <t>2021B11249</t>
  </si>
  <si>
    <t>CC246720</t>
  </si>
  <si>
    <t>2021C71712</t>
  </si>
  <si>
    <t>CC694226</t>
  </si>
  <si>
    <t>Nov</t>
  </si>
  <si>
    <t>2021B01057</t>
  </si>
  <si>
    <t>CC542046</t>
  </si>
  <si>
    <t>2021N41706</t>
  </si>
  <si>
    <t>CC700480</t>
  </si>
  <si>
    <t>2021U31013</t>
  </si>
  <si>
    <t>CC333327</t>
  </si>
  <si>
    <t>2021X41947</t>
  </si>
  <si>
    <t>CC325561</t>
  </si>
  <si>
    <t>2021G71031</t>
  </si>
  <si>
    <t>CC256327</t>
  </si>
  <si>
    <t>2021W41973</t>
  </si>
  <si>
    <t>CC489112</t>
  </si>
  <si>
    <t>2021J51508</t>
  </si>
  <si>
    <t>CC853034</t>
  </si>
  <si>
    <t>2021J11327</t>
  </si>
  <si>
    <t>CC347294</t>
  </si>
  <si>
    <t>2021V21414</t>
  </si>
  <si>
    <t>CC114057</t>
  </si>
  <si>
    <t>2021D41324</t>
  </si>
  <si>
    <t>CC347326</t>
  </si>
  <si>
    <t>2021Z71400</t>
  </si>
  <si>
    <t>CC959522</t>
  </si>
  <si>
    <t>2021A71034</t>
  </si>
  <si>
    <t>CC356891</t>
  </si>
  <si>
    <t>2021J01515</t>
  </si>
  <si>
    <t>CC460870</t>
  </si>
  <si>
    <t>2021O61093</t>
  </si>
  <si>
    <t>CC193334</t>
  </si>
  <si>
    <t>2021R21681</t>
  </si>
  <si>
    <t>CC362924</t>
  </si>
  <si>
    <t>2021N81182</t>
  </si>
  <si>
    <t>CC900413</t>
  </si>
  <si>
    <t>2021M41259</t>
  </si>
  <si>
    <t>CC342892</t>
  </si>
  <si>
    <t>2021L41581</t>
  </si>
  <si>
    <t>CC504113</t>
  </si>
  <si>
    <t>2021L41475</t>
  </si>
  <si>
    <t>CC738266</t>
  </si>
  <si>
    <t>2021B91790</t>
  </si>
  <si>
    <t>CC185236</t>
  </si>
  <si>
    <t>Dec</t>
  </si>
  <si>
    <t>2021T81296</t>
  </si>
  <si>
    <t>CC433773</t>
  </si>
  <si>
    <t>2021F11411</t>
  </si>
  <si>
    <t>CC494319</t>
  </si>
  <si>
    <t>2021P71495</t>
  </si>
  <si>
    <t>CC878640</t>
  </si>
  <si>
    <t>2021I01944</t>
  </si>
  <si>
    <t>CC990867</t>
  </si>
  <si>
    <t>2021A11702</t>
  </si>
  <si>
    <t>CC939783</t>
  </si>
  <si>
    <t>2021O01979</t>
  </si>
  <si>
    <t>CC892065</t>
  </si>
  <si>
    <t>2021F61628</t>
  </si>
  <si>
    <t>CC593890</t>
  </si>
  <si>
    <t>2021W81685</t>
  </si>
  <si>
    <t>CC538653</t>
  </si>
  <si>
    <t>2021X11212</t>
  </si>
  <si>
    <t>CC617656</t>
  </si>
  <si>
    <t>2021T01241</t>
  </si>
  <si>
    <t>CC231774</t>
  </si>
  <si>
    <t>2021M61618</t>
  </si>
  <si>
    <t>CC677206</t>
  </si>
  <si>
    <t>2021I91159</t>
  </si>
  <si>
    <t>CC518388</t>
  </si>
  <si>
    <t>2021V71037</t>
  </si>
  <si>
    <t>CC268373</t>
  </si>
  <si>
    <t>2021V11398</t>
  </si>
  <si>
    <t>CC647041</t>
  </si>
  <si>
    <t>2021B01207</t>
  </si>
  <si>
    <t>CC184692</t>
  </si>
  <si>
    <t>2021R21555</t>
  </si>
  <si>
    <t>CC505105</t>
  </si>
  <si>
    <t>Jan</t>
  </si>
  <si>
    <t>2021H41482</t>
  </si>
  <si>
    <t>CC221035</t>
  </si>
  <si>
    <t>2021S41231</t>
  </si>
  <si>
    <t>CC931051</t>
  </si>
  <si>
    <t>2021V51930</t>
  </si>
  <si>
    <t>CC756835</t>
  </si>
  <si>
    <t>2021M61134</t>
  </si>
  <si>
    <t>CC707097</t>
  </si>
  <si>
    <t>2021K11672</t>
  </si>
  <si>
    <t>CC836863</t>
  </si>
  <si>
    <t>2021G81985</t>
  </si>
  <si>
    <t>CC134892</t>
  </si>
  <si>
    <t>2021A41131</t>
  </si>
  <si>
    <t>CC710367</t>
  </si>
  <si>
    <t>2021J21066</t>
  </si>
  <si>
    <t>CC220203</t>
  </si>
  <si>
    <t>2021Y31186</t>
  </si>
  <si>
    <t>CC251428</t>
  </si>
  <si>
    <t>2021W31079</t>
  </si>
  <si>
    <t>CC177208</t>
  </si>
  <si>
    <t>2021A11742</t>
  </si>
  <si>
    <t>CC220150</t>
  </si>
  <si>
    <t>2021X21239</t>
  </si>
  <si>
    <t>CC724229</t>
  </si>
  <si>
    <t>2021E01998</t>
  </si>
  <si>
    <t>CC784348</t>
  </si>
  <si>
    <t>2021A51339</t>
  </si>
  <si>
    <t>CC481657</t>
  </si>
  <si>
    <t>2021N61833</t>
  </si>
  <si>
    <t>CC732502</t>
  </si>
  <si>
    <t>2021U81802</t>
  </si>
  <si>
    <t>CC429902</t>
  </si>
  <si>
    <t>Feb</t>
  </si>
  <si>
    <t>2021S41968</t>
  </si>
  <si>
    <t>CC181596</t>
  </si>
  <si>
    <t>2021C21478</t>
  </si>
  <si>
    <t>CC253325</t>
  </si>
  <si>
    <t>2021D41673</t>
  </si>
  <si>
    <t>CC835206</t>
  </si>
  <si>
    <t>2021I91670</t>
  </si>
  <si>
    <t>CC327133</t>
  </si>
  <si>
    <t>2021Q81054</t>
  </si>
  <si>
    <t>CC669664</t>
  </si>
  <si>
    <t>2021R51014</t>
  </si>
  <si>
    <t>CC932506</t>
  </si>
  <si>
    <t>2021H21378</t>
  </si>
  <si>
    <t>CC162925</t>
  </si>
  <si>
    <t>2021U81425</t>
  </si>
  <si>
    <t>CC781724</t>
  </si>
  <si>
    <t>2021E31971</t>
  </si>
  <si>
    <t>CC531621</t>
  </si>
  <si>
    <t>2021O71082</t>
  </si>
  <si>
    <t>CC242246</t>
  </si>
  <si>
    <t>2021V51128</t>
  </si>
  <si>
    <t>CC449443</t>
  </si>
  <si>
    <t>2021F21013</t>
  </si>
  <si>
    <t>CC147682</t>
  </si>
  <si>
    <t>2021Y01920</t>
  </si>
  <si>
    <t>CC542717</t>
  </si>
  <si>
    <t>2021H51320</t>
  </si>
  <si>
    <t>CC787496</t>
  </si>
  <si>
    <t>2021H01753</t>
  </si>
  <si>
    <t>CC390958</t>
  </si>
  <si>
    <t>2021S61275</t>
  </si>
  <si>
    <t>CC730239</t>
  </si>
  <si>
    <t>2021D91627</t>
  </si>
  <si>
    <t>CC485002</t>
  </si>
  <si>
    <t>2021O71083</t>
  </si>
  <si>
    <t>CC108593</t>
  </si>
  <si>
    <t>2021V31530</t>
  </si>
  <si>
    <t>CC710839</t>
  </si>
  <si>
    <t>Mar</t>
  </si>
  <si>
    <t>2021E91338</t>
  </si>
  <si>
    <t>CC735962</t>
  </si>
  <si>
    <t>C236</t>
  </si>
  <si>
    <t>2021W91822</t>
  </si>
  <si>
    <t>CC819433</t>
  </si>
  <si>
    <t>2021V51135</t>
  </si>
  <si>
    <t>CC839432</t>
  </si>
  <si>
    <t>2021U51868</t>
  </si>
  <si>
    <t>CC767295</t>
  </si>
  <si>
    <t>2021R11888</t>
  </si>
  <si>
    <t>CC320123</t>
  </si>
  <si>
    <t>2021Y51752</t>
  </si>
  <si>
    <t>CC678700</t>
  </si>
  <si>
    <t>2021Q71203</t>
  </si>
  <si>
    <t>CC589880</t>
  </si>
  <si>
    <t>2021I71095</t>
  </si>
  <si>
    <t>CC477089</t>
  </si>
  <si>
    <t>2021R81881</t>
  </si>
  <si>
    <t>CC184376</t>
  </si>
  <si>
    <t>2021P51427</t>
  </si>
  <si>
    <t>CC235801</t>
  </si>
  <si>
    <t>2021U71300</t>
  </si>
  <si>
    <t>CC198375</t>
  </si>
  <si>
    <t>2021B41753</t>
  </si>
  <si>
    <t>CC169643</t>
  </si>
  <si>
    <t>2021U91446</t>
  </si>
  <si>
    <t>CC960587</t>
  </si>
  <si>
    <t>2021K71243</t>
  </si>
  <si>
    <t>CC971074</t>
  </si>
  <si>
    <t>2021S11451</t>
  </si>
  <si>
    <t>CC392995</t>
  </si>
  <si>
    <t>2021F71106</t>
  </si>
  <si>
    <t>CC519070</t>
  </si>
  <si>
    <t>C243</t>
  </si>
  <si>
    <t>2021E41460</t>
  </si>
  <si>
    <t>CC351804</t>
  </si>
  <si>
    <t>2021X51076</t>
  </si>
  <si>
    <t>CC561355</t>
  </si>
  <si>
    <t>2021I91390</t>
  </si>
  <si>
    <t>CC971207</t>
  </si>
  <si>
    <t>2122E41682</t>
  </si>
  <si>
    <t>CC244019</t>
  </si>
  <si>
    <t>2122W31073</t>
  </si>
  <si>
    <t>CC881381</t>
  </si>
  <si>
    <t>2122J21075</t>
  </si>
  <si>
    <t>CC316029</t>
  </si>
  <si>
    <t>2122Q81980</t>
  </si>
  <si>
    <t>CC926037</t>
  </si>
  <si>
    <t>2122R91504</t>
  </si>
  <si>
    <t>CC748469</t>
  </si>
  <si>
    <t>2122E61635</t>
  </si>
  <si>
    <t>CC373590</t>
  </si>
  <si>
    <t>2122I21455</t>
  </si>
  <si>
    <t>CC757405</t>
  </si>
  <si>
    <t>2122S41901</t>
  </si>
  <si>
    <t>CC810183</t>
  </si>
  <si>
    <t>2122H61160</t>
  </si>
  <si>
    <t>CC306959</t>
  </si>
  <si>
    <t>2122W21972</t>
  </si>
  <si>
    <t>CC220009</t>
  </si>
  <si>
    <t>2122R71388</t>
  </si>
  <si>
    <t>CC522619</t>
  </si>
  <si>
    <t>2122O41500</t>
  </si>
  <si>
    <t>CC486761</t>
  </si>
  <si>
    <t>2122R61882</t>
  </si>
  <si>
    <t>CC891736</t>
  </si>
  <si>
    <t>2122N51414</t>
  </si>
  <si>
    <t>CC829313</t>
  </si>
  <si>
    <t>2122Y71890</t>
  </si>
  <si>
    <t>CC592980</t>
  </si>
  <si>
    <t>2122H91695</t>
  </si>
  <si>
    <t>CC432437</t>
  </si>
  <si>
    <t>2122A71300</t>
  </si>
  <si>
    <t>CC299835</t>
  </si>
  <si>
    <t>2122C41326</t>
  </si>
  <si>
    <t>CC665938</t>
  </si>
  <si>
    <t>2122Y21532</t>
  </si>
  <si>
    <t>CC161282</t>
  </si>
  <si>
    <t>2122W21540</t>
  </si>
  <si>
    <t>CC756683</t>
  </si>
  <si>
    <t>2122P81088</t>
  </si>
  <si>
    <t>CC162344</t>
  </si>
  <si>
    <t>2122D01344</t>
  </si>
  <si>
    <t>CC714981</t>
  </si>
  <si>
    <t>2122G11410</t>
  </si>
  <si>
    <t>CC323347</t>
  </si>
  <si>
    <t>2122M91677</t>
  </si>
  <si>
    <t>CC327526</t>
  </si>
  <si>
    <t>2122Y51906</t>
  </si>
  <si>
    <t>CC373965</t>
  </si>
  <si>
    <t>2122H21009</t>
  </si>
  <si>
    <t>CC854841</t>
  </si>
  <si>
    <t>2122T21938</t>
  </si>
  <si>
    <t>CC342728</t>
  </si>
  <si>
    <t>2122V91827</t>
  </si>
  <si>
    <t>CC382291</t>
  </si>
  <si>
    <t>2122F81122</t>
  </si>
  <si>
    <t>CC388791</t>
  </si>
  <si>
    <t>2122K71403</t>
  </si>
  <si>
    <t>CC719146</t>
  </si>
  <si>
    <t>2122O11519</t>
  </si>
  <si>
    <t>CC154932</t>
  </si>
  <si>
    <t>2122W31052</t>
  </si>
  <si>
    <t>CC991683</t>
  </si>
  <si>
    <t>2122S31761</t>
  </si>
  <si>
    <t>CC737026</t>
  </si>
  <si>
    <t>2122A71503</t>
  </si>
  <si>
    <t>CC740841</t>
  </si>
  <si>
    <t>2122L81527</t>
  </si>
  <si>
    <t>CC786502</t>
  </si>
  <si>
    <t>2122Q51651</t>
  </si>
  <si>
    <t>CC753187</t>
  </si>
  <si>
    <t>2122J41238</t>
  </si>
  <si>
    <t>CC826713</t>
  </si>
  <si>
    <t>2122C31086</t>
  </si>
  <si>
    <t>CC945706</t>
  </si>
  <si>
    <t>2122X11877</t>
  </si>
  <si>
    <t>CC279086</t>
  </si>
  <si>
    <t>2122P61734</t>
  </si>
  <si>
    <t>CC572393</t>
  </si>
  <si>
    <t>2122H31456</t>
  </si>
  <si>
    <t>CC199480</t>
  </si>
  <si>
    <t>2122U51176</t>
  </si>
  <si>
    <t>CC915591</t>
  </si>
  <si>
    <t>2122R81752</t>
  </si>
  <si>
    <t>CC714760</t>
  </si>
  <si>
    <t>E123</t>
  </si>
  <si>
    <t>2122J71071</t>
  </si>
  <si>
    <t>CC779996</t>
  </si>
  <si>
    <t>E106</t>
  </si>
  <si>
    <t>2122P71588</t>
  </si>
  <si>
    <t>CC712750</t>
  </si>
  <si>
    <t>2122E11194</t>
  </si>
  <si>
    <t>CC936408</t>
  </si>
  <si>
    <t>2122E92000</t>
  </si>
  <si>
    <t>CC913421</t>
  </si>
  <si>
    <t>2122A51332</t>
  </si>
  <si>
    <t>CC694145</t>
  </si>
  <si>
    <t>2122N21290</t>
  </si>
  <si>
    <t>CC812055</t>
  </si>
  <si>
    <t>2122H61356</t>
  </si>
  <si>
    <t>CC533198</t>
  </si>
  <si>
    <t>2122G71828</t>
  </si>
  <si>
    <t>CC403177</t>
  </si>
  <si>
    <t>2122Z81727</t>
  </si>
  <si>
    <t>CC834403</t>
  </si>
  <si>
    <t>2122C71512</t>
  </si>
  <si>
    <t>CC464231</t>
  </si>
  <si>
    <t>2122I51463</t>
  </si>
  <si>
    <t>CC228462</t>
  </si>
  <si>
    <t>2122E81958</t>
  </si>
  <si>
    <t>CC329189</t>
  </si>
  <si>
    <t>2122U21721</t>
  </si>
  <si>
    <t>CC219614</t>
  </si>
  <si>
    <t>2122A91382</t>
  </si>
  <si>
    <t>CC360973</t>
  </si>
  <si>
    <t>2122F51501</t>
  </si>
  <si>
    <t>CC996672</t>
  </si>
  <si>
    <t>2122I71828</t>
  </si>
  <si>
    <t>CC402764</t>
  </si>
  <si>
    <t>2122P31207</t>
  </si>
  <si>
    <t>CC822579</t>
  </si>
  <si>
    <t>E100</t>
  </si>
  <si>
    <t>2122S11948</t>
  </si>
  <si>
    <t>CC551324</t>
  </si>
  <si>
    <t>2122T61344</t>
  </si>
  <si>
    <t>CC117699</t>
  </si>
  <si>
    <t>2122K41100</t>
  </si>
  <si>
    <t>CC345184</t>
  </si>
  <si>
    <t>2122Y01059</t>
  </si>
  <si>
    <t>CC328264</t>
  </si>
  <si>
    <t>2122C91143</t>
  </si>
  <si>
    <t>CC616697</t>
  </si>
  <si>
    <t>2122Z91814</t>
  </si>
  <si>
    <t>CC296237</t>
  </si>
  <si>
    <t>2122Y31120</t>
  </si>
  <si>
    <t>CC431429</t>
  </si>
  <si>
    <t>2122W11173</t>
  </si>
  <si>
    <t>CC793013</t>
  </si>
  <si>
    <t>2122K21518</t>
  </si>
  <si>
    <t>CC609741</t>
  </si>
  <si>
    <t>2122O11507</t>
  </si>
  <si>
    <t>CC724728</t>
  </si>
  <si>
    <t>2122F91688</t>
  </si>
  <si>
    <t>CC328767</t>
  </si>
  <si>
    <t>2122W01822</t>
  </si>
  <si>
    <t>CC288213</t>
  </si>
  <si>
    <t>2122P41977</t>
  </si>
  <si>
    <t>CC701641</t>
  </si>
  <si>
    <t>2122N31667</t>
  </si>
  <si>
    <t>CC311492</t>
  </si>
  <si>
    <t>2122D01537</t>
  </si>
  <si>
    <t>CC709724</t>
  </si>
  <si>
    <t>2122D91262</t>
  </si>
  <si>
    <t>CC889005</t>
  </si>
  <si>
    <t>2122L61433</t>
  </si>
  <si>
    <t>CC248245</t>
  </si>
  <si>
    <t>2122A51824</t>
  </si>
  <si>
    <t>CC462512</t>
  </si>
  <si>
    <t>2122C91935</t>
  </si>
  <si>
    <t>CC382059</t>
  </si>
  <si>
    <t>2122G01509</t>
  </si>
  <si>
    <t>CC571554</t>
  </si>
  <si>
    <t>2122M81287</t>
  </si>
  <si>
    <t>CC438230</t>
  </si>
  <si>
    <t>2122X11995</t>
  </si>
  <si>
    <t>CC157174</t>
  </si>
  <si>
    <t>2122P01373</t>
  </si>
  <si>
    <t>CC667613</t>
  </si>
  <si>
    <t>2122D11524</t>
  </si>
  <si>
    <t>CC986776</t>
  </si>
  <si>
    <t>2122K31734</t>
  </si>
  <si>
    <t>CC917205</t>
  </si>
  <si>
    <t>2122W51264</t>
  </si>
  <si>
    <t>CC744505</t>
  </si>
  <si>
    <t>2122E81308</t>
  </si>
  <si>
    <t>CC368408</t>
  </si>
  <si>
    <t>2122M11324</t>
  </si>
  <si>
    <t>CC351025</t>
  </si>
  <si>
    <t>2122Q71449</t>
  </si>
  <si>
    <t>CC843843</t>
  </si>
  <si>
    <t>2122J41040</t>
  </si>
  <si>
    <t>CC758767</t>
  </si>
  <si>
    <t>2122M71189</t>
  </si>
  <si>
    <t>CC845878</t>
  </si>
  <si>
    <t>2122O01612</t>
  </si>
  <si>
    <t>CC397746</t>
  </si>
  <si>
    <t>2122K21667</t>
  </si>
  <si>
    <t>CC611971</t>
  </si>
  <si>
    <t>2122R41764</t>
  </si>
  <si>
    <t>CC958168</t>
  </si>
  <si>
    <t>2122X11966</t>
  </si>
  <si>
    <t>CC760438</t>
  </si>
  <si>
    <t>2122R41436</t>
  </si>
  <si>
    <t>CC113941</t>
  </si>
  <si>
    <t>2122X51421</t>
  </si>
  <si>
    <t>CC414518</t>
  </si>
  <si>
    <t>2122K41582</t>
  </si>
  <si>
    <t>CC855150</t>
  </si>
  <si>
    <t>2122R71561</t>
  </si>
  <si>
    <t>CC688525</t>
  </si>
  <si>
    <t>2122Y51297</t>
  </si>
  <si>
    <t>CC909635</t>
  </si>
  <si>
    <t>2122A21810</t>
  </si>
  <si>
    <t>CC462535</t>
  </si>
  <si>
    <t>2122K81299</t>
  </si>
  <si>
    <t>CC730025</t>
  </si>
  <si>
    <t>2122E81303</t>
  </si>
  <si>
    <t>CC295581</t>
  </si>
  <si>
    <t>2122O71438</t>
  </si>
  <si>
    <t>CC504719</t>
  </si>
  <si>
    <t>2122Y51662</t>
  </si>
  <si>
    <t>CC122844</t>
  </si>
  <si>
    <t>2122U21295</t>
  </si>
  <si>
    <t>CC955812</t>
  </si>
  <si>
    <t>2122H51580</t>
  </si>
  <si>
    <t>CC124053</t>
  </si>
  <si>
    <t>2122F21054</t>
  </si>
  <si>
    <t>CC905493</t>
  </si>
  <si>
    <t>2122R91732</t>
  </si>
  <si>
    <t>CC775724</t>
  </si>
  <si>
    <t>2122S21537</t>
  </si>
  <si>
    <t>CC705770</t>
  </si>
  <si>
    <t>2122T11612</t>
  </si>
  <si>
    <t>CC923656</t>
  </si>
  <si>
    <t>2122H01575</t>
  </si>
  <si>
    <t>CC427384</t>
  </si>
  <si>
    <t>2122O91217</t>
  </si>
  <si>
    <t>CC605545</t>
  </si>
  <si>
    <t>2122N81684</t>
  </si>
  <si>
    <t>CC757772</t>
  </si>
  <si>
    <t>2122T11572</t>
  </si>
  <si>
    <t>CC776809</t>
  </si>
  <si>
    <t>2122N41639</t>
  </si>
  <si>
    <t>CC481370</t>
  </si>
  <si>
    <t>2122T31362</t>
  </si>
  <si>
    <t>CC156411</t>
  </si>
  <si>
    <t>2122I01269</t>
  </si>
  <si>
    <t>CC535979</t>
  </si>
  <si>
    <t>2122J91871</t>
  </si>
  <si>
    <t>CC129392</t>
  </si>
  <si>
    <t>2122E11145</t>
  </si>
  <si>
    <t>CC483508</t>
  </si>
  <si>
    <t>2122B11824</t>
  </si>
  <si>
    <t>CC402552</t>
  </si>
  <si>
    <t>2122L61350</t>
  </si>
  <si>
    <t>CC861125</t>
  </si>
  <si>
    <t>2122V51057</t>
  </si>
  <si>
    <t>CC665733</t>
  </si>
  <si>
    <t>2122A01733</t>
  </si>
  <si>
    <t>CC732825</t>
  </si>
  <si>
    <t>2122H01711</t>
  </si>
  <si>
    <t>CC701593</t>
  </si>
  <si>
    <t>2122P91585</t>
  </si>
  <si>
    <t>CC538768</t>
  </si>
  <si>
    <t>2122F01599</t>
  </si>
  <si>
    <t>CC258004</t>
  </si>
  <si>
    <t>2122E31833</t>
  </si>
  <si>
    <t>CC102948</t>
  </si>
  <si>
    <t>CC833477</t>
  </si>
  <si>
    <t>2122K51946</t>
  </si>
  <si>
    <t>CC669865</t>
  </si>
  <si>
    <t>2122L71265</t>
  </si>
  <si>
    <t>CC687030</t>
  </si>
  <si>
    <t>2122P71661</t>
  </si>
  <si>
    <t>CC159657</t>
  </si>
  <si>
    <t>2122C41426</t>
  </si>
  <si>
    <t>CC837422</t>
  </si>
  <si>
    <t>2122C41965</t>
  </si>
  <si>
    <t>CC974419</t>
  </si>
  <si>
    <t>2122Q91600</t>
  </si>
  <si>
    <t>CC158828</t>
  </si>
  <si>
    <t>2122N41091</t>
  </si>
  <si>
    <t>CC733634</t>
  </si>
  <si>
    <t>2122J71298</t>
  </si>
  <si>
    <t>CC612045</t>
  </si>
  <si>
    <t>2122R51511</t>
  </si>
  <si>
    <t>CC196780</t>
  </si>
  <si>
    <t>2122I21394</t>
  </si>
  <si>
    <t>CC345385</t>
  </si>
  <si>
    <t>2122S81625</t>
  </si>
  <si>
    <t>CC140319</t>
  </si>
  <si>
    <t>2122H31439</t>
  </si>
  <si>
    <t>CC721275</t>
  </si>
  <si>
    <t>2122Z91491</t>
  </si>
  <si>
    <t>CC188057</t>
  </si>
  <si>
    <t>2122P61430</t>
  </si>
  <si>
    <t>CC967396</t>
  </si>
  <si>
    <t>2122X71228</t>
  </si>
  <si>
    <t>CC544567</t>
  </si>
  <si>
    <t>2122A41190</t>
  </si>
  <si>
    <t>CC463984</t>
  </si>
  <si>
    <t>2122E31771</t>
  </si>
  <si>
    <t>CC210486</t>
  </si>
  <si>
    <t>2122J21302</t>
  </si>
  <si>
    <t>CC562343</t>
  </si>
  <si>
    <t>2122U71686</t>
  </si>
  <si>
    <t>CC859081</t>
  </si>
  <si>
    <t>2122S11655</t>
  </si>
  <si>
    <t>CC823880</t>
  </si>
  <si>
    <t>2122X71658</t>
  </si>
  <si>
    <t>CC162983</t>
  </si>
  <si>
    <t>2122V81417</t>
  </si>
  <si>
    <t>CC681538</t>
  </si>
  <si>
    <t>2122A81307</t>
  </si>
  <si>
    <t>CC237623</t>
  </si>
  <si>
    <t>2122V01001</t>
  </si>
  <si>
    <t>CC547030</t>
  </si>
  <si>
    <t>E104</t>
  </si>
  <si>
    <t>2122T51691</t>
  </si>
  <si>
    <t>CC298816</t>
  </si>
  <si>
    <t>2122R21294</t>
  </si>
  <si>
    <t>CC694544</t>
  </si>
  <si>
    <t>2122F51085</t>
  </si>
  <si>
    <t>CC406497</t>
  </si>
  <si>
    <t>2122E51505</t>
  </si>
  <si>
    <t>CC878457</t>
  </si>
  <si>
    <t>2122T81850</t>
  </si>
  <si>
    <t>CC120821</t>
  </si>
  <si>
    <t>2122M11446</t>
  </si>
  <si>
    <t>CC988090</t>
  </si>
  <si>
    <t>2122Q11447</t>
  </si>
  <si>
    <t>CC910656</t>
  </si>
  <si>
    <t>2122G51832</t>
  </si>
  <si>
    <t>CC843051</t>
  </si>
  <si>
    <t>2122P01616</t>
  </si>
  <si>
    <t>CC345294</t>
  </si>
  <si>
    <t>2122N91580</t>
  </si>
  <si>
    <t>CC816936</t>
  </si>
  <si>
    <t>2122F61573</t>
  </si>
  <si>
    <t>CC860498</t>
  </si>
  <si>
    <t>2122H91571</t>
  </si>
  <si>
    <t>CC571576</t>
  </si>
  <si>
    <t>2122L91760</t>
  </si>
  <si>
    <t>CC208170</t>
  </si>
  <si>
    <t>2122P21233</t>
  </si>
  <si>
    <t>CC432116</t>
  </si>
  <si>
    <t>2122G81159</t>
  </si>
  <si>
    <t>CC483264</t>
  </si>
  <si>
    <t>2122Q71751</t>
  </si>
  <si>
    <t>CC597321</t>
  </si>
  <si>
    <t>2122I61666</t>
  </si>
  <si>
    <t>CC649415</t>
  </si>
  <si>
    <t>2122W31596</t>
  </si>
  <si>
    <t>CC206586</t>
  </si>
  <si>
    <t>2122J71793</t>
  </si>
  <si>
    <t>CC980696</t>
  </si>
  <si>
    <t>2122H31632</t>
  </si>
  <si>
    <t>CC277275</t>
  </si>
  <si>
    <t>2122Q21787</t>
  </si>
  <si>
    <t>CC404319</t>
  </si>
  <si>
    <t>2122X31193</t>
  </si>
  <si>
    <t>CC412329</t>
  </si>
  <si>
    <t>2122E81653</t>
  </si>
  <si>
    <t>CC909238</t>
  </si>
  <si>
    <t>2122M31759</t>
  </si>
  <si>
    <t>CC120381</t>
  </si>
  <si>
    <t>2122O31910</t>
  </si>
  <si>
    <t>CC756388</t>
  </si>
  <si>
    <t>2122O21380</t>
  </si>
  <si>
    <t>CC448654</t>
  </si>
  <si>
    <t>2122B11327</t>
  </si>
  <si>
    <t>CC759851</t>
  </si>
  <si>
    <t>2122H61816</t>
  </si>
  <si>
    <t>CC945796</t>
  </si>
  <si>
    <t>2122V61573</t>
  </si>
  <si>
    <t>CC167058</t>
  </si>
  <si>
    <t>2122X41270</t>
  </si>
  <si>
    <t>CC426487</t>
  </si>
  <si>
    <t>2122N81731</t>
  </si>
  <si>
    <t>CC770793</t>
  </si>
  <si>
    <t>2122S51948</t>
  </si>
  <si>
    <t>CC309870</t>
  </si>
  <si>
    <t>2122I01680</t>
  </si>
  <si>
    <t>CC202660</t>
  </si>
  <si>
    <t>CC927496</t>
  </si>
  <si>
    <t>2122P01599</t>
  </si>
  <si>
    <t>CC652766</t>
  </si>
  <si>
    <t>2122H91641</t>
  </si>
  <si>
    <t>CC410282</t>
  </si>
  <si>
    <t>2122U31051</t>
  </si>
  <si>
    <t>CC220785</t>
  </si>
  <si>
    <t>2122Y11202</t>
  </si>
  <si>
    <t>CC171939</t>
  </si>
  <si>
    <t>2122U21743</t>
  </si>
  <si>
    <t>CC402401</t>
  </si>
  <si>
    <t>2122K31194</t>
  </si>
  <si>
    <t>CC553014</t>
  </si>
  <si>
    <t>2122J11325</t>
  </si>
  <si>
    <t>CC332846</t>
  </si>
  <si>
    <t>2122Z91298</t>
  </si>
  <si>
    <t>CC358419</t>
  </si>
  <si>
    <t>2122X71648</t>
  </si>
  <si>
    <t>CC585198</t>
  </si>
  <si>
    <t>2122I01855</t>
  </si>
  <si>
    <t>CC993639</t>
  </si>
  <si>
    <t>2122H01013</t>
  </si>
  <si>
    <t>CC890404</t>
  </si>
  <si>
    <t>2122T51891</t>
  </si>
  <si>
    <t>CC215924</t>
  </si>
  <si>
    <t>2122K51689</t>
  </si>
  <si>
    <t>CC971575</t>
  </si>
  <si>
    <t>2122J21387</t>
  </si>
  <si>
    <t>CC589485</t>
  </si>
  <si>
    <t>2122F11390</t>
  </si>
  <si>
    <t>CC222731</t>
  </si>
  <si>
    <t>2122R81540</t>
  </si>
  <si>
    <t>CC338239</t>
  </si>
  <si>
    <t>2122H21048</t>
  </si>
  <si>
    <t>CC394986</t>
  </si>
  <si>
    <t>2122U01744</t>
  </si>
  <si>
    <t>CC820923</t>
  </si>
  <si>
    <t>2122F11203</t>
  </si>
  <si>
    <t>CC774762</t>
  </si>
  <si>
    <t>2122O31918</t>
  </si>
  <si>
    <t>CC704438</t>
  </si>
  <si>
    <t>2122U81415</t>
  </si>
  <si>
    <t>CC294370</t>
  </si>
  <si>
    <t>2122T51475</t>
  </si>
  <si>
    <t>CC508805</t>
  </si>
  <si>
    <t>2122Y71672</t>
  </si>
  <si>
    <t>CC931961</t>
  </si>
  <si>
    <t>CC223399</t>
  </si>
  <si>
    <t>2122L01942</t>
  </si>
  <si>
    <t>CC199052</t>
  </si>
  <si>
    <t>2122Y91398</t>
  </si>
  <si>
    <t>CC986010</t>
  </si>
  <si>
    <t>2122I11621</t>
  </si>
  <si>
    <t>CC114003</t>
  </si>
  <si>
    <t>2122S81658</t>
  </si>
  <si>
    <t>CC886642</t>
  </si>
  <si>
    <t>2122R41318</t>
  </si>
  <si>
    <t>CC164169</t>
  </si>
  <si>
    <t>2122W41943</t>
  </si>
  <si>
    <t>CC214748</t>
  </si>
  <si>
    <t>2122A01575</t>
  </si>
  <si>
    <t>CC969173</t>
  </si>
  <si>
    <t>2122M61002</t>
  </si>
  <si>
    <t>CC356315</t>
  </si>
  <si>
    <t>2122P81586</t>
  </si>
  <si>
    <t>CC610632</t>
  </si>
  <si>
    <t>2122C01362</t>
  </si>
  <si>
    <t>CC213253</t>
  </si>
  <si>
    <t>2122V41231</t>
  </si>
  <si>
    <t>CC840595</t>
  </si>
  <si>
    <t>2122E51863</t>
  </si>
  <si>
    <t>CC285789</t>
  </si>
  <si>
    <t>2122V91192</t>
  </si>
  <si>
    <t>CC130624</t>
  </si>
  <si>
    <t>2122M41710</t>
  </si>
  <si>
    <t>CC703229</t>
  </si>
  <si>
    <t>2122N31993</t>
  </si>
  <si>
    <t>CC678203</t>
  </si>
  <si>
    <t>2122N01743</t>
  </si>
  <si>
    <t>CC910213</t>
  </si>
  <si>
    <t>2122H91547</t>
  </si>
  <si>
    <t>CC659077</t>
  </si>
  <si>
    <t>2122J71497</t>
  </si>
  <si>
    <t>CC684587</t>
  </si>
  <si>
    <t>2122J01844</t>
  </si>
  <si>
    <t>CC700229</t>
  </si>
  <si>
    <t>2122Q91445</t>
  </si>
  <si>
    <t>CC584823</t>
  </si>
  <si>
    <t>E122</t>
  </si>
  <si>
    <t>2122B21203</t>
  </si>
  <si>
    <t>CC378274</t>
  </si>
  <si>
    <t>2122P31983</t>
  </si>
  <si>
    <t>CC624674</t>
  </si>
  <si>
    <t>2122Q51522</t>
  </si>
  <si>
    <t>CC732491</t>
  </si>
  <si>
    <t>2122O31887</t>
  </si>
  <si>
    <t>CC192808</t>
  </si>
  <si>
    <t>2122S41743</t>
  </si>
  <si>
    <t>CC910737</t>
  </si>
  <si>
    <t>2122N01952</t>
  </si>
  <si>
    <t>CC160324</t>
  </si>
  <si>
    <t>2122B91484</t>
  </si>
  <si>
    <t>CC428042</t>
  </si>
  <si>
    <t>2122W31175</t>
  </si>
  <si>
    <t>CC736688</t>
  </si>
  <si>
    <t>2122L21946</t>
  </si>
  <si>
    <t>CC394417</t>
  </si>
  <si>
    <t>2122I51208</t>
  </si>
  <si>
    <t>CC886051</t>
  </si>
  <si>
    <t>2122U91401</t>
  </si>
  <si>
    <t>CC315583</t>
  </si>
  <si>
    <t>2122H51226</t>
  </si>
  <si>
    <t>CC764970</t>
  </si>
  <si>
    <t>2122O11932</t>
  </si>
  <si>
    <t>CC903133</t>
  </si>
  <si>
    <t>2122Z01541</t>
  </si>
  <si>
    <t>CC457164</t>
  </si>
  <si>
    <t>2122A41391</t>
  </si>
  <si>
    <t>CC287338</t>
  </si>
  <si>
    <t>2122C31602</t>
  </si>
  <si>
    <t>CC357536</t>
  </si>
  <si>
    <t>2122B51116</t>
  </si>
  <si>
    <t>CC578320</t>
  </si>
  <si>
    <t>2122T71144</t>
  </si>
  <si>
    <t>CC862577</t>
  </si>
  <si>
    <t>2122Z51636</t>
  </si>
  <si>
    <t>CC893648</t>
  </si>
  <si>
    <t>2122T71032</t>
  </si>
  <si>
    <t>CC613425</t>
  </si>
  <si>
    <t>2122W81919</t>
  </si>
  <si>
    <t>CC259737</t>
  </si>
  <si>
    <t>2122X01732</t>
  </si>
  <si>
    <t>CC415777</t>
  </si>
  <si>
    <t>2122W01507</t>
  </si>
  <si>
    <t>CC622234</t>
  </si>
  <si>
    <t>2122W41847</t>
  </si>
  <si>
    <t>CC763477</t>
  </si>
  <si>
    <t>2122O71884</t>
  </si>
  <si>
    <t>CC998662</t>
  </si>
  <si>
    <t>2122P31669</t>
  </si>
  <si>
    <t>CC501883</t>
  </si>
  <si>
    <t>2122E31923</t>
  </si>
  <si>
    <t>CC199085</t>
  </si>
  <si>
    <t>2122G51676</t>
  </si>
  <si>
    <t>CC145391</t>
  </si>
  <si>
    <t>2122K71852</t>
  </si>
  <si>
    <t>CC981705</t>
  </si>
  <si>
    <t>2122X31075</t>
  </si>
  <si>
    <t>CC970677</t>
  </si>
  <si>
    <t>2122B71557</t>
  </si>
  <si>
    <t>CC274148</t>
  </si>
  <si>
    <t>2122I51297</t>
  </si>
  <si>
    <t>CC504295</t>
  </si>
  <si>
    <t>2122D11360</t>
  </si>
  <si>
    <t>CC338380</t>
  </si>
  <si>
    <t>2122K21209</t>
  </si>
  <si>
    <t>CC805139</t>
  </si>
  <si>
    <t>2122L61097</t>
  </si>
  <si>
    <t>CC382146</t>
  </si>
  <si>
    <t>2122G61001</t>
  </si>
  <si>
    <t>CC746242</t>
  </si>
  <si>
    <t>2122X61950</t>
  </si>
  <si>
    <t>CC143410</t>
  </si>
  <si>
    <t>2122C81722</t>
  </si>
  <si>
    <t>CC465295</t>
  </si>
  <si>
    <t>2122G31114</t>
  </si>
  <si>
    <t>CC999327</t>
  </si>
  <si>
    <t>2122D91427</t>
  </si>
  <si>
    <t>CC254989</t>
  </si>
  <si>
    <t>2122Q21513</t>
  </si>
  <si>
    <t>CC934820</t>
  </si>
  <si>
    <t>2122F51875</t>
  </si>
  <si>
    <t>CC738544</t>
  </si>
  <si>
    <t>2122V01680</t>
  </si>
  <si>
    <t>CC442974</t>
  </si>
  <si>
    <t>2122U61368</t>
  </si>
  <si>
    <t>CC332796</t>
  </si>
  <si>
    <t>2122P01743</t>
  </si>
  <si>
    <t>CC248150</t>
  </si>
  <si>
    <t>2122I81670</t>
  </si>
  <si>
    <t>CC695273</t>
  </si>
  <si>
    <t>2122V31173</t>
  </si>
  <si>
    <t>CC795926</t>
  </si>
  <si>
    <t>2122S62000</t>
  </si>
  <si>
    <t>CC885617</t>
  </si>
  <si>
    <t>2122K71713</t>
  </si>
  <si>
    <t>CC551461</t>
  </si>
  <si>
    <t>2122W81761</t>
  </si>
  <si>
    <t>CC672893</t>
  </si>
  <si>
    <t>2122P81589</t>
  </si>
  <si>
    <t>CC730447</t>
  </si>
  <si>
    <t>2122H61759</t>
  </si>
  <si>
    <t>CC245152</t>
  </si>
  <si>
    <t>2122D61097</t>
  </si>
  <si>
    <t>CC893209</t>
  </si>
  <si>
    <t>2122Z91735</t>
  </si>
  <si>
    <t>CC962087</t>
  </si>
  <si>
    <t>2122N11891</t>
  </si>
  <si>
    <t>CC542097</t>
  </si>
  <si>
    <t>2122F11571</t>
  </si>
  <si>
    <t>CC951164</t>
  </si>
  <si>
    <t>2122T01886</t>
  </si>
  <si>
    <t>CC495320</t>
  </si>
  <si>
    <t>2122Q61371</t>
  </si>
  <si>
    <t>CC108757</t>
  </si>
  <si>
    <t>2122K81278</t>
  </si>
  <si>
    <t>CC876017</t>
  </si>
  <si>
    <t>2122V31640</t>
  </si>
  <si>
    <t>CC658147</t>
  </si>
  <si>
    <t>2122Q61526</t>
  </si>
  <si>
    <t>CC800130</t>
  </si>
  <si>
    <t>2122L41908</t>
  </si>
  <si>
    <t>CC875178</t>
  </si>
  <si>
    <t>2122N11632</t>
  </si>
  <si>
    <t>CC979929</t>
  </si>
  <si>
    <t>2122I71629</t>
  </si>
  <si>
    <t>CC992885</t>
  </si>
  <si>
    <t>2122U31007</t>
  </si>
  <si>
    <t>CC987022</t>
  </si>
  <si>
    <t>2122J01967</t>
  </si>
  <si>
    <t>CC407460</t>
  </si>
  <si>
    <t>2122J61173</t>
  </si>
  <si>
    <t>CC555392</t>
  </si>
  <si>
    <t>2122T81846</t>
  </si>
  <si>
    <t>CC715776</t>
  </si>
  <si>
    <t>2122O71090</t>
  </si>
  <si>
    <t>CC889578</t>
  </si>
  <si>
    <t>2122N21219</t>
  </si>
  <si>
    <t>CC438197</t>
  </si>
  <si>
    <t>2122I61648</t>
  </si>
  <si>
    <t>CC358877</t>
  </si>
  <si>
    <t>2122B21220</t>
  </si>
  <si>
    <t>CC832673</t>
  </si>
  <si>
    <t>2122Z71163</t>
  </si>
  <si>
    <t>CC801174</t>
  </si>
  <si>
    <t>2122S01090</t>
  </si>
  <si>
    <t>CC808662</t>
  </si>
  <si>
    <t>2122Z81103</t>
  </si>
  <si>
    <t>CC511907</t>
  </si>
  <si>
    <t>2122R31053</t>
  </si>
  <si>
    <t>CC519270</t>
  </si>
  <si>
    <t>2122F71740</t>
  </si>
  <si>
    <t>CC544672</t>
  </si>
  <si>
    <t>2122F71004</t>
  </si>
  <si>
    <t>CC979809</t>
  </si>
  <si>
    <t>2122H61434</t>
  </si>
  <si>
    <t>CC472118</t>
  </si>
  <si>
    <t>2122V92000</t>
  </si>
  <si>
    <t>CC452480</t>
  </si>
  <si>
    <t>2122O81518</t>
  </si>
  <si>
    <t>CC972557</t>
  </si>
  <si>
    <t>2122U51882</t>
  </si>
  <si>
    <t>CC193628</t>
  </si>
  <si>
    <t>2122D81263</t>
  </si>
  <si>
    <t>CC315155</t>
  </si>
  <si>
    <t>2122M11982</t>
  </si>
  <si>
    <t>CC817711</t>
  </si>
  <si>
    <t>2122D81367</t>
  </si>
  <si>
    <t>CC904214</t>
  </si>
  <si>
    <t>2122G21024</t>
  </si>
  <si>
    <t>CC610840</t>
  </si>
  <si>
    <t>2122J21867</t>
  </si>
  <si>
    <t>CC305363</t>
  </si>
  <si>
    <t>2122M91789</t>
  </si>
  <si>
    <t>CC472345</t>
  </si>
  <si>
    <t>2122W21441</t>
  </si>
  <si>
    <t>CC444291</t>
  </si>
  <si>
    <t>2122Y11228</t>
  </si>
  <si>
    <t>CC913406</t>
  </si>
  <si>
    <t>2122X31510</t>
  </si>
  <si>
    <t>CC887540</t>
  </si>
  <si>
    <t>2122Z41398</t>
  </si>
  <si>
    <t>CC250641</t>
  </si>
  <si>
    <t>2122G11593</t>
  </si>
  <si>
    <t>CC383194</t>
  </si>
  <si>
    <t>2122X31771</t>
  </si>
  <si>
    <t>CC265814</t>
  </si>
  <si>
    <t>2122O21911</t>
  </si>
  <si>
    <t>CC500468</t>
  </si>
  <si>
    <t>2122S71061</t>
  </si>
  <si>
    <t>CC388908</t>
  </si>
  <si>
    <t>2122G31364</t>
  </si>
  <si>
    <t>CC554784</t>
  </si>
  <si>
    <t>2122T21468</t>
  </si>
  <si>
    <t>CC717904</t>
  </si>
  <si>
    <t>2122H41555</t>
  </si>
  <si>
    <t>CC574535</t>
  </si>
  <si>
    <t>2122C71145</t>
  </si>
  <si>
    <t>CC238390</t>
  </si>
  <si>
    <t>2122L21212</t>
  </si>
  <si>
    <t>CC498363</t>
  </si>
  <si>
    <t>2122H51497</t>
  </si>
  <si>
    <t>CC116382</t>
  </si>
  <si>
    <t>2122E11668</t>
  </si>
  <si>
    <t>CC620411</t>
  </si>
  <si>
    <t>2122L11016</t>
  </si>
  <si>
    <t>CC869452</t>
  </si>
  <si>
    <t>2122Q21657</t>
  </si>
  <si>
    <t>CC356778</t>
  </si>
  <si>
    <t>2122H11405</t>
  </si>
  <si>
    <t>CC419255</t>
  </si>
  <si>
    <t>2122E91010</t>
  </si>
  <si>
    <t>CC316789</t>
  </si>
  <si>
    <t>2122W51561</t>
  </si>
  <si>
    <t>CC726894</t>
  </si>
  <si>
    <t>2122I21665</t>
  </si>
  <si>
    <t>CC360747</t>
  </si>
  <si>
    <t>2122J01328</t>
  </si>
  <si>
    <t>CC650227</t>
  </si>
  <si>
    <t>Sunday</t>
  </si>
  <si>
    <t>Monday</t>
  </si>
  <si>
    <t>Tuesday</t>
  </si>
  <si>
    <t>Wednesday</t>
  </si>
  <si>
    <t>Thursday</t>
  </si>
  <si>
    <t>Friday</t>
  </si>
  <si>
    <t>Saturday</t>
  </si>
  <si>
    <t>Day of transaction</t>
  </si>
  <si>
    <t>Limits test</t>
  </si>
  <si>
    <t>2021j61812</t>
  </si>
  <si>
    <t>2122j61071</t>
  </si>
  <si>
    <t>2122j61624</t>
  </si>
  <si>
    <t>2122j61318</t>
  </si>
  <si>
    <t>Creator Limits Reperformed</t>
  </si>
  <si>
    <t>Approval Limits Reperformed</t>
  </si>
  <si>
    <t>Days of week</t>
  </si>
  <si>
    <t>Employee Id</t>
  </si>
  <si>
    <t>Position Details</t>
  </si>
  <si>
    <t>Create Rights</t>
  </si>
  <si>
    <t>Approve Rights</t>
  </si>
  <si>
    <t>SE</t>
  </si>
  <si>
    <t>Yes</t>
  </si>
  <si>
    <t>No</t>
  </si>
  <si>
    <t>AM</t>
  </si>
  <si>
    <t>DM</t>
  </si>
  <si>
    <t>SM</t>
  </si>
  <si>
    <t>CM</t>
  </si>
  <si>
    <t>CFO</t>
  </si>
  <si>
    <t>Director 1</t>
  </si>
  <si>
    <t>E128</t>
  </si>
  <si>
    <t>Director 2</t>
  </si>
  <si>
    <t>E129</t>
  </si>
  <si>
    <t>Director 3</t>
  </si>
  <si>
    <t>Current Creator</t>
  </si>
  <si>
    <t>Current Approver</t>
  </si>
  <si>
    <t>Business hours test</t>
  </si>
  <si>
    <t>Time series results</t>
  </si>
  <si>
    <t>Red Flag</t>
  </si>
  <si>
    <t>FY 2020-21</t>
  </si>
  <si>
    <t>Year of Revenue</t>
  </si>
  <si>
    <t>FY 2021-22</t>
  </si>
  <si>
    <t>Increase</t>
  </si>
  <si>
    <t>Significant increase is observed</t>
  </si>
  <si>
    <t>Months</t>
  </si>
  <si>
    <t>Month of revenue</t>
  </si>
  <si>
    <t>Sum of  Recorded Revenue</t>
  </si>
  <si>
    <t>Row Labels</t>
  </si>
  <si>
    <t>Grand Total</t>
  </si>
  <si>
    <t>2020</t>
  </si>
  <si>
    <t>2021</t>
  </si>
  <si>
    <t>2022</t>
  </si>
  <si>
    <t>Column Labels</t>
  </si>
  <si>
    <t>List of Related Parties identified</t>
  </si>
  <si>
    <t>Customer Id</t>
  </si>
  <si>
    <t>Legal Name</t>
  </si>
  <si>
    <t>Whether GST registered?</t>
  </si>
  <si>
    <t>PAN Availability</t>
  </si>
  <si>
    <t>Location</t>
  </si>
  <si>
    <t>Mail Id</t>
  </si>
  <si>
    <t>Red Software Pvt Ltd</t>
  </si>
  <si>
    <t>Kerala</t>
  </si>
  <si>
    <t>redsoftwarepvtltd@domain.domain</t>
  </si>
  <si>
    <t>Yellow Software Pvt Ltd</t>
  </si>
  <si>
    <t>TamilNadu</t>
  </si>
  <si>
    <t>yellowsoftwarepvtltd@domain.domain</t>
  </si>
  <si>
    <t>Blue Tech Solutions Pvt Ltd</t>
  </si>
  <si>
    <t>Karnataka</t>
  </si>
  <si>
    <t>bluetechsolutionspvtltd@domain.domain</t>
  </si>
  <si>
    <t>Green  Solutions Pvt Ltd</t>
  </si>
  <si>
    <t>Telengana</t>
  </si>
  <si>
    <t>greensolutionspvtltd@domain.domain</t>
  </si>
  <si>
    <t>Orange Digital Pvt Ltd</t>
  </si>
  <si>
    <t>West Bengal</t>
  </si>
  <si>
    <t>orangedigitalpvtltd@domain.domain</t>
  </si>
  <si>
    <t>Purple  IT Pvt Ltd</t>
  </si>
  <si>
    <t>purpleitpvtltd@domain.domain</t>
  </si>
  <si>
    <t>Black Infocom Pvt Ltd</t>
  </si>
  <si>
    <t>blackinfocompvtltd@domain.domain</t>
  </si>
  <si>
    <t>White Software Ltd</t>
  </si>
  <si>
    <t>Andra Pradesh</t>
  </si>
  <si>
    <t>whitesoftwareltd@domain.domain</t>
  </si>
  <si>
    <t>Gray  Digital Pvt Ltd</t>
  </si>
  <si>
    <t>graydigitalpvtltd@domain.domain</t>
  </si>
  <si>
    <t>Brown Computers Ltd</t>
  </si>
  <si>
    <t>browncomputersltd@domain.domain</t>
  </si>
  <si>
    <t>Beige IT Ltd</t>
  </si>
  <si>
    <t>Uttar Pradesh</t>
  </si>
  <si>
    <t>beigeitltd@domain.domain</t>
  </si>
  <si>
    <t>Cream Software Ltd</t>
  </si>
  <si>
    <t>creamsoftwareltd@domain.domain</t>
  </si>
  <si>
    <t>Silver Computers Pvt Ltd</t>
  </si>
  <si>
    <t>silvercomputerspvtltd@domain.domain</t>
  </si>
  <si>
    <t>Gold Tech Pvt Ltd</t>
  </si>
  <si>
    <t>Gujarat</t>
  </si>
  <si>
    <t>goldtechpvtltd@domain.domain</t>
  </si>
  <si>
    <t>Navy Blue Software Ltd</t>
  </si>
  <si>
    <t>Maharastra</t>
  </si>
  <si>
    <t>navybluesoftwareltd@domain.domain</t>
  </si>
  <si>
    <t>Sky Blue Digital Pvt Ltd</t>
  </si>
  <si>
    <t>skybluedigitalpvtltd@domain.domain</t>
  </si>
  <si>
    <t>Cyan Infocom Pvt Ltd</t>
  </si>
  <si>
    <t>cyaninfocompvtltd@domain.domain</t>
  </si>
  <si>
    <t>Teal Digital Ltd</t>
  </si>
  <si>
    <t>tealdigitalltd@domain.domain</t>
  </si>
  <si>
    <t>Turquoise Software Ltd</t>
  </si>
  <si>
    <t>turquoisesoftwareltd@domain.domain</t>
  </si>
  <si>
    <t>Azure Software Pvt Ltd</t>
  </si>
  <si>
    <t>azuresoftwarepvtltd@domain.domain</t>
  </si>
  <si>
    <t>Indigo Software Pvt Ltd</t>
  </si>
  <si>
    <t>indigosoftwarepvtltd@domain.domain</t>
  </si>
  <si>
    <t>Sapphire Infocom Ltd</t>
  </si>
  <si>
    <t>sapphireinfocomltd@domain.domain</t>
  </si>
  <si>
    <t>Crimson Computers Pvt Ltd</t>
  </si>
  <si>
    <t>crimsoncomputerspvtltd@domain.domain</t>
  </si>
  <si>
    <t>Scarlet Solutions Ltd</t>
  </si>
  <si>
    <t>scarletsolutionsltd@domain.domain</t>
  </si>
  <si>
    <t>Maroon Infocom Pvt Ltd</t>
  </si>
  <si>
    <t>marooninfocompvtltd@domain.domain</t>
  </si>
  <si>
    <t>Burgundy Digital Pvt Ltd</t>
  </si>
  <si>
    <t>burgundydigitalpvtltd@domain.domain</t>
  </si>
  <si>
    <t>Pink Tech Solutions Pvt Ltd</t>
  </si>
  <si>
    <t>pinktechsolutionspvtltd@domain.domain</t>
  </si>
  <si>
    <t>Magenta IT Pvt Ltd</t>
  </si>
  <si>
    <t>magentaitpvtltd@domain.domain</t>
  </si>
  <si>
    <t>Fuchsia Tech Solutions Pvt Ltd</t>
  </si>
  <si>
    <t>fuchsiatechsolutionspvtltd@domain.domain</t>
  </si>
  <si>
    <t>Lavender IT Pvt Ltd</t>
  </si>
  <si>
    <t>lavenderitpvtltd@domain.domain</t>
  </si>
  <si>
    <t>Lilac Tech Pvt Ltd</t>
  </si>
  <si>
    <t>lilactechpvtltd@domain.domain</t>
  </si>
  <si>
    <t>Plum Software Pvt Ltd</t>
  </si>
  <si>
    <t>plumsoftwarepvtltd@domain.domain</t>
  </si>
  <si>
    <t>Orchid Tech Solutions Ltd</t>
  </si>
  <si>
    <t>orchidtechsolutionsltd@domain.domain</t>
  </si>
  <si>
    <t>Lime Green Tech Pvt Ltd</t>
  </si>
  <si>
    <t>limegreentechpvtltd@domain.domain</t>
  </si>
  <si>
    <t>Emerald Digital Ltd</t>
  </si>
  <si>
    <t>emeralddigitalltd@domain.domain</t>
  </si>
  <si>
    <t>Olive Tech Ltd</t>
  </si>
  <si>
    <t>olivetechltd@domain.domain</t>
  </si>
  <si>
    <t>Mint IT Pvt Ltd</t>
  </si>
  <si>
    <t>mintitpvtltd@domain.domain</t>
  </si>
  <si>
    <t>Forest Green IT Ltd</t>
  </si>
  <si>
    <t>forestgreenitltd@domain.domain</t>
  </si>
  <si>
    <t>Chartreuse Software Pvt Ltd</t>
  </si>
  <si>
    <t>chartreusesoftwarepvtltd@domain.domain</t>
  </si>
  <si>
    <t>Amber IT Pvt Ltd</t>
  </si>
  <si>
    <t>amberitpvtltd@domain.domain</t>
  </si>
  <si>
    <t>Mustard IT Ltd</t>
  </si>
  <si>
    <t>mustarditltd@domain.domain</t>
  </si>
  <si>
    <t>Tan Tech Solutions Pvt Ltd</t>
  </si>
  <si>
    <t>tantechsolutionspvtltd@domain.domain</t>
  </si>
  <si>
    <t>Rust Solutions Pvt Ltd</t>
  </si>
  <si>
    <t>rustsolutionspvtltd@domain.domain</t>
  </si>
  <si>
    <t>Ochre IT Pvt Ltd</t>
  </si>
  <si>
    <t>ochreitpvtltd@domain.domain</t>
  </si>
  <si>
    <t>Sepia Software Pvt Ltd</t>
  </si>
  <si>
    <t>sepiasoftwarepvtltd@domain.domain</t>
  </si>
  <si>
    <t>Umber IT Pvt Ltd</t>
  </si>
  <si>
    <t>umberitpvtltd@domain.domain</t>
  </si>
  <si>
    <t>Sienna Software Ltd</t>
  </si>
  <si>
    <t>siennasoftwareltd@domain.domain</t>
  </si>
  <si>
    <t>Chocolate Tech Solutions Pvt Ltd</t>
  </si>
  <si>
    <t>chocolatetechsolutionspvtltd@domain.domain</t>
  </si>
  <si>
    <t>Mocha Infocom Ltd</t>
  </si>
  <si>
    <t>mochainfocomltd@domain.domain</t>
  </si>
  <si>
    <t>ID</t>
  </si>
  <si>
    <t>Party Name</t>
  </si>
  <si>
    <t>Name of customer</t>
  </si>
  <si>
    <t>Related party?</t>
  </si>
  <si>
    <t>Value of transaction</t>
  </si>
  <si>
    <t>RP</t>
  </si>
  <si>
    <t>Non RP</t>
  </si>
  <si>
    <t>Value of Transaction</t>
  </si>
  <si>
    <t>As per company policies, rupees 50,00,000 is the limit to get Board approval</t>
  </si>
  <si>
    <t>Observation - Unusual clusters detected near to board approval limit and that is around within a year before IPO date</t>
  </si>
  <si>
    <t>System generated Unique Contract No.</t>
  </si>
  <si>
    <t>Requisite Party</t>
  </si>
  <si>
    <t>% Work Done</t>
  </si>
  <si>
    <t>Type of Work</t>
  </si>
  <si>
    <t>Completed/In-Progress</t>
  </si>
  <si>
    <t>Controller/Supervisor</t>
  </si>
  <si>
    <t>Consulting</t>
  </si>
  <si>
    <t>Service</t>
  </si>
  <si>
    <t>CC451949</t>
  </si>
  <si>
    <t>CC222</t>
  </si>
  <si>
    <t>CC568359</t>
  </si>
  <si>
    <t>CC224</t>
  </si>
  <si>
    <t>CC130397</t>
  </si>
  <si>
    <t>CC203</t>
  </si>
  <si>
    <t>CC982271</t>
  </si>
  <si>
    <t>CC216</t>
  </si>
  <si>
    <t>CC422170</t>
  </si>
  <si>
    <t>CC231</t>
  </si>
  <si>
    <t>CC267071</t>
  </si>
  <si>
    <t>CC205</t>
  </si>
  <si>
    <t>CC894336</t>
  </si>
  <si>
    <t>CC229</t>
  </si>
  <si>
    <t>CC780321</t>
  </si>
  <si>
    <t>CC242</t>
  </si>
  <si>
    <t>CC983090</t>
  </si>
  <si>
    <t>CC140857</t>
  </si>
  <si>
    <t>CC204</t>
  </si>
  <si>
    <t>CC469953</t>
  </si>
  <si>
    <t>CC865500</t>
  </si>
  <si>
    <t>CC999158</t>
  </si>
  <si>
    <t>CC230</t>
  </si>
  <si>
    <t>CC272066</t>
  </si>
  <si>
    <t>CC227</t>
  </si>
  <si>
    <t>CC139702</t>
  </si>
  <si>
    <t>CC210</t>
  </si>
  <si>
    <t>CC808798</t>
  </si>
  <si>
    <t>CC200</t>
  </si>
  <si>
    <t>CC432103</t>
  </si>
  <si>
    <t>CC773387</t>
  </si>
  <si>
    <t>CC237223</t>
  </si>
  <si>
    <t>CC218</t>
  </si>
  <si>
    <t>CC257697</t>
  </si>
  <si>
    <t>CC201</t>
  </si>
  <si>
    <t>CC556411</t>
  </si>
  <si>
    <t>CC225</t>
  </si>
  <si>
    <t>CC819029</t>
  </si>
  <si>
    <t>CC247</t>
  </si>
  <si>
    <t>CC487134</t>
  </si>
  <si>
    <t>CC233</t>
  </si>
  <si>
    <t>Invoice Date</t>
  </si>
  <si>
    <t>Date of receipt in bank</t>
  </si>
  <si>
    <t>Completed</t>
  </si>
  <si>
    <t>Pending</t>
  </si>
  <si>
    <t>In-Progress</t>
  </si>
  <si>
    <t>Work Pending</t>
  </si>
  <si>
    <t>Employee/Board</t>
  </si>
  <si>
    <t>Level</t>
  </si>
  <si>
    <t>Employee ID</t>
  </si>
  <si>
    <t>No of Shares</t>
  </si>
  <si>
    <t>Current Book value in Rupees</t>
  </si>
  <si>
    <t>Vested/Not-vested</t>
  </si>
  <si>
    <t>Board &amp; Shareholder Approval</t>
  </si>
  <si>
    <t>Employee</t>
  </si>
  <si>
    <t>Vested</t>
  </si>
  <si>
    <t>Duly Received</t>
  </si>
  <si>
    <t>Board</t>
  </si>
  <si>
    <t>Director 4</t>
  </si>
  <si>
    <t>NA</t>
  </si>
  <si>
    <t>Director 5</t>
  </si>
  <si>
    <t>MD</t>
  </si>
  <si>
    <t>Chairman</t>
  </si>
  <si>
    <t>Completed month - Revenue sheet</t>
  </si>
  <si>
    <t>Match testing</t>
  </si>
  <si>
    <t>No of days outstanding</t>
  </si>
  <si>
    <t>Current Date</t>
  </si>
  <si>
    <t>Customer ID</t>
  </si>
  <si>
    <t>Whether related party?</t>
  </si>
  <si>
    <t>Pass</t>
  </si>
  <si>
    <t>NOT RP</t>
  </si>
  <si>
    <t>Sum of Value of transaction</t>
  </si>
  <si>
    <t>Test 2</t>
  </si>
  <si>
    <t>Test 3</t>
  </si>
  <si>
    <t>Test 1 - Conditional (duplication) formatting done - no significant observations</t>
  </si>
  <si>
    <t>Category outstanding</t>
  </si>
  <si>
    <t>Contract Tracker Analysis</t>
  </si>
  <si>
    <t>Pending receivables Analysis</t>
  </si>
  <si>
    <t>Creator</t>
  </si>
  <si>
    <t>Approver</t>
  </si>
  <si>
    <t>Whether RP?</t>
  </si>
  <si>
    <t>NON-RP</t>
  </si>
  <si>
    <t>Total Revenue (Two years)</t>
  </si>
  <si>
    <t>Summary of receivable analysis - RP &amp; Non-RP (Test 8)</t>
  </si>
  <si>
    <t>Concerns in Month wise trend analysis (Test 4)</t>
  </si>
  <si>
    <t>Customer Spread analysis (Test 6)</t>
  </si>
  <si>
    <t>Avg revenue per party (in Lakhs)</t>
  </si>
  <si>
    <t>No. of parties</t>
  </si>
  <si>
    <t>Chart for outstanding reveivables - Customer wise + Value of revenue + Days outanding</t>
  </si>
  <si>
    <t>ESOP Shares</t>
  </si>
  <si>
    <t>Board Approval</t>
  </si>
  <si>
    <t>Board Approval No</t>
  </si>
  <si>
    <t>Approved</t>
  </si>
  <si>
    <t>BM/CC631050C216</t>
  </si>
  <si>
    <t>BM/CC349571C246</t>
  </si>
  <si>
    <t>BM/CC346925C223</t>
  </si>
  <si>
    <t>BM/CC757686C216</t>
  </si>
  <si>
    <t>BM/CC494319C241</t>
  </si>
  <si>
    <t>BM/CC939783C218</t>
  </si>
  <si>
    <t>BM/CC531621C231</t>
  </si>
  <si>
    <t>BM/CC244019C235</t>
  </si>
  <si>
    <t>BM/CC694544C216</t>
  </si>
  <si>
    <t>BM/CC406497C232</t>
  </si>
  <si>
    <t>BM/CC840595C231</t>
  </si>
  <si>
    <t>BM/CC578320C202</t>
  </si>
  <si>
    <t>BM/CC962087C213</t>
  </si>
  <si>
    <t>Board approval test</t>
  </si>
  <si>
    <t>Posting cum auto-invoice Generation Date</t>
  </si>
  <si>
    <t>Year-wise trend Analysis (Test 4)</t>
  </si>
  <si>
    <t>Revenue Summary - Trend (Test 4)</t>
  </si>
  <si>
    <t>Test 3 - Rule-based temporal analysis</t>
  </si>
  <si>
    <t>Red Flag entries in transaction time-screeing (Test 3)</t>
  </si>
  <si>
    <t>Whether Flagged in transaction time-screening?</t>
  </si>
  <si>
    <t>Involved in transaction time-screening flag?</t>
  </si>
  <si>
    <t>Transaction time-screeing results</t>
  </si>
  <si>
    <t>Mapping Employee codes from Red Flag entries from Transaction time-screening (Test 9)</t>
  </si>
  <si>
    <t>40L to 50L</t>
  </si>
  <si>
    <t>50L and above</t>
  </si>
  <si>
    <t>Below 30L</t>
  </si>
  <si>
    <t>Count of  Recorded Revenue2</t>
  </si>
  <si>
    <t>Revenue Data - Categorized</t>
  </si>
  <si>
    <t>Summary of transactions in 40L to 50L range(Test 5)</t>
  </si>
  <si>
    <t>Value Category</t>
  </si>
  <si>
    <t>Date Category</t>
  </si>
  <si>
    <t>FY 20-21</t>
  </si>
  <si>
    <t>FY 21-22</t>
  </si>
  <si>
    <t>Summary of transactions value spread (Test 5)</t>
  </si>
  <si>
    <t>FY wise breakup</t>
  </si>
  <si>
    <t>% of Total (from above)</t>
  </si>
  <si>
    <t>FY</t>
  </si>
  <si>
    <t>Completed/Contract-In-Progress</t>
  </si>
  <si>
    <t>100 days and above</t>
  </si>
  <si>
    <t>Below 100 days</t>
  </si>
  <si>
    <t>Below 50 days</t>
  </si>
  <si>
    <t>Time-Screen test</t>
  </si>
  <si>
    <t>Count of Time-Screen test</t>
  </si>
  <si>
    <t>Revenue Spread - Pre-IPO Revenue-Window and Near-Threshold Analysis (Test 5)</t>
  </si>
  <si>
    <t>No of times change is approx. 40%</t>
  </si>
  <si>
    <t>% Change in recorded revenue</t>
  </si>
  <si>
    <t>% Change in no of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</si>
</sst>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[$-F400]h:mm:ss\ AM/PM"/>
    <numFmt numFmtId="165" formatCode="_ * #,##0_ ;_ * \-#,##0_ ;_ * &quot;-&quot;??_ ;_ @_ "/>
    <numFmt numFmtId="166" formatCode="_ * #,##0.0_ ;_ * \-#,##0.0_ ;_ * &quot;-&quot;??_ ;_ @_ "/>
    <numFmt numFmtId="167" formatCode="_ * #,##0.0_ ;_ * \-#,##0.0_ ;_ * &quot;-&quot;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theme="1"/>
      <name val="Malgun Gothic"/>
      <family val="2"/>
    </font>
    <font>
      <b/>
      <sz val="10.5"/>
      <color theme="1"/>
      <name val="Malgun Gothic"/>
      <family val="2"/>
    </font>
    <font>
      <b/>
      <u/>
      <sz val="10.5"/>
      <color theme="1"/>
      <name val="Malgun Gothic"/>
      <family val="2"/>
    </font>
    <font>
      <sz val="10.5"/>
      <name val="Malgun Gothic"/>
      <family val="2"/>
    </font>
    <font>
      <sz val="10.5"/>
      <color rgb="FFFF0000"/>
      <name val="Malgun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2" fillId="0" borderId="0" xfId="0" applyFont="1" applyFill="1"/>
    <xf numFmtId="14" fontId="2" fillId="0" borderId="0" xfId="0" applyNumberFormat="1" applyFont="1" applyFill="1"/>
    <xf numFmtId="0" fontId="3" fillId="0" borderId="0" xfId="0" applyFont="1" applyFill="1"/>
    <xf numFmtId="0" fontId="3" fillId="0" borderId="0" xfId="0" applyFont="1"/>
    <xf numFmtId="167" fontId="2" fillId="0" borderId="0" xfId="0" applyNumberFormat="1" applyFont="1" applyFill="1"/>
    <xf numFmtId="10" fontId="2" fillId="0" borderId="0" xfId="0" applyNumberFormat="1" applyFont="1" applyFill="1"/>
    <xf numFmtId="0" fontId="4" fillId="0" borderId="0" xfId="0" applyFont="1" applyFill="1"/>
    <xf numFmtId="17" fontId="2" fillId="0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14" fontId="2" fillId="0" borderId="0" xfId="0" applyNumberFormat="1" applyFont="1" applyAlignment="1">
      <alignment horizontal="left" indent="1"/>
    </xf>
    <xf numFmtId="165" fontId="2" fillId="0" borderId="0" xfId="0" applyNumberFormat="1" applyFont="1"/>
    <xf numFmtId="0" fontId="0" fillId="0" borderId="0" xfId="0" applyAlignment="1">
      <alignment horizontal="left" indent="1"/>
    </xf>
    <xf numFmtId="0" fontId="4" fillId="0" borderId="0" xfId="0" applyFont="1"/>
    <xf numFmtId="0" fontId="2" fillId="0" borderId="0" xfId="0" applyFont="1" applyAlignment="1">
      <alignment horizontal="center"/>
    </xf>
    <xf numFmtId="43" fontId="2" fillId="0" borderId="0" xfId="1" applyFont="1"/>
    <xf numFmtId="43" fontId="2" fillId="0" borderId="0" xfId="0" applyNumberFormat="1" applyFont="1"/>
    <xf numFmtId="0" fontId="3" fillId="0" borderId="0" xfId="0" applyFont="1" applyAlignment="1">
      <alignment horizontal="center"/>
    </xf>
    <xf numFmtId="2" fontId="2" fillId="0" borderId="0" xfId="0" applyNumberFormat="1" applyFont="1"/>
    <xf numFmtId="14" fontId="2" fillId="0" borderId="0" xfId="0" applyNumberFormat="1" applyFont="1"/>
    <xf numFmtId="165" fontId="2" fillId="0" borderId="0" xfId="1" applyNumberFormat="1" applyFont="1"/>
    <xf numFmtId="165" fontId="3" fillId="0" borderId="0" xfId="0" applyNumberFormat="1" applyFont="1"/>
    <xf numFmtId="0" fontId="3" fillId="0" borderId="2" xfId="0" applyFont="1" applyFill="1" applyBorder="1" applyAlignment="1">
      <alignment horizontal="center"/>
    </xf>
    <xf numFmtId="0" fontId="2" fillId="0" borderId="2" xfId="0" applyFont="1" applyFill="1" applyBorder="1"/>
    <xf numFmtId="0" fontId="2" fillId="0" borderId="2" xfId="0" applyNumberFormat="1" applyFont="1" applyFill="1" applyBorder="1"/>
    <xf numFmtId="14" fontId="2" fillId="0" borderId="2" xfId="0" applyNumberFormat="1" applyFont="1" applyFill="1" applyBorder="1"/>
    <xf numFmtId="164" fontId="2" fillId="0" borderId="2" xfId="0" applyNumberFormat="1" applyFont="1" applyFill="1" applyBorder="1"/>
    <xf numFmtId="165" fontId="2" fillId="0" borderId="2" xfId="1" applyNumberFormat="1" applyFont="1" applyFill="1" applyBorder="1"/>
    <xf numFmtId="43" fontId="2" fillId="0" borderId="2" xfId="0" applyNumberFormat="1" applyFont="1" applyFill="1" applyBorder="1"/>
    <xf numFmtId="165" fontId="2" fillId="0" borderId="2" xfId="0" applyNumberFormat="1" applyFont="1" applyFill="1" applyBorder="1"/>
    <xf numFmtId="0" fontId="2" fillId="4" borderId="0" xfId="0" applyFont="1" applyFill="1"/>
    <xf numFmtId="0" fontId="3" fillId="4" borderId="0" xfId="0" applyFont="1" applyFill="1"/>
    <xf numFmtId="0" fontId="3" fillId="0" borderId="2" xfId="0" applyFont="1" applyFill="1" applyBorder="1"/>
    <xf numFmtId="0" fontId="3" fillId="4" borderId="2" xfId="0" applyFont="1" applyFill="1" applyBorder="1"/>
    <xf numFmtId="0" fontId="2" fillId="4" borderId="2" xfId="0" applyFont="1" applyFill="1" applyBorder="1"/>
    <xf numFmtId="2" fontId="2" fillId="0" borderId="2" xfId="0" applyNumberFormat="1" applyFont="1" applyFill="1" applyBorder="1"/>
    <xf numFmtId="0" fontId="3" fillId="0" borderId="0" xfId="0" applyFont="1" applyFill="1" applyAlignment="1"/>
    <xf numFmtId="0" fontId="3" fillId="4" borderId="0" xfId="0" applyFont="1" applyFill="1" applyAlignment="1"/>
    <xf numFmtId="0" fontId="3" fillId="0" borderId="2" xfId="0" applyFont="1" applyBorder="1"/>
    <xf numFmtId="0" fontId="2" fillId="0" borderId="2" xfId="0" applyFont="1" applyBorder="1"/>
    <xf numFmtId="9" fontId="2" fillId="0" borderId="2" xfId="0" applyNumberFormat="1" applyFont="1" applyBorder="1"/>
    <xf numFmtId="2" fontId="2" fillId="0" borderId="2" xfId="0" applyNumberFormat="1" applyFont="1" applyBorder="1"/>
    <xf numFmtId="10" fontId="2" fillId="0" borderId="2" xfId="0" applyNumberFormat="1" applyFont="1" applyFill="1" applyBorder="1"/>
    <xf numFmtId="14" fontId="2" fillId="0" borderId="2" xfId="0" applyNumberFormat="1" applyFont="1" applyBorder="1"/>
    <xf numFmtId="165" fontId="2" fillId="0" borderId="2" xfId="1" applyNumberFormat="1" applyFont="1" applyBorder="1"/>
    <xf numFmtId="166" fontId="0" fillId="0" borderId="0" xfId="1" applyNumberFormat="1" applyFont="1"/>
    <xf numFmtId="0" fontId="5" fillId="0" borderId="2" xfId="0" applyFont="1" applyFill="1" applyBorder="1"/>
    <xf numFmtId="14" fontId="2" fillId="2" borderId="2" xfId="0" applyNumberFormat="1" applyFont="1" applyFill="1" applyBorder="1"/>
    <xf numFmtId="165" fontId="2" fillId="3" borderId="2" xfId="1" applyNumberFormat="1" applyFont="1" applyFill="1" applyBorder="1"/>
    <xf numFmtId="165" fontId="3" fillId="0" borderId="0" xfId="0" applyNumberFormat="1" applyFont="1" applyFill="1"/>
    <xf numFmtId="0" fontId="3" fillId="0" borderId="2" xfId="0" applyFont="1" applyBorder="1" applyAlignment="1">
      <alignment horizontal="center"/>
    </xf>
    <xf numFmtId="0" fontId="5" fillId="0" borderId="0" xfId="0" applyFont="1"/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3" fillId="5" borderId="3" xfId="0" applyFont="1" applyFill="1" applyBorder="1"/>
    <xf numFmtId="0" fontId="3" fillId="5" borderId="4" xfId="0" applyFont="1" applyFill="1" applyBorder="1" applyAlignment="1">
      <alignment horizontal="left"/>
    </xf>
    <xf numFmtId="165" fontId="3" fillId="5" borderId="4" xfId="0" applyNumberFormat="1" applyFont="1" applyFill="1" applyBorder="1"/>
    <xf numFmtId="0" fontId="0" fillId="0" borderId="0" xfId="0" applyNumberFormat="1"/>
    <xf numFmtId="10" fontId="2" fillId="0" borderId="0" xfId="0" applyNumberFormat="1" applyFont="1"/>
    <xf numFmtId="0" fontId="3" fillId="5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65" fontId="3" fillId="0" borderId="0" xfId="0" applyNumberFormat="1" applyFont="1" applyFill="1" applyBorder="1"/>
    <xf numFmtId="0" fontId="6" fillId="0" borderId="0" xfId="0" applyFont="1" applyAlignment="1">
      <alignment horizontal="center"/>
    </xf>
    <xf numFmtId="165" fontId="6" fillId="0" borderId="0" xfId="0" applyNumberFormat="1" applyFont="1"/>
    <xf numFmtId="165" fontId="2" fillId="0" borderId="0" xfId="1" applyNumberFormat="1" applyFont="1" applyFill="1"/>
    <xf numFmtId="165" fontId="3" fillId="0" borderId="1" xfId="0" applyNumberFormat="1" applyFont="1" applyFill="1" applyBorder="1"/>
    <xf numFmtId="165" fontId="2" fillId="0" borderId="0" xfId="0" applyNumberFormat="1" applyFont="1" applyFill="1"/>
    <xf numFmtId="10" fontId="2" fillId="0" borderId="0" xfId="0" applyNumberFormat="1" applyFont="1" applyAlignment="1">
      <alignment horizontal="right"/>
    </xf>
    <xf numFmtId="165" fontId="5" fillId="0" borderId="0" xfId="0" applyNumberFormat="1" applyFont="1"/>
    <xf numFmtId="10" fontId="5" fillId="0" borderId="0" xfId="0" applyNumberFormat="1" applyFont="1"/>
    <xf numFmtId="10" fontId="6" fillId="0" borderId="0" xfId="0" applyNumberFormat="1" applyFont="1"/>
    <xf numFmtId="0" fontId="5" fillId="0" borderId="0" xfId="0" applyFont="1" applyFill="1"/>
    <xf numFmtId="1" fontId="2" fillId="0" borderId="0" xfId="0" applyNumberFormat="1" applyFont="1" applyFill="1"/>
  </cellXfs>
  <cellStyles count="2">
    <cellStyle name="Comma" xfId="1" builtinId="3"/>
    <cellStyle name="Normal" xfId="0" builtinId="0"/>
  </cellStyles>
  <dxfs count="2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6" formatCode="_ * #,##0.0_ ;_ * \-#,##0.0_ ;_ * &quot;-&quot;??_ ;_ @_ "/>
    </dxf>
    <dxf>
      <numFmt numFmtId="35" formatCode="_ * #,##0.00_ ;_ * \-#,##0.00_ ;_ * &quot;-&quot;??_ ;_ @_ "/>
    </dxf>
    <dxf>
      <numFmt numFmtId="168" formatCode="_ * #,##0.000_ ;_ * \-#,##0.000_ ;_ * &quot;-&quot;??_ ;_ @_ "/>
    </dxf>
    <dxf>
      <numFmt numFmtId="169" formatCode="_ * #,##0.0000_ ;_ * \-#,##0.0000_ ;_ * &quot;-&quot;??_ ;_ @_ "/>
    </dxf>
    <dxf>
      <numFmt numFmtId="168" formatCode="_ * #,##0.000_ ;_ * \-#,##0.000_ ;_ * &quot;-&quot;??_ ;_ @_ "/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5" formatCode="_ * #,##0_ ;_ * \-#,##0_ ;_ * &quot;-&quot;??_ ;_ @_ "/>
    </dxf>
    <dxf>
      <numFmt numFmtId="166" formatCode="_ * #,##0.0_ ;_ * \-#,##0.0_ ;_ * &quot;-&quot;??_ ;_ @_ "/>
    </dxf>
    <dxf>
      <numFmt numFmtId="35" formatCode="_ * #,##0.00_ ;_ * \-#,##0.00_ ;_ * &quot;-&quot;??_ ;_ @_ "/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numFmt numFmtId="165" formatCode="_ * #,##0_ ;_ * \-#,##0_ ;_ * &quot;-&quot;??_ ;_ @_ "/>
    </dxf>
    <dxf>
      <numFmt numFmtId="166" formatCode="_ * #,##0.0_ ;_ * \-#,##0.0_ ;_ * &quot;-&quot;??_ ;_ @_ "/>
    </dxf>
    <dxf>
      <numFmt numFmtId="35" formatCode="_ * #,##0.00_ ;_ * \-#,##0.00_ ;_ * &quot;-&quot;??_ ;_ @_ "/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numFmt numFmtId="165" formatCode="_ * #,##0_ ;_ * \-#,##0_ ;_ * &quot;-&quot;??_ ;_ @_ "/>
    </dxf>
    <dxf>
      <numFmt numFmtId="166" formatCode="_ * #,##0.0_ ;_ * \-#,##0.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6" formatCode="_ * #,##0.0_ ;_ * \-#,##0.0_ ;_ * &quot;-&quot;??_ ;_ @_ "/>
    </dxf>
    <dxf>
      <numFmt numFmtId="35" formatCode="_ * #,##0.00_ ;_ * \-#,##0.00_ ;_ * &quot;-&quot;??_ ;_ @_ "/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numFmt numFmtId="165" formatCode="_ * #,##0_ ;_ * \-#,##0_ ;_ * &quot;-&quot;??_ ;_ @_ "/>
    </dxf>
    <dxf>
      <numFmt numFmtId="166" formatCode="_ * #,##0.0_ ;_ * \-#,##0.0_ ;_ * &quot;-&quot;??_ ;_ @_ "/>
    </dxf>
    <dxf>
      <numFmt numFmtId="35" formatCode="_ * #,##0.00_ ;_ * \-#,##0.00_ ;_ * &quot;-&quot;??_ ;_ @_ "/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Transactions by Posting Date — Approval-Threshold Screening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'Test 5'!$E$91</c:f>
              <c:strCache>
                <c:ptCount val="1"/>
                <c:pt idx="0">
                  <c:v> Recorded 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5'!$D$92:$D$691</c:f>
              <c:numCache>
                <c:formatCode>m/d/yyyy</c:formatCode>
                <c:ptCount val="600"/>
                <c:pt idx="0">
                  <c:v>43922</c:v>
                </c:pt>
                <c:pt idx="1">
                  <c:v>43924</c:v>
                </c:pt>
                <c:pt idx="2">
                  <c:v>43924</c:v>
                </c:pt>
                <c:pt idx="3">
                  <c:v>43925</c:v>
                </c:pt>
                <c:pt idx="4">
                  <c:v>43925</c:v>
                </c:pt>
                <c:pt idx="5">
                  <c:v>43925</c:v>
                </c:pt>
                <c:pt idx="6">
                  <c:v>43925</c:v>
                </c:pt>
                <c:pt idx="7">
                  <c:v>43928</c:v>
                </c:pt>
                <c:pt idx="8">
                  <c:v>43929</c:v>
                </c:pt>
                <c:pt idx="9">
                  <c:v>43930</c:v>
                </c:pt>
                <c:pt idx="10">
                  <c:v>43932</c:v>
                </c:pt>
                <c:pt idx="11">
                  <c:v>43937</c:v>
                </c:pt>
                <c:pt idx="12">
                  <c:v>43939</c:v>
                </c:pt>
                <c:pt idx="13">
                  <c:v>43942</c:v>
                </c:pt>
                <c:pt idx="14">
                  <c:v>43942</c:v>
                </c:pt>
                <c:pt idx="15">
                  <c:v>43943</c:v>
                </c:pt>
                <c:pt idx="16">
                  <c:v>43945</c:v>
                </c:pt>
                <c:pt idx="17">
                  <c:v>43946</c:v>
                </c:pt>
                <c:pt idx="18">
                  <c:v>43948</c:v>
                </c:pt>
                <c:pt idx="19">
                  <c:v>43949</c:v>
                </c:pt>
                <c:pt idx="20">
                  <c:v>43952</c:v>
                </c:pt>
                <c:pt idx="21">
                  <c:v>43955</c:v>
                </c:pt>
                <c:pt idx="22">
                  <c:v>43955</c:v>
                </c:pt>
                <c:pt idx="23">
                  <c:v>43955</c:v>
                </c:pt>
                <c:pt idx="24">
                  <c:v>43956</c:v>
                </c:pt>
                <c:pt idx="25">
                  <c:v>43957</c:v>
                </c:pt>
                <c:pt idx="26">
                  <c:v>43958</c:v>
                </c:pt>
                <c:pt idx="27">
                  <c:v>43958</c:v>
                </c:pt>
                <c:pt idx="28">
                  <c:v>43960</c:v>
                </c:pt>
                <c:pt idx="29">
                  <c:v>43962</c:v>
                </c:pt>
                <c:pt idx="30">
                  <c:v>43962</c:v>
                </c:pt>
                <c:pt idx="31">
                  <c:v>43962</c:v>
                </c:pt>
                <c:pt idx="32">
                  <c:v>43965</c:v>
                </c:pt>
                <c:pt idx="33">
                  <c:v>43966</c:v>
                </c:pt>
                <c:pt idx="34">
                  <c:v>43969</c:v>
                </c:pt>
                <c:pt idx="35">
                  <c:v>43970</c:v>
                </c:pt>
                <c:pt idx="36">
                  <c:v>43970</c:v>
                </c:pt>
                <c:pt idx="37">
                  <c:v>43973</c:v>
                </c:pt>
                <c:pt idx="38">
                  <c:v>43973</c:v>
                </c:pt>
                <c:pt idx="39">
                  <c:v>43974</c:v>
                </c:pt>
                <c:pt idx="40">
                  <c:v>43976</c:v>
                </c:pt>
                <c:pt idx="41">
                  <c:v>43979</c:v>
                </c:pt>
                <c:pt idx="42">
                  <c:v>43979</c:v>
                </c:pt>
                <c:pt idx="43">
                  <c:v>43979</c:v>
                </c:pt>
                <c:pt idx="44">
                  <c:v>43980</c:v>
                </c:pt>
                <c:pt idx="45">
                  <c:v>43981</c:v>
                </c:pt>
                <c:pt idx="46">
                  <c:v>43981</c:v>
                </c:pt>
                <c:pt idx="47">
                  <c:v>43983</c:v>
                </c:pt>
                <c:pt idx="48">
                  <c:v>43984</c:v>
                </c:pt>
                <c:pt idx="49">
                  <c:v>43984</c:v>
                </c:pt>
                <c:pt idx="50">
                  <c:v>43987</c:v>
                </c:pt>
                <c:pt idx="51">
                  <c:v>43987</c:v>
                </c:pt>
                <c:pt idx="52">
                  <c:v>43988</c:v>
                </c:pt>
                <c:pt idx="53">
                  <c:v>43988</c:v>
                </c:pt>
                <c:pt idx="54">
                  <c:v>43990</c:v>
                </c:pt>
                <c:pt idx="55">
                  <c:v>43991</c:v>
                </c:pt>
                <c:pt idx="56">
                  <c:v>43993</c:v>
                </c:pt>
                <c:pt idx="57">
                  <c:v>43994</c:v>
                </c:pt>
                <c:pt idx="58">
                  <c:v>43997</c:v>
                </c:pt>
                <c:pt idx="59">
                  <c:v>44000</c:v>
                </c:pt>
                <c:pt idx="60">
                  <c:v>44001</c:v>
                </c:pt>
                <c:pt idx="61">
                  <c:v>44001</c:v>
                </c:pt>
                <c:pt idx="62">
                  <c:v>44005</c:v>
                </c:pt>
                <c:pt idx="63">
                  <c:v>44005</c:v>
                </c:pt>
                <c:pt idx="64">
                  <c:v>44006</c:v>
                </c:pt>
                <c:pt idx="65">
                  <c:v>44009</c:v>
                </c:pt>
                <c:pt idx="66">
                  <c:v>44011</c:v>
                </c:pt>
                <c:pt idx="67">
                  <c:v>44012</c:v>
                </c:pt>
                <c:pt idx="68">
                  <c:v>44012</c:v>
                </c:pt>
                <c:pt idx="69">
                  <c:v>44015</c:v>
                </c:pt>
                <c:pt idx="70">
                  <c:v>44018</c:v>
                </c:pt>
                <c:pt idx="71">
                  <c:v>44019</c:v>
                </c:pt>
                <c:pt idx="72">
                  <c:v>44020</c:v>
                </c:pt>
                <c:pt idx="73">
                  <c:v>44020</c:v>
                </c:pt>
                <c:pt idx="74">
                  <c:v>44020</c:v>
                </c:pt>
                <c:pt idx="75">
                  <c:v>44021</c:v>
                </c:pt>
                <c:pt idx="76">
                  <c:v>44023</c:v>
                </c:pt>
                <c:pt idx="77">
                  <c:v>44023</c:v>
                </c:pt>
                <c:pt idx="78">
                  <c:v>44025</c:v>
                </c:pt>
                <c:pt idx="79">
                  <c:v>44025</c:v>
                </c:pt>
                <c:pt idx="80">
                  <c:v>44027</c:v>
                </c:pt>
                <c:pt idx="81">
                  <c:v>44027</c:v>
                </c:pt>
                <c:pt idx="82">
                  <c:v>44027</c:v>
                </c:pt>
                <c:pt idx="83">
                  <c:v>44028</c:v>
                </c:pt>
                <c:pt idx="84">
                  <c:v>44028</c:v>
                </c:pt>
                <c:pt idx="85">
                  <c:v>44029</c:v>
                </c:pt>
                <c:pt idx="86">
                  <c:v>44030</c:v>
                </c:pt>
                <c:pt idx="87">
                  <c:v>44030</c:v>
                </c:pt>
                <c:pt idx="88">
                  <c:v>44032</c:v>
                </c:pt>
                <c:pt idx="89">
                  <c:v>44032</c:v>
                </c:pt>
                <c:pt idx="90">
                  <c:v>44032</c:v>
                </c:pt>
                <c:pt idx="91">
                  <c:v>44034</c:v>
                </c:pt>
                <c:pt idx="92">
                  <c:v>44035</c:v>
                </c:pt>
                <c:pt idx="93">
                  <c:v>44039</c:v>
                </c:pt>
                <c:pt idx="94">
                  <c:v>44040</c:v>
                </c:pt>
                <c:pt idx="95">
                  <c:v>44041</c:v>
                </c:pt>
                <c:pt idx="96">
                  <c:v>44044</c:v>
                </c:pt>
                <c:pt idx="97">
                  <c:v>44046</c:v>
                </c:pt>
                <c:pt idx="98">
                  <c:v>44046</c:v>
                </c:pt>
                <c:pt idx="99">
                  <c:v>44048</c:v>
                </c:pt>
                <c:pt idx="100">
                  <c:v>44050</c:v>
                </c:pt>
                <c:pt idx="101">
                  <c:v>44055</c:v>
                </c:pt>
                <c:pt idx="102">
                  <c:v>44057</c:v>
                </c:pt>
                <c:pt idx="103">
                  <c:v>44060</c:v>
                </c:pt>
                <c:pt idx="104">
                  <c:v>44061</c:v>
                </c:pt>
                <c:pt idx="105">
                  <c:v>44061</c:v>
                </c:pt>
                <c:pt idx="106">
                  <c:v>44061</c:v>
                </c:pt>
                <c:pt idx="107">
                  <c:v>44062</c:v>
                </c:pt>
                <c:pt idx="108">
                  <c:v>44063</c:v>
                </c:pt>
                <c:pt idx="109">
                  <c:v>44063</c:v>
                </c:pt>
                <c:pt idx="110">
                  <c:v>44063</c:v>
                </c:pt>
                <c:pt idx="111">
                  <c:v>44069</c:v>
                </c:pt>
                <c:pt idx="112">
                  <c:v>44069</c:v>
                </c:pt>
                <c:pt idx="113">
                  <c:v>44070</c:v>
                </c:pt>
                <c:pt idx="114">
                  <c:v>44074</c:v>
                </c:pt>
                <c:pt idx="115">
                  <c:v>44074</c:v>
                </c:pt>
                <c:pt idx="116">
                  <c:v>44075</c:v>
                </c:pt>
                <c:pt idx="117">
                  <c:v>44075</c:v>
                </c:pt>
                <c:pt idx="118">
                  <c:v>44075</c:v>
                </c:pt>
                <c:pt idx="119">
                  <c:v>44078</c:v>
                </c:pt>
                <c:pt idx="120">
                  <c:v>44081</c:v>
                </c:pt>
                <c:pt idx="121">
                  <c:v>44081</c:v>
                </c:pt>
                <c:pt idx="122">
                  <c:v>44082</c:v>
                </c:pt>
                <c:pt idx="123">
                  <c:v>44083</c:v>
                </c:pt>
                <c:pt idx="124">
                  <c:v>44085</c:v>
                </c:pt>
                <c:pt idx="125">
                  <c:v>44085</c:v>
                </c:pt>
                <c:pt idx="126">
                  <c:v>44090</c:v>
                </c:pt>
                <c:pt idx="127">
                  <c:v>44090</c:v>
                </c:pt>
                <c:pt idx="128">
                  <c:v>44092</c:v>
                </c:pt>
                <c:pt idx="129">
                  <c:v>44093</c:v>
                </c:pt>
                <c:pt idx="130">
                  <c:v>44095</c:v>
                </c:pt>
                <c:pt idx="131">
                  <c:v>44095</c:v>
                </c:pt>
                <c:pt idx="132">
                  <c:v>44096</c:v>
                </c:pt>
                <c:pt idx="133">
                  <c:v>44097</c:v>
                </c:pt>
                <c:pt idx="134">
                  <c:v>44098</c:v>
                </c:pt>
                <c:pt idx="135">
                  <c:v>44098</c:v>
                </c:pt>
                <c:pt idx="136">
                  <c:v>44099</c:v>
                </c:pt>
                <c:pt idx="137">
                  <c:v>44100</c:v>
                </c:pt>
                <c:pt idx="138">
                  <c:v>44102</c:v>
                </c:pt>
                <c:pt idx="139">
                  <c:v>44103</c:v>
                </c:pt>
                <c:pt idx="140">
                  <c:v>44103</c:v>
                </c:pt>
                <c:pt idx="141">
                  <c:v>44104</c:v>
                </c:pt>
                <c:pt idx="142">
                  <c:v>44104</c:v>
                </c:pt>
                <c:pt idx="143">
                  <c:v>44104</c:v>
                </c:pt>
                <c:pt idx="144">
                  <c:v>44104</c:v>
                </c:pt>
                <c:pt idx="145">
                  <c:v>44104</c:v>
                </c:pt>
                <c:pt idx="146">
                  <c:v>44105</c:v>
                </c:pt>
                <c:pt idx="147">
                  <c:v>44106</c:v>
                </c:pt>
                <c:pt idx="148">
                  <c:v>44106</c:v>
                </c:pt>
                <c:pt idx="149">
                  <c:v>44113</c:v>
                </c:pt>
                <c:pt idx="150">
                  <c:v>44114</c:v>
                </c:pt>
                <c:pt idx="151">
                  <c:v>44114</c:v>
                </c:pt>
                <c:pt idx="152">
                  <c:v>44114</c:v>
                </c:pt>
                <c:pt idx="153">
                  <c:v>44116</c:v>
                </c:pt>
                <c:pt idx="154">
                  <c:v>44116</c:v>
                </c:pt>
                <c:pt idx="155">
                  <c:v>44120</c:v>
                </c:pt>
                <c:pt idx="156">
                  <c:v>44121</c:v>
                </c:pt>
                <c:pt idx="157">
                  <c:v>44125</c:v>
                </c:pt>
                <c:pt idx="158">
                  <c:v>44125</c:v>
                </c:pt>
                <c:pt idx="159">
                  <c:v>44126</c:v>
                </c:pt>
                <c:pt idx="160">
                  <c:v>44127</c:v>
                </c:pt>
                <c:pt idx="161">
                  <c:v>44127</c:v>
                </c:pt>
                <c:pt idx="162">
                  <c:v>44130</c:v>
                </c:pt>
                <c:pt idx="163">
                  <c:v>44131</c:v>
                </c:pt>
                <c:pt idx="164">
                  <c:v>44132</c:v>
                </c:pt>
                <c:pt idx="165">
                  <c:v>44133</c:v>
                </c:pt>
                <c:pt idx="166">
                  <c:v>44135</c:v>
                </c:pt>
                <c:pt idx="167">
                  <c:v>44135</c:v>
                </c:pt>
                <c:pt idx="168">
                  <c:v>44140</c:v>
                </c:pt>
                <c:pt idx="169">
                  <c:v>44140</c:v>
                </c:pt>
                <c:pt idx="170">
                  <c:v>44140</c:v>
                </c:pt>
                <c:pt idx="171">
                  <c:v>44141</c:v>
                </c:pt>
                <c:pt idx="172">
                  <c:v>44142</c:v>
                </c:pt>
                <c:pt idx="173">
                  <c:v>44142</c:v>
                </c:pt>
                <c:pt idx="174">
                  <c:v>44148</c:v>
                </c:pt>
                <c:pt idx="175">
                  <c:v>44148</c:v>
                </c:pt>
                <c:pt idx="176">
                  <c:v>44148</c:v>
                </c:pt>
                <c:pt idx="177">
                  <c:v>44153</c:v>
                </c:pt>
                <c:pt idx="178">
                  <c:v>44154</c:v>
                </c:pt>
                <c:pt idx="179">
                  <c:v>44155</c:v>
                </c:pt>
                <c:pt idx="180">
                  <c:v>44160</c:v>
                </c:pt>
                <c:pt idx="181">
                  <c:v>44161</c:v>
                </c:pt>
                <c:pt idx="182">
                  <c:v>44162</c:v>
                </c:pt>
                <c:pt idx="183">
                  <c:v>44162</c:v>
                </c:pt>
                <c:pt idx="184">
                  <c:v>44162</c:v>
                </c:pt>
                <c:pt idx="185">
                  <c:v>44163</c:v>
                </c:pt>
                <c:pt idx="186">
                  <c:v>44165</c:v>
                </c:pt>
                <c:pt idx="187">
                  <c:v>44165</c:v>
                </c:pt>
                <c:pt idx="188">
                  <c:v>44170</c:v>
                </c:pt>
                <c:pt idx="189">
                  <c:v>44170</c:v>
                </c:pt>
                <c:pt idx="190">
                  <c:v>44170</c:v>
                </c:pt>
                <c:pt idx="191">
                  <c:v>44172</c:v>
                </c:pt>
                <c:pt idx="192">
                  <c:v>44172</c:v>
                </c:pt>
                <c:pt idx="193">
                  <c:v>44173</c:v>
                </c:pt>
                <c:pt idx="194">
                  <c:v>44182</c:v>
                </c:pt>
                <c:pt idx="195">
                  <c:v>44183</c:v>
                </c:pt>
                <c:pt idx="196">
                  <c:v>44186</c:v>
                </c:pt>
                <c:pt idx="197">
                  <c:v>44186</c:v>
                </c:pt>
                <c:pt idx="198">
                  <c:v>44186</c:v>
                </c:pt>
                <c:pt idx="199">
                  <c:v>44186</c:v>
                </c:pt>
                <c:pt idx="200">
                  <c:v>44187</c:v>
                </c:pt>
                <c:pt idx="201">
                  <c:v>44187</c:v>
                </c:pt>
                <c:pt idx="202">
                  <c:v>44193</c:v>
                </c:pt>
                <c:pt idx="203">
                  <c:v>44196</c:v>
                </c:pt>
                <c:pt idx="204">
                  <c:v>44197</c:v>
                </c:pt>
                <c:pt idx="205">
                  <c:v>44203</c:v>
                </c:pt>
                <c:pt idx="206">
                  <c:v>44203</c:v>
                </c:pt>
                <c:pt idx="207">
                  <c:v>44203</c:v>
                </c:pt>
                <c:pt idx="208">
                  <c:v>44205</c:v>
                </c:pt>
                <c:pt idx="209">
                  <c:v>44211</c:v>
                </c:pt>
                <c:pt idx="210">
                  <c:v>44212</c:v>
                </c:pt>
                <c:pt idx="211">
                  <c:v>44214</c:v>
                </c:pt>
                <c:pt idx="212">
                  <c:v>44214</c:v>
                </c:pt>
                <c:pt idx="213">
                  <c:v>44218</c:v>
                </c:pt>
                <c:pt idx="214">
                  <c:v>44219</c:v>
                </c:pt>
                <c:pt idx="215">
                  <c:v>44221</c:v>
                </c:pt>
                <c:pt idx="216">
                  <c:v>44221</c:v>
                </c:pt>
                <c:pt idx="217">
                  <c:v>44221</c:v>
                </c:pt>
                <c:pt idx="218">
                  <c:v>44223</c:v>
                </c:pt>
                <c:pt idx="219">
                  <c:v>44225</c:v>
                </c:pt>
                <c:pt idx="220">
                  <c:v>44229</c:v>
                </c:pt>
                <c:pt idx="221">
                  <c:v>44230</c:v>
                </c:pt>
                <c:pt idx="222">
                  <c:v>44231</c:v>
                </c:pt>
                <c:pt idx="223">
                  <c:v>44231</c:v>
                </c:pt>
                <c:pt idx="224">
                  <c:v>44231</c:v>
                </c:pt>
                <c:pt idx="225">
                  <c:v>44231</c:v>
                </c:pt>
                <c:pt idx="226">
                  <c:v>44232</c:v>
                </c:pt>
                <c:pt idx="227">
                  <c:v>44235</c:v>
                </c:pt>
                <c:pt idx="228">
                  <c:v>44239</c:v>
                </c:pt>
                <c:pt idx="229">
                  <c:v>44239</c:v>
                </c:pt>
                <c:pt idx="230">
                  <c:v>44240</c:v>
                </c:pt>
                <c:pt idx="231">
                  <c:v>44242</c:v>
                </c:pt>
                <c:pt idx="232">
                  <c:v>44242</c:v>
                </c:pt>
                <c:pt idx="233">
                  <c:v>44245</c:v>
                </c:pt>
                <c:pt idx="234">
                  <c:v>44247</c:v>
                </c:pt>
                <c:pt idx="235">
                  <c:v>44250</c:v>
                </c:pt>
                <c:pt idx="236">
                  <c:v>44251</c:v>
                </c:pt>
                <c:pt idx="237">
                  <c:v>44251</c:v>
                </c:pt>
                <c:pt idx="238">
                  <c:v>44254</c:v>
                </c:pt>
                <c:pt idx="239">
                  <c:v>44256</c:v>
                </c:pt>
                <c:pt idx="240">
                  <c:v>44256</c:v>
                </c:pt>
                <c:pt idx="241">
                  <c:v>44257</c:v>
                </c:pt>
                <c:pt idx="242">
                  <c:v>44264</c:v>
                </c:pt>
                <c:pt idx="243">
                  <c:v>44264</c:v>
                </c:pt>
                <c:pt idx="244">
                  <c:v>44265</c:v>
                </c:pt>
                <c:pt idx="245">
                  <c:v>44266</c:v>
                </c:pt>
                <c:pt idx="246">
                  <c:v>44267</c:v>
                </c:pt>
                <c:pt idx="247">
                  <c:v>44268</c:v>
                </c:pt>
                <c:pt idx="248">
                  <c:v>44270</c:v>
                </c:pt>
                <c:pt idx="249">
                  <c:v>44270</c:v>
                </c:pt>
                <c:pt idx="250">
                  <c:v>44270</c:v>
                </c:pt>
                <c:pt idx="251">
                  <c:v>44272</c:v>
                </c:pt>
                <c:pt idx="252">
                  <c:v>44272</c:v>
                </c:pt>
                <c:pt idx="253">
                  <c:v>44273</c:v>
                </c:pt>
                <c:pt idx="254">
                  <c:v>44278</c:v>
                </c:pt>
                <c:pt idx="255">
                  <c:v>44279</c:v>
                </c:pt>
                <c:pt idx="256">
                  <c:v>44280</c:v>
                </c:pt>
                <c:pt idx="257">
                  <c:v>44286</c:v>
                </c:pt>
                <c:pt idx="258">
                  <c:v>44286</c:v>
                </c:pt>
                <c:pt idx="259">
                  <c:v>44287</c:v>
                </c:pt>
                <c:pt idx="260">
                  <c:v>44289</c:v>
                </c:pt>
                <c:pt idx="261">
                  <c:v>44289</c:v>
                </c:pt>
                <c:pt idx="262">
                  <c:v>44291</c:v>
                </c:pt>
                <c:pt idx="263">
                  <c:v>44292</c:v>
                </c:pt>
                <c:pt idx="264">
                  <c:v>44293</c:v>
                </c:pt>
                <c:pt idx="265">
                  <c:v>44294</c:v>
                </c:pt>
                <c:pt idx="266">
                  <c:v>44294</c:v>
                </c:pt>
                <c:pt idx="267">
                  <c:v>44295</c:v>
                </c:pt>
                <c:pt idx="268">
                  <c:v>44295</c:v>
                </c:pt>
                <c:pt idx="269">
                  <c:v>44298</c:v>
                </c:pt>
                <c:pt idx="270">
                  <c:v>44298</c:v>
                </c:pt>
                <c:pt idx="271">
                  <c:v>44298</c:v>
                </c:pt>
                <c:pt idx="272">
                  <c:v>44298</c:v>
                </c:pt>
                <c:pt idx="273">
                  <c:v>44300</c:v>
                </c:pt>
                <c:pt idx="274">
                  <c:v>44302</c:v>
                </c:pt>
                <c:pt idx="275">
                  <c:v>44302</c:v>
                </c:pt>
                <c:pt idx="276">
                  <c:v>44303</c:v>
                </c:pt>
                <c:pt idx="277">
                  <c:v>44303</c:v>
                </c:pt>
                <c:pt idx="278">
                  <c:v>44305</c:v>
                </c:pt>
                <c:pt idx="279">
                  <c:v>44305</c:v>
                </c:pt>
                <c:pt idx="280">
                  <c:v>44305</c:v>
                </c:pt>
                <c:pt idx="281">
                  <c:v>44305</c:v>
                </c:pt>
                <c:pt idx="282">
                  <c:v>44306</c:v>
                </c:pt>
                <c:pt idx="283">
                  <c:v>44308</c:v>
                </c:pt>
                <c:pt idx="284">
                  <c:v>44308</c:v>
                </c:pt>
                <c:pt idx="285">
                  <c:v>44309</c:v>
                </c:pt>
                <c:pt idx="286">
                  <c:v>44312</c:v>
                </c:pt>
                <c:pt idx="287">
                  <c:v>44312</c:v>
                </c:pt>
                <c:pt idx="288">
                  <c:v>44312</c:v>
                </c:pt>
                <c:pt idx="289">
                  <c:v>44313</c:v>
                </c:pt>
                <c:pt idx="290">
                  <c:v>44315</c:v>
                </c:pt>
                <c:pt idx="291">
                  <c:v>44316</c:v>
                </c:pt>
                <c:pt idx="292">
                  <c:v>44316</c:v>
                </c:pt>
                <c:pt idx="293">
                  <c:v>44317</c:v>
                </c:pt>
                <c:pt idx="294">
                  <c:v>44319</c:v>
                </c:pt>
                <c:pt idx="295">
                  <c:v>44319</c:v>
                </c:pt>
                <c:pt idx="296">
                  <c:v>44321</c:v>
                </c:pt>
                <c:pt idx="297">
                  <c:v>44321</c:v>
                </c:pt>
                <c:pt idx="298">
                  <c:v>44322</c:v>
                </c:pt>
                <c:pt idx="299">
                  <c:v>44322</c:v>
                </c:pt>
                <c:pt idx="300">
                  <c:v>44323</c:v>
                </c:pt>
                <c:pt idx="301">
                  <c:v>44325</c:v>
                </c:pt>
                <c:pt idx="302">
                  <c:v>44326</c:v>
                </c:pt>
                <c:pt idx="303">
                  <c:v>44326</c:v>
                </c:pt>
                <c:pt idx="304">
                  <c:v>44327</c:v>
                </c:pt>
                <c:pt idx="305">
                  <c:v>44328</c:v>
                </c:pt>
                <c:pt idx="306">
                  <c:v>44329</c:v>
                </c:pt>
                <c:pt idx="307">
                  <c:v>44329</c:v>
                </c:pt>
                <c:pt idx="308">
                  <c:v>44331</c:v>
                </c:pt>
                <c:pt idx="309">
                  <c:v>44333</c:v>
                </c:pt>
                <c:pt idx="310">
                  <c:v>44333</c:v>
                </c:pt>
                <c:pt idx="311">
                  <c:v>44332</c:v>
                </c:pt>
                <c:pt idx="312">
                  <c:v>44334</c:v>
                </c:pt>
                <c:pt idx="313">
                  <c:v>44334</c:v>
                </c:pt>
                <c:pt idx="314">
                  <c:v>44335</c:v>
                </c:pt>
                <c:pt idx="315">
                  <c:v>44335</c:v>
                </c:pt>
                <c:pt idx="316">
                  <c:v>44337</c:v>
                </c:pt>
                <c:pt idx="317">
                  <c:v>44337</c:v>
                </c:pt>
                <c:pt idx="318">
                  <c:v>44337</c:v>
                </c:pt>
                <c:pt idx="319">
                  <c:v>44339</c:v>
                </c:pt>
                <c:pt idx="320">
                  <c:v>44338</c:v>
                </c:pt>
                <c:pt idx="321">
                  <c:v>44338</c:v>
                </c:pt>
                <c:pt idx="322">
                  <c:v>44338</c:v>
                </c:pt>
                <c:pt idx="323">
                  <c:v>44340</c:v>
                </c:pt>
                <c:pt idx="324">
                  <c:v>44340</c:v>
                </c:pt>
                <c:pt idx="325">
                  <c:v>44344</c:v>
                </c:pt>
                <c:pt idx="326">
                  <c:v>44344</c:v>
                </c:pt>
                <c:pt idx="327">
                  <c:v>44345</c:v>
                </c:pt>
                <c:pt idx="328">
                  <c:v>44347</c:v>
                </c:pt>
                <c:pt idx="329">
                  <c:v>44347</c:v>
                </c:pt>
                <c:pt idx="330">
                  <c:v>44348</c:v>
                </c:pt>
                <c:pt idx="331">
                  <c:v>44348</c:v>
                </c:pt>
                <c:pt idx="332">
                  <c:v>44350</c:v>
                </c:pt>
                <c:pt idx="333">
                  <c:v>44350</c:v>
                </c:pt>
                <c:pt idx="334">
                  <c:v>44353</c:v>
                </c:pt>
                <c:pt idx="335">
                  <c:v>44351</c:v>
                </c:pt>
                <c:pt idx="336">
                  <c:v>44352</c:v>
                </c:pt>
                <c:pt idx="337">
                  <c:v>44356</c:v>
                </c:pt>
                <c:pt idx="338">
                  <c:v>44357</c:v>
                </c:pt>
                <c:pt idx="339">
                  <c:v>44361</c:v>
                </c:pt>
                <c:pt idx="340">
                  <c:v>44361</c:v>
                </c:pt>
                <c:pt idx="341">
                  <c:v>44364</c:v>
                </c:pt>
                <c:pt idx="342">
                  <c:v>44365</c:v>
                </c:pt>
                <c:pt idx="343">
                  <c:v>44366</c:v>
                </c:pt>
                <c:pt idx="344">
                  <c:v>44368</c:v>
                </c:pt>
                <c:pt idx="345">
                  <c:v>44368</c:v>
                </c:pt>
                <c:pt idx="346">
                  <c:v>44371</c:v>
                </c:pt>
                <c:pt idx="347">
                  <c:v>44371</c:v>
                </c:pt>
                <c:pt idx="348">
                  <c:v>44373</c:v>
                </c:pt>
                <c:pt idx="349">
                  <c:v>44376</c:v>
                </c:pt>
                <c:pt idx="350">
                  <c:v>44377</c:v>
                </c:pt>
                <c:pt idx="351">
                  <c:v>44377</c:v>
                </c:pt>
                <c:pt idx="352">
                  <c:v>44381</c:v>
                </c:pt>
                <c:pt idx="353">
                  <c:v>44379</c:v>
                </c:pt>
                <c:pt idx="354">
                  <c:v>44380</c:v>
                </c:pt>
                <c:pt idx="355">
                  <c:v>44380</c:v>
                </c:pt>
                <c:pt idx="356">
                  <c:v>44380</c:v>
                </c:pt>
                <c:pt idx="357">
                  <c:v>44382</c:v>
                </c:pt>
                <c:pt idx="358">
                  <c:v>44382</c:v>
                </c:pt>
                <c:pt idx="359">
                  <c:v>44383</c:v>
                </c:pt>
                <c:pt idx="360">
                  <c:v>44384</c:v>
                </c:pt>
                <c:pt idx="361">
                  <c:v>44384</c:v>
                </c:pt>
                <c:pt idx="362">
                  <c:v>44388</c:v>
                </c:pt>
                <c:pt idx="363">
                  <c:v>44384</c:v>
                </c:pt>
                <c:pt idx="364">
                  <c:v>44385</c:v>
                </c:pt>
                <c:pt idx="365">
                  <c:v>44385</c:v>
                </c:pt>
                <c:pt idx="366">
                  <c:v>44385</c:v>
                </c:pt>
                <c:pt idx="367">
                  <c:v>44385</c:v>
                </c:pt>
                <c:pt idx="368">
                  <c:v>44386</c:v>
                </c:pt>
                <c:pt idx="369">
                  <c:v>44387</c:v>
                </c:pt>
                <c:pt idx="370">
                  <c:v>44389</c:v>
                </c:pt>
                <c:pt idx="371">
                  <c:v>44389</c:v>
                </c:pt>
                <c:pt idx="372">
                  <c:v>44389</c:v>
                </c:pt>
                <c:pt idx="373">
                  <c:v>44389</c:v>
                </c:pt>
                <c:pt idx="374">
                  <c:v>44389</c:v>
                </c:pt>
                <c:pt idx="375">
                  <c:v>44391</c:v>
                </c:pt>
                <c:pt idx="376">
                  <c:v>44396</c:v>
                </c:pt>
                <c:pt idx="377">
                  <c:v>44396</c:v>
                </c:pt>
                <c:pt idx="378">
                  <c:v>44395</c:v>
                </c:pt>
                <c:pt idx="379">
                  <c:v>44397</c:v>
                </c:pt>
                <c:pt idx="380">
                  <c:v>44398</c:v>
                </c:pt>
                <c:pt idx="381">
                  <c:v>44398</c:v>
                </c:pt>
                <c:pt idx="382">
                  <c:v>44399</c:v>
                </c:pt>
                <c:pt idx="383">
                  <c:v>44401</c:v>
                </c:pt>
                <c:pt idx="384">
                  <c:v>44401</c:v>
                </c:pt>
                <c:pt idx="385">
                  <c:v>44401</c:v>
                </c:pt>
                <c:pt idx="386">
                  <c:v>44405</c:v>
                </c:pt>
                <c:pt idx="387">
                  <c:v>44406</c:v>
                </c:pt>
                <c:pt idx="388">
                  <c:v>44410</c:v>
                </c:pt>
                <c:pt idx="389">
                  <c:v>44410</c:v>
                </c:pt>
                <c:pt idx="390">
                  <c:v>44410</c:v>
                </c:pt>
                <c:pt idx="391">
                  <c:v>44410</c:v>
                </c:pt>
                <c:pt idx="392">
                  <c:v>44411</c:v>
                </c:pt>
                <c:pt idx="393">
                  <c:v>44415</c:v>
                </c:pt>
                <c:pt idx="394">
                  <c:v>44412</c:v>
                </c:pt>
                <c:pt idx="395">
                  <c:v>44412</c:v>
                </c:pt>
                <c:pt idx="396">
                  <c:v>44413</c:v>
                </c:pt>
                <c:pt idx="397">
                  <c:v>44413</c:v>
                </c:pt>
                <c:pt idx="398">
                  <c:v>44414</c:v>
                </c:pt>
                <c:pt idx="399">
                  <c:v>44414</c:v>
                </c:pt>
                <c:pt idx="400">
                  <c:v>44415</c:v>
                </c:pt>
                <c:pt idx="401">
                  <c:v>44417</c:v>
                </c:pt>
                <c:pt idx="402">
                  <c:v>44418</c:v>
                </c:pt>
                <c:pt idx="403">
                  <c:v>44418</c:v>
                </c:pt>
                <c:pt idx="404">
                  <c:v>44418</c:v>
                </c:pt>
                <c:pt idx="405">
                  <c:v>44419</c:v>
                </c:pt>
                <c:pt idx="406">
                  <c:v>44423</c:v>
                </c:pt>
                <c:pt idx="407">
                  <c:v>44419</c:v>
                </c:pt>
                <c:pt idx="408">
                  <c:v>44420</c:v>
                </c:pt>
                <c:pt idx="409">
                  <c:v>44420</c:v>
                </c:pt>
                <c:pt idx="410">
                  <c:v>44420</c:v>
                </c:pt>
                <c:pt idx="411">
                  <c:v>44421</c:v>
                </c:pt>
                <c:pt idx="412">
                  <c:v>44421</c:v>
                </c:pt>
                <c:pt idx="413">
                  <c:v>44424</c:v>
                </c:pt>
                <c:pt idx="414">
                  <c:v>44424</c:v>
                </c:pt>
                <c:pt idx="415">
                  <c:v>44425</c:v>
                </c:pt>
                <c:pt idx="416">
                  <c:v>44426</c:v>
                </c:pt>
                <c:pt idx="417">
                  <c:v>44426</c:v>
                </c:pt>
                <c:pt idx="418">
                  <c:v>44426</c:v>
                </c:pt>
                <c:pt idx="419">
                  <c:v>44427</c:v>
                </c:pt>
                <c:pt idx="420">
                  <c:v>44428</c:v>
                </c:pt>
                <c:pt idx="421">
                  <c:v>44429</c:v>
                </c:pt>
                <c:pt idx="422">
                  <c:v>44432</c:v>
                </c:pt>
                <c:pt idx="423">
                  <c:v>44432</c:v>
                </c:pt>
                <c:pt idx="424">
                  <c:v>44435</c:v>
                </c:pt>
                <c:pt idx="425">
                  <c:v>44436</c:v>
                </c:pt>
                <c:pt idx="426">
                  <c:v>44439</c:v>
                </c:pt>
                <c:pt idx="427">
                  <c:v>44439</c:v>
                </c:pt>
                <c:pt idx="428">
                  <c:v>44440</c:v>
                </c:pt>
                <c:pt idx="429">
                  <c:v>44443</c:v>
                </c:pt>
                <c:pt idx="430">
                  <c:v>44445</c:v>
                </c:pt>
                <c:pt idx="431">
                  <c:v>44448</c:v>
                </c:pt>
                <c:pt idx="432">
                  <c:v>44450</c:v>
                </c:pt>
                <c:pt idx="433">
                  <c:v>44457</c:v>
                </c:pt>
                <c:pt idx="434">
                  <c:v>44456</c:v>
                </c:pt>
                <c:pt idx="435">
                  <c:v>44457</c:v>
                </c:pt>
                <c:pt idx="436">
                  <c:v>44460</c:v>
                </c:pt>
                <c:pt idx="437">
                  <c:v>44461</c:v>
                </c:pt>
                <c:pt idx="438">
                  <c:v>44463</c:v>
                </c:pt>
                <c:pt idx="439">
                  <c:v>44467</c:v>
                </c:pt>
                <c:pt idx="440">
                  <c:v>44467</c:v>
                </c:pt>
                <c:pt idx="441">
                  <c:v>44471</c:v>
                </c:pt>
                <c:pt idx="442">
                  <c:v>44474</c:v>
                </c:pt>
                <c:pt idx="443">
                  <c:v>44474</c:v>
                </c:pt>
                <c:pt idx="444">
                  <c:v>44477</c:v>
                </c:pt>
                <c:pt idx="445">
                  <c:v>44478</c:v>
                </c:pt>
                <c:pt idx="446">
                  <c:v>44480</c:v>
                </c:pt>
                <c:pt idx="447">
                  <c:v>44480</c:v>
                </c:pt>
                <c:pt idx="448">
                  <c:v>44485</c:v>
                </c:pt>
                <c:pt idx="449">
                  <c:v>44487</c:v>
                </c:pt>
                <c:pt idx="450">
                  <c:v>44487</c:v>
                </c:pt>
                <c:pt idx="451">
                  <c:v>44488</c:v>
                </c:pt>
                <c:pt idx="452">
                  <c:v>44489</c:v>
                </c:pt>
                <c:pt idx="453">
                  <c:v>44489</c:v>
                </c:pt>
                <c:pt idx="454">
                  <c:v>44490</c:v>
                </c:pt>
                <c:pt idx="455">
                  <c:v>44490</c:v>
                </c:pt>
                <c:pt idx="456">
                  <c:v>44490</c:v>
                </c:pt>
                <c:pt idx="457">
                  <c:v>44491</c:v>
                </c:pt>
                <c:pt idx="458">
                  <c:v>44491</c:v>
                </c:pt>
                <c:pt idx="459">
                  <c:v>44494</c:v>
                </c:pt>
                <c:pt idx="460">
                  <c:v>44494</c:v>
                </c:pt>
                <c:pt idx="461">
                  <c:v>44494</c:v>
                </c:pt>
                <c:pt idx="462">
                  <c:v>44495</c:v>
                </c:pt>
                <c:pt idx="463">
                  <c:v>44496</c:v>
                </c:pt>
                <c:pt idx="464">
                  <c:v>44499</c:v>
                </c:pt>
                <c:pt idx="465">
                  <c:v>44503</c:v>
                </c:pt>
                <c:pt idx="466">
                  <c:v>44506</c:v>
                </c:pt>
                <c:pt idx="467">
                  <c:v>44506</c:v>
                </c:pt>
                <c:pt idx="468">
                  <c:v>44508</c:v>
                </c:pt>
                <c:pt idx="469">
                  <c:v>44509</c:v>
                </c:pt>
                <c:pt idx="470">
                  <c:v>44509</c:v>
                </c:pt>
                <c:pt idx="471">
                  <c:v>44507</c:v>
                </c:pt>
                <c:pt idx="472">
                  <c:v>44509</c:v>
                </c:pt>
                <c:pt idx="473">
                  <c:v>44510</c:v>
                </c:pt>
                <c:pt idx="474">
                  <c:v>44511</c:v>
                </c:pt>
                <c:pt idx="475">
                  <c:v>44514</c:v>
                </c:pt>
                <c:pt idx="476">
                  <c:v>44512</c:v>
                </c:pt>
                <c:pt idx="477">
                  <c:v>44512</c:v>
                </c:pt>
                <c:pt idx="478">
                  <c:v>44513</c:v>
                </c:pt>
                <c:pt idx="479">
                  <c:v>44519</c:v>
                </c:pt>
                <c:pt idx="480">
                  <c:v>44523</c:v>
                </c:pt>
                <c:pt idx="481">
                  <c:v>44525</c:v>
                </c:pt>
                <c:pt idx="482">
                  <c:v>44525</c:v>
                </c:pt>
                <c:pt idx="483">
                  <c:v>44526</c:v>
                </c:pt>
                <c:pt idx="484">
                  <c:v>44526</c:v>
                </c:pt>
                <c:pt idx="485">
                  <c:v>44527</c:v>
                </c:pt>
                <c:pt idx="486">
                  <c:v>44527</c:v>
                </c:pt>
                <c:pt idx="487">
                  <c:v>44529</c:v>
                </c:pt>
                <c:pt idx="488">
                  <c:v>44529</c:v>
                </c:pt>
                <c:pt idx="489">
                  <c:v>44531</c:v>
                </c:pt>
                <c:pt idx="490">
                  <c:v>44533</c:v>
                </c:pt>
                <c:pt idx="491">
                  <c:v>44535</c:v>
                </c:pt>
                <c:pt idx="492">
                  <c:v>44534</c:v>
                </c:pt>
                <c:pt idx="493">
                  <c:v>44536</c:v>
                </c:pt>
                <c:pt idx="494">
                  <c:v>44537</c:v>
                </c:pt>
                <c:pt idx="495">
                  <c:v>44537</c:v>
                </c:pt>
                <c:pt idx="496">
                  <c:v>44538</c:v>
                </c:pt>
                <c:pt idx="497">
                  <c:v>44539</c:v>
                </c:pt>
                <c:pt idx="498">
                  <c:v>44542</c:v>
                </c:pt>
                <c:pt idx="499">
                  <c:v>44541</c:v>
                </c:pt>
                <c:pt idx="500">
                  <c:v>44541</c:v>
                </c:pt>
                <c:pt idx="501">
                  <c:v>44541</c:v>
                </c:pt>
                <c:pt idx="502">
                  <c:v>44541</c:v>
                </c:pt>
                <c:pt idx="503">
                  <c:v>44541</c:v>
                </c:pt>
                <c:pt idx="504">
                  <c:v>44543</c:v>
                </c:pt>
                <c:pt idx="505">
                  <c:v>44543</c:v>
                </c:pt>
                <c:pt idx="506">
                  <c:v>44543</c:v>
                </c:pt>
                <c:pt idx="507">
                  <c:v>44541</c:v>
                </c:pt>
                <c:pt idx="508">
                  <c:v>44544</c:v>
                </c:pt>
                <c:pt idx="509">
                  <c:v>44547</c:v>
                </c:pt>
                <c:pt idx="510">
                  <c:v>44548</c:v>
                </c:pt>
                <c:pt idx="511">
                  <c:v>44550</c:v>
                </c:pt>
                <c:pt idx="512">
                  <c:v>44550</c:v>
                </c:pt>
                <c:pt idx="513">
                  <c:v>44549</c:v>
                </c:pt>
                <c:pt idx="514">
                  <c:v>44548</c:v>
                </c:pt>
                <c:pt idx="515">
                  <c:v>44551</c:v>
                </c:pt>
                <c:pt idx="516">
                  <c:v>44552</c:v>
                </c:pt>
                <c:pt idx="517">
                  <c:v>44552</c:v>
                </c:pt>
                <c:pt idx="518">
                  <c:v>44553</c:v>
                </c:pt>
                <c:pt idx="519">
                  <c:v>44557</c:v>
                </c:pt>
                <c:pt idx="520">
                  <c:v>44557</c:v>
                </c:pt>
                <c:pt idx="521">
                  <c:v>44558</c:v>
                </c:pt>
                <c:pt idx="522">
                  <c:v>44558</c:v>
                </c:pt>
                <c:pt idx="523">
                  <c:v>44563</c:v>
                </c:pt>
                <c:pt idx="524">
                  <c:v>44564</c:v>
                </c:pt>
                <c:pt idx="525">
                  <c:v>44567</c:v>
                </c:pt>
                <c:pt idx="526">
                  <c:v>44571</c:v>
                </c:pt>
                <c:pt idx="527">
                  <c:v>44571</c:v>
                </c:pt>
                <c:pt idx="528">
                  <c:v>44571</c:v>
                </c:pt>
                <c:pt idx="529">
                  <c:v>44572</c:v>
                </c:pt>
                <c:pt idx="530">
                  <c:v>44572</c:v>
                </c:pt>
                <c:pt idx="531">
                  <c:v>44573</c:v>
                </c:pt>
                <c:pt idx="532">
                  <c:v>44573</c:v>
                </c:pt>
                <c:pt idx="533">
                  <c:v>44577</c:v>
                </c:pt>
                <c:pt idx="534">
                  <c:v>44574</c:v>
                </c:pt>
                <c:pt idx="535">
                  <c:v>44575</c:v>
                </c:pt>
                <c:pt idx="536">
                  <c:v>44576</c:v>
                </c:pt>
                <c:pt idx="537">
                  <c:v>44578</c:v>
                </c:pt>
                <c:pt idx="538">
                  <c:v>44578</c:v>
                </c:pt>
                <c:pt idx="539">
                  <c:v>44583</c:v>
                </c:pt>
                <c:pt idx="540">
                  <c:v>44580</c:v>
                </c:pt>
                <c:pt idx="541">
                  <c:v>44581</c:v>
                </c:pt>
                <c:pt idx="542">
                  <c:v>44581</c:v>
                </c:pt>
                <c:pt idx="543">
                  <c:v>44581</c:v>
                </c:pt>
                <c:pt idx="544">
                  <c:v>44583</c:v>
                </c:pt>
                <c:pt idx="545">
                  <c:v>44583</c:v>
                </c:pt>
                <c:pt idx="546">
                  <c:v>44585</c:v>
                </c:pt>
                <c:pt idx="547">
                  <c:v>44586</c:v>
                </c:pt>
                <c:pt idx="548">
                  <c:v>44586</c:v>
                </c:pt>
                <c:pt idx="549">
                  <c:v>44587</c:v>
                </c:pt>
                <c:pt idx="550">
                  <c:v>44588</c:v>
                </c:pt>
                <c:pt idx="551">
                  <c:v>44589</c:v>
                </c:pt>
                <c:pt idx="552">
                  <c:v>44590</c:v>
                </c:pt>
                <c:pt idx="553">
                  <c:v>44592</c:v>
                </c:pt>
                <c:pt idx="554">
                  <c:v>44592</c:v>
                </c:pt>
                <c:pt idx="555">
                  <c:v>44594</c:v>
                </c:pt>
                <c:pt idx="556">
                  <c:v>44594</c:v>
                </c:pt>
                <c:pt idx="557">
                  <c:v>44595</c:v>
                </c:pt>
                <c:pt idx="558">
                  <c:v>44596</c:v>
                </c:pt>
                <c:pt idx="559">
                  <c:v>44596</c:v>
                </c:pt>
                <c:pt idx="560">
                  <c:v>44599</c:v>
                </c:pt>
                <c:pt idx="561">
                  <c:v>44599</c:v>
                </c:pt>
                <c:pt idx="562">
                  <c:v>44600</c:v>
                </c:pt>
                <c:pt idx="563">
                  <c:v>44602</c:v>
                </c:pt>
                <c:pt idx="564">
                  <c:v>44604</c:v>
                </c:pt>
                <c:pt idx="565">
                  <c:v>44604</c:v>
                </c:pt>
                <c:pt idx="566">
                  <c:v>44606</c:v>
                </c:pt>
                <c:pt idx="567">
                  <c:v>44607</c:v>
                </c:pt>
                <c:pt idx="568">
                  <c:v>44607</c:v>
                </c:pt>
                <c:pt idx="569">
                  <c:v>44608</c:v>
                </c:pt>
                <c:pt idx="570">
                  <c:v>44610</c:v>
                </c:pt>
                <c:pt idx="571">
                  <c:v>44610</c:v>
                </c:pt>
                <c:pt idx="572">
                  <c:v>44611</c:v>
                </c:pt>
                <c:pt idx="573">
                  <c:v>44613</c:v>
                </c:pt>
                <c:pt idx="574">
                  <c:v>44613</c:v>
                </c:pt>
                <c:pt idx="575">
                  <c:v>44616</c:v>
                </c:pt>
                <c:pt idx="576">
                  <c:v>44616</c:v>
                </c:pt>
                <c:pt idx="577">
                  <c:v>44618</c:v>
                </c:pt>
                <c:pt idx="578">
                  <c:v>44620</c:v>
                </c:pt>
                <c:pt idx="579">
                  <c:v>44620</c:v>
                </c:pt>
                <c:pt idx="580">
                  <c:v>44620</c:v>
                </c:pt>
                <c:pt idx="581">
                  <c:v>44620</c:v>
                </c:pt>
                <c:pt idx="582">
                  <c:v>44620</c:v>
                </c:pt>
                <c:pt idx="583">
                  <c:v>44622</c:v>
                </c:pt>
                <c:pt idx="584">
                  <c:v>44623</c:v>
                </c:pt>
                <c:pt idx="585">
                  <c:v>44624</c:v>
                </c:pt>
                <c:pt idx="586">
                  <c:v>44631</c:v>
                </c:pt>
                <c:pt idx="587">
                  <c:v>44632</c:v>
                </c:pt>
                <c:pt idx="588">
                  <c:v>44632</c:v>
                </c:pt>
                <c:pt idx="589">
                  <c:v>44634</c:v>
                </c:pt>
                <c:pt idx="590">
                  <c:v>44634</c:v>
                </c:pt>
                <c:pt idx="591">
                  <c:v>44634</c:v>
                </c:pt>
                <c:pt idx="592">
                  <c:v>44634</c:v>
                </c:pt>
                <c:pt idx="593">
                  <c:v>44634</c:v>
                </c:pt>
                <c:pt idx="594">
                  <c:v>44637</c:v>
                </c:pt>
                <c:pt idx="595">
                  <c:v>44638</c:v>
                </c:pt>
                <c:pt idx="596">
                  <c:v>44639</c:v>
                </c:pt>
                <c:pt idx="597">
                  <c:v>44641</c:v>
                </c:pt>
                <c:pt idx="598">
                  <c:v>44641</c:v>
                </c:pt>
                <c:pt idx="599">
                  <c:v>44641</c:v>
                </c:pt>
              </c:numCache>
            </c:numRef>
          </c:xVal>
          <c:yVal>
            <c:numRef>
              <c:f>'Test 5'!$E$92:$E$691</c:f>
              <c:numCache>
                <c:formatCode>_ * #,##0_ ;_ * \-#,##0_ ;_ * "-"??_ ;_ @_ </c:formatCode>
                <c:ptCount val="600"/>
                <c:pt idx="0">
                  <c:v>483830</c:v>
                </c:pt>
                <c:pt idx="1">
                  <c:v>462100</c:v>
                </c:pt>
                <c:pt idx="2">
                  <c:v>372600</c:v>
                </c:pt>
                <c:pt idx="3">
                  <c:v>34370</c:v>
                </c:pt>
                <c:pt idx="4">
                  <c:v>24190</c:v>
                </c:pt>
                <c:pt idx="5">
                  <c:v>4841510</c:v>
                </c:pt>
                <c:pt idx="6">
                  <c:v>469180</c:v>
                </c:pt>
                <c:pt idx="7">
                  <c:v>480710</c:v>
                </c:pt>
                <c:pt idx="8">
                  <c:v>343170</c:v>
                </c:pt>
                <c:pt idx="9">
                  <c:v>474940</c:v>
                </c:pt>
                <c:pt idx="10">
                  <c:v>50900</c:v>
                </c:pt>
                <c:pt idx="11">
                  <c:v>335080</c:v>
                </c:pt>
                <c:pt idx="12">
                  <c:v>501490</c:v>
                </c:pt>
                <c:pt idx="13">
                  <c:v>209260</c:v>
                </c:pt>
                <c:pt idx="14">
                  <c:v>317130</c:v>
                </c:pt>
                <c:pt idx="15">
                  <c:v>42850</c:v>
                </c:pt>
                <c:pt idx="16">
                  <c:v>477910</c:v>
                </c:pt>
                <c:pt idx="17">
                  <c:v>345580</c:v>
                </c:pt>
                <c:pt idx="18">
                  <c:v>337140</c:v>
                </c:pt>
                <c:pt idx="19">
                  <c:v>477620</c:v>
                </c:pt>
                <c:pt idx="20">
                  <c:v>453890</c:v>
                </c:pt>
                <c:pt idx="21">
                  <c:v>230560</c:v>
                </c:pt>
                <c:pt idx="22">
                  <c:v>207690</c:v>
                </c:pt>
                <c:pt idx="23">
                  <c:v>498780</c:v>
                </c:pt>
                <c:pt idx="24">
                  <c:v>265850</c:v>
                </c:pt>
                <c:pt idx="25">
                  <c:v>23290</c:v>
                </c:pt>
                <c:pt idx="26">
                  <c:v>432790</c:v>
                </c:pt>
                <c:pt idx="27">
                  <c:v>4762260</c:v>
                </c:pt>
                <c:pt idx="28">
                  <c:v>311700</c:v>
                </c:pt>
                <c:pt idx="29">
                  <c:v>209420</c:v>
                </c:pt>
                <c:pt idx="30">
                  <c:v>225520</c:v>
                </c:pt>
                <c:pt idx="31">
                  <c:v>480420</c:v>
                </c:pt>
                <c:pt idx="32">
                  <c:v>349080</c:v>
                </c:pt>
                <c:pt idx="33">
                  <c:v>309420</c:v>
                </c:pt>
                <c:pt idx="34">
                  <c:v>431890</c:v>
                </c:pt>
                <c:pt idx="35">
                  <c:v>21840</c:v>
                </c:pt>
                <c:pt idx="36">
                  <c:v>27450</c:v>
                </c:pt>
                <c:pt idx="37">
                  <c:v>440720</c:v>
                </c:pt>
                <c:pt idx="38">
                  <c:v>294900</c:v>
                </c:pt>
                <c:pt idx="39">
                  <c:v>5778120</c:v>
                </c:pt>
                <c:pt idx="40">
                  <c:v>401950</c:v>
                </c:pt>
                <c:pt idx="41">
                  <c:v>429800</c:v>
                </c:pt>
                <c:pt idx="42">
                  <c:v>463750</c:v>
                </c:pt>
                <c:pt idx="43">
                  <c:v>302650</c:v>
                </c:pt>
                <c:pt idx="44">
                  <c:v>427510</c:v>
                </c:pt>
                <c:pt idx="45">
                  <c:v>386240</c:v>
                </c:pt>
                <c:pt idx="46">
                  <c:v>206890</c:v>
                </c:pt>
                <c:pt idx="47">
                  <c:v>492690</c:v>
                </c:pt>
                <c:pt idx="48">
                  <c:v>482570</c:v>
                </c:pt>
                <c:pt idx="49">
                  <c:v>46890</c:v>
                </c:pt>
                <c:pt idx="50">
                  <c:v>484460</c:v>
                </c:pt>
                <c:pt idx="51">
                  <c:v>290140</c:v>
                </c:pt>
                <c:pt idx="52">
                  <c:v>482140</c:v>
                </c:pt>
                <c:pt idx="53">
                  <c:v>244360</c:v>
                </c:pt>
                <c:pt idx="54">
                  <c:v>261450</c:v>
                </c:pt>
                <c:pt idx="55">
                  <c:v>10223320</c:v>
                </c:pt>
                <c:pt idx="56">
                  <c:v>390450</c:v>
                </c:pt>
                <c:pt idx="57">
                  <c:v>202860</c:v>
                </c:pt>
                <c:pt idx="58">
                  <c:v>204100</c:v>
                </c:pt>
                <c:pt idx="59">
                  <c:v>265580</c:v>
                </c:pt>
                <c:pt idx="60">
                  <c:v>285470</c:v>
                </c:pt>
                <c:pt idx="61">
                  <c:v>205720</c:v>
                </c:pt>
                <c:pt idx="62">
                  <c:v>31860</c:v>
                </c:pt>
                <c:pt idx="63">
                  <c:v>258480</c:v>
                </c:pt>
                <c:pt idx="64">
                  <c:v>205220</c:v>
                </c:pt>
                <c:pt idx="65">
                  <c:v>434440</c:v>
                </c:pt>
                <c:pt idx="66">
                  <c:v>433740</c:v>
                </c:pt>
                <c:pt idx="67">
                  <c:v>484610</c:v>
                </c:pt>
                <c:pt idx="68">
                  <c:v>309040</c:v>
                </c:pt>
                <c:pt idx="69">
                  <c:v>350710</c:v>
                </c:pt>
                <c:pt idx="70">
                  <c:v>317450</c:v>
                </c:pt>
                <c:pt idx="71">
                  <c:v>4374900</c:v>
                </c:pt>
                <c:pt idx="72">
                  <c:v>379870</c:v>
                </c:pt>
                <c:pt idx="73">
                  <c:v>415470</c:v>
                </c:pt>
                <c:pt idx="74">
                  <c:v>451520</c:v>
                </c:pt>
                <c:pt idx="75">
                  <c:v>453330</c:v>
                </c:pt>
                <c:pt idx="76">
                  <c:v>343940</c:v>
                </c:pt>
                <c:pt idx="77">
                  <c:v>369380</c:v>
                </c:pt>
                <c:pt idx="78">
                  <c:v>242400</c:v>
                </c:pt>
                <c:pt idx="79">
                  <c:v>343980</c:v>
                </c:pt>
                <c:pt idx="80">
                  <c:v>337370</c:v>
                </c:pt>
                <c:pt idx="81">
                  <c:v>393430</c:v>
                </c:pt>
                <c:pt idx="82">
                  <c:v>404010</c:v>
                </c:pt>
                <c:pt idx="83">
                  <c:v>448370</c:v>
                </c:pt>
                <c:pt idx="84">
                  <c:v>426610</c:v>
                </c:pt>
                <c:pt idx="85">
                  <c:v>400810</c:v>
                </c:pt>
                <c:pt idx="86">
                  <c:v>234150</c:v>
                </c:pt>
                <c:pt idx="87">
                  <c:v>402860</c:v>
                </c:pt>
                <c:pt idx="88">
                  <c:v>408480</c:v>
                </c:pt>
                <c:pt idx="89">
                  <c:v>6075310</c:v>
                </c:pt>
                <c:pt idx="90">
                  <c:v>448330</c:v>
                </c:pt>
                <c:pt idx="91">
                  <c:v>381310</c:v>
                </c:pt>
                <c:pt idx="92">
                  <c:v>35360</c:v>
                </c:pt>
                <c:pt idx="93">
                  <c:v>336830</c:v>
                </c:pt>
                <c:pt idx="94">
                  <c:v>452640</c:v>
                </c:pt>
                <c:pt idx="95">
                  <c:v>363210</c:v>
                </c:pt>
                <c:pt idx="96">
                  <c:v>459610</c:v>
                </c:pt>
                <c:pt idx="97">
                  <c:v>468940</c:v>
                </c:pt>
                <c:pt idx="98">
                  <c:v>386980</c:v>
                </c:pt>
                <c:pt idx="99">
                  <c:v>384860</c:v>
                </c:pt>
                <c:pt idx="100">
                  <c:v>476490</c:v>
                </c:pt>
                <c:pt idx="101">
                  <c:v>221320</c:v>
                </c:pt>
                <c:pt idx="102">
                  <c:v>361170</c:v>
                </c:pt>
                <c:pt idx="103">
                  <c:v>468930</c:v>
                </c:pt>
                <c:pt idx="104">
                  <c:v>425960</c:v>
                </c:pt>
                <c:pt idx="105">
                  <c:v>489420</c:v>
                </c:pt>
                <c:pt idx="106">
                  <c:v>487730</c:v>
                </c:pt>
                <c:pt idx="107">
                  <c:v>5435440</c:v>
                </c:pt>
                <c:pt idx="108">
                  <c:v>228310</c:v>
                </c:pt>
                <c:pt idx="109">
                  <c:v>231130</c:v>
                </c:pt>
                <c:pt idx="110">
                  <c:v>309860</c:v>
                </c:pt>
                <c:pt idx="111">
                  <c:v>469290</c:v>
                </c:pt>
                <c:pt idx="112">
                  <c:v>485210</c:v>
                </c:pt>
                <c:pt idx="113">
                  <c:v>336440</c:v>
                </c:pt>
                <c:pt idx="114">
                  <c:v>230600</c:v>
                </c:pt>
                <c:pt idx="115">
                  <c:v>442130</c:v>
                </c:pt>
                <c:pt idx="116">
                  <c:v>347590</c:v>
                </c:pt>
                <c:pt idx="117">
                  <c:v>484270</c:v>
                </c:pt>
                <c:pt idx="118">
                  <c:v>371400</c:v>
                </c:pt>
                <c:pt idx="119">
                  <c:v>413860</c:v>
                </c:pt>
                <c:pt idx="120">
                  <c:v>496390</c:v>
                </c:pt>
                <c:pt idx="121">
                  <c:v>265640</c:v>
                </c:pt>
                <c:pt idx="122">
                  <c:v>287540</c:v>
                </c:pt>
                <c:pt idx="123">
                  <c:v>320190</c:v>
                </c:pt>
                <c:pt idx="124">
                  <c:v>31200</c:v>
                </c:pt>
                <c:pt idx="125">
                  <c:v>261830</c:v>
                </c:pt>
                <c:pt idx="126">
                  <c:v>409610</c:v>
                </c:pt>
                <c:pt idx="127">
                  <c:v>436450</c:v>
                </c:pt>
                <c:pt idx="128">
                  <c:v>396810</c:v>
                </c:pt>
                <c:pt idx="129">
                  <c:v>357630</c:v>
                </c:pt>
                <c:pt idx="130">
                  <c:v>257380</c:v>
                </c:pt>
                <c:pt idx="131">
                  <c:v>260190</c:v>
                </c:pt>
                <c:pt idx="132">
                  <c:v>425730</c:v>
                </c:pt>
                <c:pt idx="133">
                  <c:v>499520</c:v>
                </c:pt>
                <c:pt idx="134">
                  <c:v>344930</c:v>
                </c:pt>
                <c:pt idx="135">
                  <c:v>272690</c:v>
                </c:pt>
                <c:pt idx="136">
                  <c:v>253760</c:v>
                </c:pt>
                <c:pt idx="137">
                  <c:v>361660</c:v>
                </c:pt>
                <c:pt idx="138">
                  <c:v>325730</c:v>
                </c:pt>
                <c:pt idx="139">
                  <c:v>343420</c:v>
                </c:pt>
                <c:pt idx="140">
                  <c:v>413230</c:v>
                </c:pt>
                <c:pt idx="141">
                  <c:v>287450</c:v>
                </c:pt>
                <c:pt idx="142">
                  <c:v>465230</c:v>
                </c:pt>
                <c:pt idx="143">
                  <c:v>459200</c:v>
                </c:pt>
                <c:pt idx="144">
                  <c:v>363610</c:v>
                </c:pt>
                <c:pt idx="145">
                  <c:v>324490</c:v>
                </c:pt>
                <c:pt idx="146">
                  <c:v>477100</c:v>
                </c:pt>
                <c:pt idx="147">
                  <c:v>277730</c:v>
                </c:pt>
                <c:pt idx="148">
                  <c:v>338510</c:v>
                </c:pt>
                <c:pt idx="149">
                  <c:v>494440</c:v>
                </c:pt>
                <c:pt idx="150">
                  <c:v>354520</c:v>
                </c:pt>
                <c:pt idx="151">
                  <c:v>236430</c:v>
                </c:pt>
                <c:pt idx="152">
                  <c:v>269550</c:v>
                </c:pt>
                <c:pt idx="153">
                  <c:v>4699400</c:v>
                </c:pt>
                <c:pt idx="154">
                  <c:v>40290</c:v>
                </c:pt>
                <c:pt idx="155">
                  <c:v>427530</c:v>
                </c:pt>
                <c:pt idx="156">
                  <c:v>375010</c:v>
                </c:pt>
                <c:pt idx="157">
                  <c:v>233840</c:v>
                </c:pt>
                <c:pt idx="158">
                  <c:v>486560</c:v>
                </c:pt>
                <c:pt idx="159">
                  <c:v>394840</c:v>
                </c:pt>
                <c:pt idx="160">
                  <c:v>496620</c:v>
                </c:pt>
                <c:pt idx="161">
                  <c:v>423630</c:v>
                </c:pt>
                <c:pt idx="162">
                  <c:v>342230</c:v>
                </c:pt>
                <c:pt idx="163">
                  <c:v>313120</c:v>
                </c:pt>
                <c:pt idx="164">
                  <c:v>482500</c:v>
                </c:pt>
                <c:pt idx="165">
                  <c:v>228570</c:v>
                </c:pt>
                <c:pt idx="166">
                  <c:v>374680</c:v>
                </c:pt>
                <c:pt idx="167">
                  <c:v>270290</c:v>
                </c:pt>
                <c:pt idx="168">
                  <c:v>230290</c:v>
                </c:pt>
                <c:pt idx="169">
                  <c:v>204300</c:v>
                </c:pt>
                <c:pt idx="170">
                  <c:v>429430</c:v>
                </c:pt>
                <c:pt idx="171">
                  <c:v>208840</c:v>
                </c:pt>
                <c:pt idx="172">
                  <c:v>459190</c:v>
                </c:pt>
                <c:pt idx="173">
                  <c:v>356940</c:v>
                </c:pt>
                <c:pt idx="174">
                  <c:v>205260</c:v>
                </c:pt>
                <c:pt idx="175">
                  <c:v>397250</c:v>
                </c:pt>
                <c:pt idx="176">
                  <c:v>473010</c:v>
                </c:pt>
                <c:pt idx="177">
                  <c:v>497830</c:v>
                </c:pt>
                <c:pt idx="178">
                  <c:v>260110</c:v>
                </c:pt>
                <c:pt idx="179">
                  <c:v>270080</c:v>
                </c:pt>
                <c:pt idx="180">
                  <c:v>422330</c:v>
                </c:pt>
                <c:pt idx="181">
                  <c:v>252510</c:v>
                </c:pt>
                <c:pt idx="182">
                  <c:v>376120</c:v>
                </c:pt>
                <c:pt idx="183">
                  <c:v>367080</c:v>
                </c:pt>
                <c:pt idx="184">
                  <c:v>39110</c:v>
                </c:pt>
                <c:pt idx="185">
                  <c:v>246800</c:v>
                </c:pt>
                <c:pt idx="186">
                  <c:v>339230</c:v>
                </c:pt>
                <c:pt idx="187">
                  <c:v>359950</c:v>
                </c:pt>
                <c:pt idx="188">
                  <c:v>342950</c:v>
                </c:pt>
                <c:pt idx="189">
                  <c:v>406180</c:v>
                </c:pt>
                <c:pt idx="190">
                  <c:v>5702060</c:v>
                </c:pt>
                <c:pt idx="191">
                  <c:v>307890</c:v>
                </c:pt>
                <c:pt idx="192">
                  <c:v>391680</c:v>
                </c:pt>
                <c:pt idx="193">
                  <c:v>13558220</c:v>
                </c:pt>
                <c:pt idx="194">
                  <c:v>271590</c:v>
                </c:pt>
                <c:pt idx="195">
                  <c:v>334350</c:v>
                </c:pt>
                <c:pt idx="196">
                  <c:v>342230</c:v>
                </c:pt>
                <c:pt idx="197">
                  <c:v>352880</c:v>
                </c:pt>
                <c:pt idx="198">
                  <c:v>416270</c:v>
                </c:pt>
                <c:pt idx="199">
                  <c:v>430910</c:v>
                </c:pt>
                <c:pt idx="200">
                  <c:v>261940</c:v>
                </c:pt>
                <c:pt idx="201">
                  <c:v>221470</c:v>
                </c:pt>
                <c:pt idx="202">
                  <c:v>420990</c:v>
                </c:pt>
                <c:pt idx="203">
                  <c:v>2125810</c:v>
                </c:pt>
                <c:pt idx="204">
                  <c:v>460950</c:v>
                </c:pt>
                <c:pt idx="205">
                  <c:v>497450</c:v>
                </c:pt>
                <c:pt idx="206">
                  <c:v>325300</c:v>
                </c:pt>
                <c:pt idx="207">
                  <c:v>449520</c:v>
                </c:pt>
                <c:pt idx="208">
                  <c:v>237540</c:v>
                </c:pt>
                <c:pt idx="209">
                  <c:v>260730</c:v>
                </c:pt>
                <c:pt idx="210">
                  <c:v>369470</c:v>
                </c:pt>
                <c:pt idx="211">
                  <c:v>395500</c:v>
                </c:pt>
                <c:pt idx="212">
                  <c:v>374810</c:v>
                </c:pt>
                <c:pt idx="213">
                  <c:v>433570</c:v>
                </c:pt>
                <c:pt idx="214">
                  <c:v>302470</c:v>
                </c:pt>
                <c:pt idx="215">
                  <c:v>388980</c:v>
                </c:pt>
                <c:pt idx="216">
                  <c:v>21830</c:v>
                </c:pt>
                <c:pt idx="217">
                  <c:v>434470</c:v>
                </c:pt>
                <c:pt idx="218">
                  <c:v>359170</c:v>
                </c:pt>
                <c:pt idx="219">
                  <c:v>464740</c:v>
                </c:pt>
                <c:pt idx="220">
                  <c:v>343880</c:v>
                </c:pt>
                <c:pt idx="221">
                  <c:v>464470</c:v>
                </c:pt>
                <c:pt idx="222">
                  <c:v>207340</c:v>
                </c:pt>
                <c:pt idx="223">
                  <c:v>235030</c:v>
                </c:pt>
                <c:pt idx="224">
                  <c:v>289800</c:v>
                </c:pt>
                <c:pt idx="225">
                  <c:v>452530</c:v>
                </c:pt>
                <c:pt idx="226">
                  <c:v>461930</c:v>
                </c:pt>
                <c:pt idx="227">
                  <c:v>380650</c:v>
                </c:pt>
                <c:pt idx="228">
                  <c:v>362410</c:v>
                </c:pt>
                <c:pt idx="229">
                  <c:v>6899270</c:v>
                </c:pt>
                <c:pt idx="230">
                  <c:v>417340</c:v>
                </c:pt>
                <c:pt idx="231">
                  <c:v>214490</c:v>
                </c:pt>
                <c:pt idx="232">
                  <c:v>395980</c:v>
                </c:pt>
                <c:pt idx="233">
                  <c:v>278800</c:v>
                </c:pt>
                <c:pt idx="234">
                  <c:v>431320</c:v>
                </c:pt>
                <c:pt idx="235">
                  <c:v>216430</c:v>
                </c:pt>
                <c:pt idx="236">
                  <c:v>201920</c:v>
                </c:pt>
                <c:pt idx="237">
                  <c:v>383620</c:v>
                </c:pt>
                <c:pt idx="238">
                  <c:v>495540</c:v>
                </c:pt>
                <c:pt idx="239">
                  <c:v>285080</c:v>
                </c:pt>
                <c:pt idx="240">
                  <c:v>441790</c:v>
                </c:pt>
                <c:pt idx="241">
                  <c:v>339640</c:v>
                </c:pt>
                <c:pt idx="242">
                  <c:v>494660</c:v>
                </c:pt>
                <c:pt idx="243">
                  <c:v>463590</c:v>
                </c:pt>
                <c:pt idx="244">
                  <c:v>474470</c:v>
                </c:pt>
                <c:pt idx="245">
                  <c:v>236850</c:v>
                </c:pt>
                <c:pt idx="246">
                  <c:v>37380</c:v>
                </c:pt>
                <c:pt idx="247">
                  <c:v>474250</c:v>
                </c:pt>
                <c:pt idx="248">
                  <c:v>322680</c:v>
                </c:pt>
                <c:pt idx="249">
                  <c:v>245600</c:v>
                </c:pt>
                <c:pt idx="250">
                  <c:v>276510</c:v>
                </c:pt>
                <c:pt idx="251">
                  <c:v>290150</c:v>
                </c:pt>
                <c:pt idx="252">
                  <c:v>215830</c:v>
                </c:pt>
                <c:pt idx="253">
                  <c:v>310790</c:v>
                </c:pt>
                <c:pt idx="254">
                  <c:v>275200</c:v>
                </c:pt>
                <c:pt idx="255">
                  <c:v>347560</c:v>
                </c:pt>
                <c:pt idx="256">
                  <c:v>463330</c:v>
                </c:pt>
                <c:pt idx="257">
                  <c:v>237420</c:v>
                </c:pt>
                <c:pt idx="258">
                  <c:v>367870</c:v>
                </c:pt>
                <c:pt idx="259">
                  <c:v>10252420</c:v>
                </c:pt>
                <c:pt idx="260">
                  <c:v>277050</c:v>
                </c:pt>
                <c:pt idx="261">
                  <c:v>234800</c:v>
                </c:pt>
                <c:pt idx="262">
                  <c:v>491400</c:v>
                </c:pt>
                <c:pt idx="263">
                  <c:v>203540</c:v>
                </c:pt>
                <c:pt idx="264">
                  <c:v>255220</c:v>
                </c:pt>
                <c:pt idx="265">
                  <c:v>233510</c:v>
                </c:pt>
                <c:pt idx="266">
                  <c:v>287430</c:v>
                </c:pt>
                <c:pt idx="267">
                  <c:v>448190</c:v>
                </c:pt>
                <c:pt idx="268">
                  <c:v>443830</c:v>
                </c:pt>
                <c:pt idx="269">
                  <c:v>322290</c:v>
                </c:pt>
                <c:pt idx="270">
                  <c:v>202040</c:v>
                </c:pt>
                <c:pt idx="271">
                  <c:v>254090</c:v>
                </c:pt>
                <c:pt idx="272">
                  <c:v>449120</c:v>
                </c:pt>
                <c:pt idx="273">
                  <c:v>403890</c:v>
                </c:pt>
                <c:pt idx="274">
                  <c:v>284840</c:v>
                </c:pt>
                <c:pt idx="275">
                  <c:v>400460</c:v>
                </c:pt>
                <c:pt idx="276">
                  <c:v>281550</c:v>
                </c:pt>
                <c:pt idx="277">
                  <c:v>283210</c:v>
                </c:pt>
                <c:pt idx="278">
                  <c:v>277600</c:v>
                </c:pt>
                <c:pt idx="279">
                  <c:v>24700</c:v>
                </c:pt>
                <c:pt idx="280">
                  <c:v>449990</c:v>
                </c:pt>
                <c:pt idx="281">
                  <c:v>397160</c:v>
                </c:pt>
                <c:pt idx="282">
                  <c:v>428840</c:v>
                </c:pt>
                <c:pt idx="283">
                  <c:v>397150</c:v>
                </c:pt>
                <c:pt idx="284">
                  <c:v>413530</c:v>
                </c:pt>
                <c:pt idx="285">
                  <c:v>489190</c:v>
                </c:pt>
                <c:pt idx="286">
                  <c:v>274850</c:v>
                </c:pt>
                <c:pt idx="287">
                  <c:v>333930</c:v>
                </c:pt>
                <c:pt idx="288">
                  <c:v>330040</c:v>
                </c:pt>
                <c:pt idx="289">
                  <c:v>212740</c:v>
                </c:pt>
                <c:pt idx="290">
                  <c:v>229650</c:v>
                </c:pt>
                <c:pt idx="291">
                  <c:v>276090</c:v>
                </c:pt>
                <c:pt idx="292">
                  <c:v>250910</c:v>
                </c:pt>
                <c:pt idx="293">
                  <c:v>498030</c:v>
                </c:pt>
                <c:pt idx="294">
                  <c:v>258340</c:v>
                </c:pt>
                <c:pt idx="295">
                  <c:v>240520</c:v>
                </c:pt>
                <c:pt idx="296">
                  <c:v>403020</c:v>
                </c:pt>
                <c:pt idx="297">
                  <c:v>328460</c:v>
                </c:pt>
                <c:pt idx="298">
                  <c:v>321090</c:v>
                </c:pt>
                <c:pt idx="299">
                  <c:v>27380</c:v>
                </c:pt>
                <c:pt idx="300">
                  <c:v>494080</c:v>
                </c:pt>
                <c:pt idx="301">
                  <c:v>4279450</c:v>
                </c:pt>
                <c:pt idx="302">
                  <c:v>42630</c:v>
                </c:pt>
                <c:pt idx="303">
                  <c:v>491380</c:v>
                </c:pt>
                <c:pt idx="304">
                  <c:v>35080</c:v>
                </c:pt>
                <c:pt idx="305">
                  <c:v>33330</c:v>
                </c:pt>
                <c:pt idx="306">
                  <c:v>29410</c:v>
                </c:pt>
                <c:pt idx="307">
                  <c:v>488580</c:v>
                </c:pt>
                <c:pt idx="308">
                  <c:v>458040</c:v>
                </c:pt>
                <c:pt idx="309">
                  <c:v>31230</c:v>
                </c:pt>
                <c:pt idx="310">
                  <c:v>492890</c:v>
                </c:pt>
                <c:pt idx="311">
                  <c:v>4951880</c:v>
                </c:pt>
                <c:pt idx="312">
                  <c:v>422770</c:v>
                </c:pt>
                <c:pt idx="313">
                  <c:v>471550</c:v>
                </c:pt>
                <c:pt idx="314">
                  <c:v>493100</c:v>
                </c:pt>
                <c:pt idx="315">
                  <c:v>32770</c:v>
                </c:pt>
                <c:pt idx="316">
                  <c:v>33370</c:v>
                </c:pt>
                <c:pt idx="317">
                  <c:v>33290</c:v>
                </c:pt>
                <c:pt idx="318">
                  <c:v>31350</c:v>
                </c:pt>
                <c:pt idx="319">
                  <c:v>4062620</c:v>
                </c:pt>
                <c:pt idx="320">
                  <c:v>4672170</c:v>
                </c:pt>
                <c:pt idx="321">
                  <c:v>33750</c:v>
                </c:pt>
                <c:pt idx="322">
                  <c:v>31040</c:v>
                </c:pt>
                <c:pt idx="323">
                  <c:v>36470</c:v>
                </c:pt>
                <c:pt idx="324">
                  <c:v>31200</c:v>
                </c:pt>
                <c:pt idx="325">
                  <c:v>384050</c:v>
                </c:pt>
                <c:pt idx="326">
                  <c:v>487120</c:v>
                </c:pt>
                <c:pt idx="327">
                  <c:v>4611710</c:v>
                </c:pt>
                <c:pt idx="328">
                  <c:v>302270</c:v>
                </c:pt>
                <c:pt idx="329">
                  <c:v>255750</c:v>
                </c:pt>
                <c:pt idx="330">
                  <c:v>371830</c:v>
                </c:pt>
                <c:pt idx="331">
                  <c:v>493750</c:v>
                </c:pt>
                <c:pt idx="332">
                  <c:v>407360</c:v>
                </c:pt>
                <c:pt idx="333">
                  <c:v>262680</c:v>
                </c:pt>
                <c:pt idx="334">
                  <c:v>4080130</c:v>
                </c:pt>
                <c:pt idx="335">
                  <c:v>490650</c:v>
                </c:pt>
                <c:pt idx="336">
                  <c:v>262560</c:v>
                </c:pt>
                <c:pt idx="337">
                  <c:v>2262240</c:v>
                </c:pt>
                <c:pt idx="338">
                  <c:v>354620</c:v>
                </c:pt>
                <c:pt idx="339">
                  <c:v>346810</c:v>
                </c:pt>
                <c:pt idx="340">
                  <c:v>268040</c:v>
                </c:pt>
                <c:pt idx="341">
                  <c:v>447580</c:v>
                </c:pt>
                <c:pt idx="342">
                  <c:v>293240</c:v>
                </c:pt>
                <c:pt idx="343">
                  <c:v>455400</c:v>
                </c:pt>
                <c:pt idx="344">
                  <c:v>451620</c:v>
                </c:pt>
                <c:pt idx="345">
                  <c:v>253470</c:v>
                </c:pt>
                <c:pt idx="346">
                  <c:v>459760</c:v>
                </c:pt>
                <c:pt idx="347">
                  <c:v>334490</c:v>
                </c:pt>
                <c:pt idx="348">
                  <c:v>4330520</c:v>
                </c:pt>
                <c:pt idx="349">
                  <c:v>372550</c:v>
                </c:pt>
                <c:pt idx="350">
                  <c:v>218040</c:v>
                </c:pt>
                <c:pt idx="351">
                  <c:v>304750</c:v>
                </c:pt>
                <c:pt idx="352">
                  <c:v>4673740</c:v>
                </c:pt>
                <c:pt idx="353">
                  <c:v>223240</c:v>
                </c:pt>
                <c:pt idx="354">
                  <c:v>4880550</c:v>
                </c:pt>
                <c:pt idx="355">
                  <c:v>4982880</c:v>
                </c:pt>
                <c:pt idx="356">
                  <c:v>335690</c:v>
                </c:pt>
                <c:pt idx="357">
                  <c:v>337610</c:v>
                </c:pt>
                <c:pt idx="358">
                  <c:v>315160</c:v>
                </c:pt>
                <c:pt idx="359">
                  <c:v>258880</c:v>
                </c:pt>
                <c:pt idx="360">
                  <c:v>4879050</c:v>
                </c:pt>
                <c:pt idx="361">
                  <c:v>4517900</c:v>
                </c:pt>
                <c:pt idx="362">
                  <c:v>4059510</c:v>
                </c:pt>
                <c:pt idx="363">
                  <c:v>420600</c:v>
                </c:pt>
                <c:pt idx="364">
                  <c:v>247030</c:v>
                </c:pt>
                <c:pt idx="365">
                  <c:v>254270</c:v>
                </c:pt>
                <c:pt idx="366">
                  <c:v>344300</c:v>
                </c:pt>
                <c:pt idx="367">
                  <c:v>457400</c:v>
                </c:pt>
                <c:pt idx="368">
                  <c:v>314630</c:v>
                </c:pt>
                <c:pt idx="369">
                  <c:v>403900</c:v>
                </c:pt>
                <c:pt idx="370">
                  <c:v>318940</c:v>
                </c:pt>
                <c:pt idx="371">
                  <c:v>345820</c:v>
                </c:pt>
                <c:pt idx="372">
                  <c:v>475420</c:v>
                </c:pt>
                <c:pt idx="373">
                  <c:v>307180</c:v>
                </c:pt>
                <c:pt idx="374">
                  <c:v>337680</c:v>
                </c:pt>
                <c:pt idx="375">
                  <c:v>234720</c:v>
                </c:pt>
                <c:pt idx="376">
                  <c:v>4996140</c:v>
                </c:pt>
                <c:pt idx="377">
                  <c:v>214640</c:v>
                </c:pt>
                <c:pt idx="378">
                  <c:v>4211080</c:v>
                </c:pt>
                <c:pt idx="379">
                  <c:v>247860</c:v>
                </c:pt>
                <c:pt idx="380">
                  <c:v>229830</c:v>
                </c:pt>
                <c:pt idx="381">
                  <c:v>399460</c:v>
                </c:pt>
                <c:pt idx="382">
                  <c:v>352720</c:v>
                </c:pt>
                <c:pt idx="383">
                  <c:v>297520</c:v>
                </c:pt>
                <c:pt idx="384">
                  <c:v>4531660</c:v>
                </c:pt>
                <c:pt idx="385">
                  <c:v>471240</c:v>
                </c:pt>
                <c:pt idx="386">
                  <c:v>4229320</c:v>
                </c:pt>
                <c:pt idx="387">
                  <c:v>4620700</c:v>
                </c:pt>
                <c:pt idx="388">
                  <c:v>307480</c:v>
                </c:pt>
                <c:pt idx="389">
                  <c:v>423590</c:v>
                </c:pt>
                <c:pt idx="390">
                  <c:v>276420</c:v>
                </c:pt>
                <c:pt idx="391">
                  <c:v>270730</c:v>
                </c:pt>
                <c:pt idx="392">
                  <c:v>319200</c:v>
                </c:pt>
                <c:pt idx="393">
                  <c:v>4250210</c:v>
                </c:pt>
                <c:pt idx="394">
                  <c:v>338300</c:v>
                </c:pt>
                <c:pt idx="395">
                  <c:v>344160</c:v>
                </c:pt>
                <c:pt idx="396">
                  <c:v>41820</c:v>
                </c:pt>
                <c:pt idx="397">
                  <c:v>21320</c:v>
                </c:pt>
                <c:pt idx="398">
                  <c:v>35390</c:v>
                </c:pt>
                <c:pt idx="399">
                  <c:v>31300</c:v>
                </c:pt>
                <c:pt idx="400">
                  <c:v>33140</c:v>
                </c:pt>
                <c:pt idx="401">
                  <c:v>37350</c:v>
                </c:pt>
                <c:pt idx="402">
                  <c:v>34190</c:v>
                </c:pt>
                <c:pt idx="403">
                  <c:v>40780</c:v>
                </c:pt>
                <c:pt idx="404">
                  <c:v>31620</c:v>
                </c:pt>
                <c:pt idx="405">
                  <c:v>494490</c:v>
                </c:pt>
                <c:pt idx="406">
                  <c:v>4927020</c:v>
                </c:pt>
                <c:pt idx="407">
                  <c:v>31490</c:v>
                </c:pt>
                <c:pt idx="408">
                  <c:v>423580</c:v>
                </c:pt>
                <c:pt idx="409">
                  <c:v>30970</c:v>
                </c:pt>
                <c:pt idx="410">
                  <c:v>461700</c:v>
                </c:pt>
                <c:pt idx="411">
                  <c:v>40120</c:v>
                </c:pt>
                <c:pt idx="412">
                  <c:v>30120</c:v>
                </c:pt>
                <c:pt idx="413">
                  <c:v>13417040</c:v>
                </c:pt>
                <c:pt idx="414">
                  <c:v>6976300</c:v>
                </c:pt>
                <c:pt idx="415">
                  <c:v>274140</c:v>
                </c:pt>
                <c:pt idx="416">
                  <c:v>462050</c:v>
                </c:pt>
                <c:pt idx="417">
                  <c:v>297220</c:v>
                </c:pt>
                <c:pt idx="418">
                  <c:v>4002900</c:v>
                </c:pt>
                <c:pt idx="419">
                  <c:v>283880</c:v>
                </c:pt>
                <c:pt idx="420">
                  <c:v>221870</c:v>
                </c:pt>
                <c:pt idx="421">
                  <c:v>4728180</c:v>
                </c:pt>
                <c:pt idx="422">
                  <c:v>217350</c:v>
                </c:pt>
                <c:pt idx="423">
                  <c:v>377140</c:v>
                </c:pt>
                <c:pt idx="424">
                  <c:v>469720</c:v>
                </c:pt>
                <c:pt idx="425">
                  <c:v>309030</c:v>
                </c:pt>
                <c:pt idx="426">
                  <c:v>495900</c:v>
                </c:pt>
                <c:pt idx="427">
                  <c:v>247110</c:v>
                </c:pt>
                <c:pt idx="428">
                  <c:v>448830</c:v>
                </c:pt>
                <c:pt idx="429">
                  <c:v>4497060</c:v>
                </c:pt>
                <c:pt idx="430">
                  <c:v>377400</c:v>
                </c:pt>
                <c:pt idx="431">
                  <c:v>370800</c:v>
                </c:pt>
                <c:pt idx="432">
                  <c:v>4648620</c:v>
                </c:pt>
                <c:pt idx="433">
                  <c:v>4232840</c:v>
                </c:pt>
                <c:pt idx="434">
                  <c:v>347860</c:v>
                </c:pt>
                <c:pt idx="435">
                  <c:v>342020</c:v>
                </c:pt>
                <c:pt idx="436">
                  <c:v>460310</c:v>
                </c:pt>
                <c:pt idx="437">
                  <c:v>270810</c:v>
                </c:pt>
                <c:pt idx="438">
                  <c:v>386860</c:v>
                </c:pt>
                <c:pt idx="439">
                  <c:v>263750</c:v>
                </c:pt>
                <c:pt idx="440">
                  <c:v>319680</c:v>
                </c:pt>
                <c:pt idx="441">
                  <c:v>471860</c:v>
                </c:pt>
                <c:pt idx="442">
                  <c:v>290660</c:v>
                </c:pt>
                <c:pt idx="443">
                  <c:v>300150</c:v>
                </c:pt>
                <c:pt idx="444">
                  <c:v>236150</c:v>
                </c:pt>
                <c:pt idx="445">
                  <c:v>484220</c:v>
                </c:pt>
                <c:pt idx="446">
                  <c:v>255870</c:v>
                </c:pt>
                <c:pt idx="447">
                  <c:v>347200</c:v>
                </c:pt>
                <c:pt idx="448">
                  <c:v>445290</c:v>
                </c:pt>
                <c:pt idx="449">
                  <c:v>383380</c:v>
                </c:pt>
                <c:pt idx="450">
                  <c:v>457640</c:v>
                </c:pt>
                <c:pt idx="451">
                  <c:v>303020</c:v>
                </c:pt>
                <c:pt idx="452">
                  <c:v>207730</c:v>
                </c:pt>
                <c:pt idx="453">
                  <c:v>308420</c:v>
                </c:pt>
                <c:pt idx="454">
                  <c:v>408590</c:v>
                </c:pt>
                <c:pt idx="455">
                  <c:v>438200</c:v>
                </c:pt>
                <c:pt idx="456">
                  <c:v>336050</c:v>
                </c:pt>
                <c:pt idx="457">
                  <c:v>454830</c:v>
                </c:pt>
                <c:pt idx="458">
                  <c:v>491000</c:v>
                </c:pt>
                <c:pt idx="459">
                  <c:v>415680</c:v>
                </c:pt>
                <c:pt idx="460">
                  <c:v>374850</c:v>
                </c:pt>
                <c:pt idx="461">
                  <c:v>325900</c:v>
                </c:pt>
                <c:pt idx="462">
                  <c:v>356110</c:v>
                </c:pt>
                <c:pt idx="463">
                  <c:v>419000</c:v>
                </c:pt>
                <c:pt idx="464">
                  <c:v>356860</c:v>
                </c:pt>
                <c:pt idx="465">
                  <c:v>491750</c:v>
                </c:pt>
                <c:pt idx="466">
                  <c:v>479490</c:v>
                </c:pt>
                <c:pt idx="467">
                  <c:v>4817700</c:v>
                </c:pt>
                <c:pt idx="468">
                  <c:v>314800</c:v>
                </c:pt>
                <c:pt idx="469">
                  <c:v>357640</c:v>
                </c:pt>
                <c:pt idx="470">
                  <c:v>450470</c:v>
                </c:pt>
                <c:pt idx="471">
                  <c:v>4275330</c:v>
                </c:pt>
                <c:pt idx="472">
                  <c:v>425000</c:v>
                </c:pt>
                <c:pt idx="473">
                  <c:v>399870</c:v>
                </c:pt>
                <c:pt idx="474">
                  <c:v>462420</c:v>
                </c:pt>
                <c:pt idx="475">
                  <c:v>4441560</c:v>
                </c:pt>
                <c:pt idx="476">
                  <c:v>473280</c:v>
                </c:pt>
                <c:pt idx="477">
                  <c:v>408230</c:v>
                </c:pt>
                <c:pt idx="478">
                  <c:v>331750</c:v>
                </c:pt>
                <c:pt idx="479">
                  <c:v>223880</c:v>
                </c:pt>
                <c:pt idx="480">
                  <c:v>12222570</c:v>
                </c:pt>
                <c:pt idx="481">
                  <c:v>285500</c:v>
                </c:pt>
                <c:pt idx="482">
                  <c:v>302180</c:v>
                </c:pt>
                <c:pt idx="483">
                  <c:v>367010</c:v>
                </c:pt>
                <c:pt idx="484">
                  <c:v>26260</c:v>
                </c:pt>
                <c:pt idx="485">
                  <c:v>39590</c:v>
                </c:pt>
                <c:pt idx="486">
                  <c:v>24260</c:v>
                </c:pt>
                <c:pt idx="487">
                  <c:v>25240</c:v>
                </c:pt>
                <c:pt idx="488">
                  <c:v>445560</c:v>
                </c:pt>
                <c:pt idx="489">
                  <c:v>2159450</c:v>
                </c:pt>
                <c:pt idx="490">
                  <c:v>15810</c:v>
                </c:pt>
                <c:pt idx="491">
                  <c:v>4050320</c:v>
                </c:pt>
                <c:pt idx="492">
                  <c:v>476400</c:v>
                </c:pt>
                <c:pt idx="493">
                  <c:v>24170</c:v>
                </c:pt>
                <c:pt idx="494">
                  <c:v>230900</c:v>
                </c:pt>
                <c:pt idx="495">
                  <c:v>245870</c:v>
                </c:pt>
                <c:pt idx="496">
                  <c:v>258400</c:v>
                </c:pt>
                <c:pt idx="497">
                  <c:v>391470</c:v>
                </c:pt>
                <c:pt idx="498">
                  <c:v>4463340</c:v>
                </c:pt>
                <c:pt idx="499">
                  <c:v>446670</c:v>
                </c:pt>
                <c:pt idx="500">
                  <c:v>284960</c:v>
                </c:pt>
                <c:pt idx="501">
                  <c:v>444500</c:v>
                </c:pt>
                <c:pt idx="502">
                  <c:v>373180</c:v>
                </c:pt>
                <c:pt idx="503">
                  <c:v>215460</c:v>
                </c:pt>
                <c:pt idx="504">
                  <c:v>231820</c:v>
                </c:pt>
                <c:pt idx="505">
                  <c:v>433600</c:v>
                </c:pt>
                <c:pt idx="506">
                  <c:v>6302410</c:v>
                </c:pt>
                <c:pt idx="507">
                  <c:v>4918360</c:v>
                </c:pt>
                <c:pt idx="508">
                  <c:v>488690</c:v>
                </c:pt>
                <c:pt idx="509">
                  <c:v>415690</c:v>
                </c:pt>
                <c:pt idx="510">
                  <c:v>497220</c:v>
                </c:pt>
                <c:pt idx="511">
                  <c:v>273650</c:v>
                </c:pt>
                <c:pt idx="512">
                  <c:v>430300</c:v>
                </c:pt>
                <c:pt idx="513">
                  <c:v>4924520</c:v>
                </c:pt>
                <c:pt idx="514">
                  <c:v>4823470</c:v>
                </c:pt>
                <c:pt idx="515">
                  <c:v>206810</c:v>
                </c:pt>
                <c:pt idx="516">
                  <c:v>434540</c:v>
                </c:pt>
                <c:pt idx="517">
                  <c:v>386590</c:v>
                </c:pt>
                <c:pt idx="518">
                  <c:v>250140</c:v>
                </c:pt>
                <c:pt idx="519">
                  <c:v>282660</c:v>
                </c:pt>
                <c:pt idx="520">
                  <c:v>501580</c:v>
                </c:pt>
                <c:pt idx="521">
                  <c:v>486120</c:v>
                </c:pt>
                <c:pt idx="522">
                  <c:v>448080</c:v>
                </c:pt>
                <c:pt idx="523">
                  <c:v>4363500</c:v>
                </c:pt>
                <c:pt idx="524">
                  <c:v>210400</c:v>
                </c:pt>
                <c:pt idx="525">
                  <c:v>208970</c:v>
                </c:pt>
                <c:pt idx="526">
                  <c:v>338270</c:v>
                </c:pt>
                <c:pt idx="527">
                  <c:v>373910</c:v>
                </c:pt>
                <c:pt idx="528">
                  <c:v>462870</c:v>
                </c:pt>
                <c:pt idx="529">
                  <c:v>352840</c:v>
                </c:pt>
                <c:pt idx="530">
                  <c:v>303440</c:v>
                </c:pt>
                <c:pt idx="531">
                  <c:v>492290</c:v>
                </c:pt>
                <c:pt idx="532">
                  <c:v>307090</c:v>
                </c:pt>
                <c:pt idx="533">
                  <c:v>4847720</c:v>
                </c:pt>
                <c:pt idx="534">
                  <c:v>434150</c:v>
                </c:pt>
                <c:pt idx="535">
                  <c:v>220400</c:v>
                </c:pt>
                <c:pt idx="536">
                  <c:v>35350</c:v>
                </c:pt>
                <c:pt idx="537">
                  <c:v>461940</c:v>
                </c:pt>
                <c:pt idx="538">
                  <c:v>36930</c:v>
                </c:pt>
                <c:pt idx="539">
                  <c:v>4651520</c:v>
                </c:pt>
                <c:pt idx="540">
                  <c:v>23120</c:v>
                </c:pt>
                <c:pt idx="541">
                  <c:v>427480</c:v>
                </c:pt>
                <c:pt idx="542">
                  <c:v>29260</c:v>
                </c:pt>
                <c:pt idx="543">
                  <c:v>6181180</c:v>
                </c:pt>
                <c:pt idx="544">
                  <c:v>41050</c:v>
                </c:pt>
                <c:pt idx="545">
                  <c:v>470540</c:v>
                </c:pt>
                <c:pt idx="546">
                  <c:v>37310</c:v>
                </c:pt>
                <c:pt idx="547">
                  <c:v>4724620</c:v>
                </c:pt>
                <c:pt idx="548">
                  <c:v>33250</c:v>
                </c:pt>
                <c:pt idx="549">
                  <c:v>41260</c:v>
                </c:pt>
                <c:pt idx="550">
                  <c:v>375630</c:v>
                </c:pt>
                <c:pt idx="551">
                  <c:v>258730</c:v>
                </c:pt>
                <c:pt idx="552">
                  <c:v>474250</c:v>
                </c:pt>
                <c:pt idx="553">
                  <c:v>469070</c:v>
                </c:pt>
                <c:pt idx="554">
                  <c:v>374000</c:v>
                </c:pt>
                <c:pt idx="555">
                  <c:v>309640</c:v>
                </c:pt>
                <c:pt idx="556">
                  <c:v>334090</c:v>
                </c:pt>
                <c:pt idx="557">
                  <c:v>390070</c:v>
                </c:pt>
                <c:pt idx="558">
                  <c:v>493930</c:v>
                </c:pt>
                <c:pt idx="559">
                  <c:v>331430</c:v>
                </c:pt>
                <c:pt idx="560">
                  <c:v>214780</c:v>
                </c:pt>
                <c:pt idx="561">
                  <c:v>391210</c:v>
                </c:pt>
                <c:pt idx="562">
                  <c:v>375580</c:v>
                </c:pt>
                <c:pt idx="563">
                  <c:v>42400</c:v>
                </c:pt>
                <c:pt idx="564">
                  <c:v>36250</c:v>
                </c:pt>
                <c:pt idx="565">
                  <c:v>36140</c:v>
                </c:pt>
                <c:pt idx="566">
                  <c:v>49630</c:v>
                </c:pt>
                <c:pt idx="567">
                  <c:v>37690</c:v>
                </c:pt>
                <c:pt idx="568">
                  <c:v>28720</c:v>
                </c:pt>
                <c:pt idx="569">
                  <c:v>28380</c:v>
                </c:pt>
                <c:pt idx="570">
                  <c:v>25650</c:v>
                </c:pt>
                <c:pt idx="571">
                  <c:v>40930</c:v>
                </c:pt>
                <c:pt idx="572">
                  <c:v>29840</c:v>
                </c:pt>
                <c:pt idx="573">
                  <c:v>328880</c:v>
                </c:pt>
                <c:pt idx="574">
                  <c:v>4474800</c:v>
                </c:pt>
                <c:pt idx="575">
                  <c:v>226040</c:v>
                </c:pt>
                <c:pt idx="576">
                  <c:v>287210</c:v>
                </c:pt>
                <c:pt idx="577">
                  <c:v>44400</c:v>
                </c:pt>
                <c:pt idx="578">
                  <c:v>364910</c:v>
                </c:pt>
                <c:pt idx="579">
                  <c:v>372850</c:v>
                </c:pt>
                <c:pt idx="580">
                  <c:v>2734330</c:v>
                </c:pt>
                <c:pt idx="581">
                  <c:v>252560</c:v>
                </c:pt>
                <c:pt idx="582">
                  <c:v>464250</c:v>
                </c:pt>
                <c:pt idx="583">
                  <c:v>314240</c:v>
                </c:pt>
                <c:pt idx="584">
                  <c:v>400060</c:v>
                </c:pt>
                <c:pt idx="585">
                  <c:v>353670</c:v>
                </c:pt>
                <c:pt idx="586">
                  <c:v>333210</c:v>
                </c:pt>
                <c:pt idx="587">
                  <c:v>319140</c:v>
                </c:pt>
                <c:pt idx="588">
                  <c:v>242190</c:v>
                </c:pt>
                <c:pt idx="589">
                  <c:v>213860</c:v>
                </c:pt>
                <c:pt idx="590">
                  <c:v>371640</c:v>
                </c:pt>
                <c:pt idx="591">
                  <c:v>340200</c:v>
                </c:pt>
                <c:pt idx="592">
                  <c:v>28400</c:v>
                </c:pt>
                <c:pt idx="593">
                  <c:v>339620</c:v>
                </c:pt>
                <c:pt idx="594">
                  <c:v>323830</c:v>
                </c:pt>
                <c:pt idx="595">
                  <c:v>37950</c:v>
                </c:pt>
                <c:pt idx="596">
                  <c:v>316680</c:v>
                </c:pt>
                <c:pt idx="597">
                  <c:v>455120</c:v>
                </c:pt>
                <c:pt idx="598">
                  <c:v>34770</c:v>
                </c:pt>
                <c:pt idx="599">
                  <c:v>496440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E5-47D3-85DD-0CF8BA0B7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381616"/>
        <c:axId val="1388382032"/>
      </c:scatterChart>
      <c:valAx>
        <c:axId val="138838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82032"/>
        <c:crosses val="autoZero"/>
        <c:crossBetween val="midCat"/>
      </c:valAx>
      <c:valAx>
        <c:axId val="13883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8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8'!$G$4</c:f>
              <c:strCache>
                <c:ptCount val="1"/>
                <c:pt idx="0">
                  <c:v>Value of transaction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 8'!$B$5:$B$47</c:f>
              <c:strCache>
                <c:ptCount val="43"/>
                <c:pt idx="0">
                  <c:v>CC714760</c:v>
                </c:pt>
                <c:pt idx="1">
                  <c:v>CC464231</c:v>
                </c:pt>
                <c:pt idx="2">
                  <c:v>CC117699</c:v>
                </c:pt>
                <c:pt idx="3">
                  <c:v>CC551324</c:v>
                </c:pt>
                <c:pt idx="4">
                  <c:v>CC609741</c:v>
                </c:pt>
                <c:pt idx="5">
                  <c:v>CC889005</c:v>
                </c:pt>
                <c:pt idx="6">
                  <c:v>CC758767</c:v>
                </c:pt>
                <c:pt idx="7">
                  <c:v>CC958168</c:v>
                </c:pt>
                <c:pt idx="8">
                  <c:v>CC504719</c:v>
                </c:pt>
                <c:pt idx="9">
                  <c:v>CC483508</c:v>
                </c:pt>
                <c:pt idx="10">
                  <c:v>CC158828</c:v>
                </c:pt>
                <c:pt idx="11">
                  <c:v>CC859081</c:v>
                </c:pt>
                <c:pt idx="12">
                  <c:v>CC816936</c:v>
                </c:pt>
                <c:pt idx="13">
                  <c:v>CC206586</c:v>
                </c:pt>
                <c:pt idx="14">
                  <c:v>CC404319</c:v>
                </c:pt>
                <c:pt idx="15">
                  <c:v>CC412329</c:v>
                </c:pt>
                <c:pt idx="16">
                  <c:v>CC508805</c:v>
                </c:pt>
                <c:pt idx="17">
                  <c:v>CC986010</c:v>
                </c:pt>
                <c:pt idx="18">
                  <c:v>CC214748</c:v>
                </c:pt>
                <c:pt idx="19">
                  <c:v>CC624674</c:v>
                </c:pt>
                <c:pt idx="20">
                  <c:v>CC862577</c:v>
                </c:pt>
                <c:pt idx="21">
                  <c:v>CC394417</c:v>
                </c:pt>
                <c:pt idx="22">
                  <c:v>CC998662</c:v>
                </c:pt>
                <c:pt idx="23">
                  <c:v>CC763477</c:v>
                </c:pt>
                <c:pt idx="24">
                  <c:v>CC805139</c:v>
                </c:pt>
                <c:pt idx="25">
                  <c:v>CC934820</c:v>
                </c:pt>
                <c:pt idx="26">
                  <c:v>CC332796</c:v>
                </c:pt>
                <c:pt idx="27">
                  <c:v>CC551461</c:v>
                </c:pt>
                <c:pt idx="28">
                  <c:v>CC245152</c:v>
                </c:pt>
                <c:pt idx="29">
                  <c:v>CC893209</c:v>
                </c:pt>
                <c:pt idx="30">
                  <c:v>CC962087</c:v>
                </c:pt>
                <c:pt idx="31">
                  <c:v>CC672893</c:v>
                </c:pt>
                <c:pt idx="32">
                  <c:v>CC951164</c:v>
                </c:pt>
                <c:pt idx="33">
                  <c:v>CC979929</c:v>
                </c:pt>
                <c:pt idx="34">
                  <c:v>CC992885</c:v>
                </c:pt>
                <c:pt idx="35">
                  <c:v>CC438197</c:v>
                </c:pt>
                <c:pt idx="36">
                  <c:v>CC544672</c:v>
                </c:pt>
                <c:pt idx="37">
                  <c:v>CC305363</c:v>
                </c:pt>
                <c:pt idx="38">
                  <c:v>CC383194</c:v>
                </c:pt>
                <c:pt idx="39">
                  <c:v>CC913406</c:v>
                </c:pt>
                <c:pt idx="40">
                  <c:v>CC554784</c:v>
                </c:pt>
                <c:pt idx="41">
                  <c:v>CC116382</c:v>
                </c:pt>
                <c:pt idx="42">
                  <c:v>CC498363</c:v>
                </c:pt>
              </c:strCache>
            </c:strRef>
          </c:cat>
          <c:val>
            <c:numRef>
              <c:f>'Test 8'!$G$5:$G$47</c:f>
              <c:numCache>
                <c:formatCode>_ * #,##0_ ;_ * \-#,##0_ ;_ * "-"??_ ;_ @_ </c:formatCode>
                <c:ptCount val="43"/>
                <c:pt idx="0">
                  <c:v>4279450</c:v>
                </c:pt>
                <c:pt idx="1">
                  <c:v>4951880</c:v>
                </c:pt>
                <c:pt idx="2">
                  <c:v>4672170</c:v>
                </c:pt>
                <c:pt idx="3">
                  <c:v>4062620</c:v>
                </c:pt>
                <c:pt idx="4">
                  <c:v>4611710</c:v>
                </c:pt>
                <c:pt idx="5">
                  <c:v>4080130</c:v>
                </c:pt>
                <c:pt idx="6">
                  <c:v>4330520</c:v>
                </c:pt>
                <c:pt idx="7">
                  <c:v>4673740</c:v>
                </c:pt>
                <c:pt idx="8">
                  <c:v>4059510</c:v>
                </c:pt>
                <c:pt idx="9">
                  <c:v>4211080</c:v>
                </c:pt>
                <c:pt idx="10">
                  <c:v>4250210</c:v>
                </c:pt>
                <c:pt idx="11">
                  <c:v>4927020</c:v>
                </c:pt>
                <c:pt idx="12">
                  <c:v>4728180</c:v>
                </c:pt>
                <c:pt idx="13">
                  <c:v>4497060</c:v>
                </c:pt>
                <c:pt idx="14">
                  <c:v>4648620</c:v>
                </c:pt>
                <c:pt idx="15">
                  <c:v>4232840</c:v>
                </c:pt>
                <c:pt idx="16">
                  <c:v>4817700</c:v>
                </c:pt>
                <c:pt idx="17">
                  <c:v>4275330</c:v>
                </c:pt>
                <c:pt idx="18">
                  <c:v>4441560</c:v>
                </c:pt>
                <c:pt idx="19">
                  <c:v>4050320</c:v>
                </c:pt>
                <c:pt idx="20">
                  <c:v>4918360</c:v>
                </c:pt>
                <c:pt idx="21">
                  <c:v>4463340</c:v>
                </c:pt>
                <c:pt idx="22">
                  <c:v>4823470</c:v>
                </c:pt>
                <c:pt idx="23">
                  <c:v>4924520</c:v>
                </c:pt>
                <c:pt idx="24">
                  <c:v>4363500</c:v>
                </c:pt>
                <c:pt idx="25">
                  <c:v>303440</c:v>
                </c:pt>
                <c:pt idx="26">
                  <c:v>4847720</c:v>
                </c:pt>
                <c:pt idx="27">
                  <c:v>36930</c:v>
                </c:pt>
                <c:pt idx="28">
                  <c:v>427480</c:v>
                </c:pt>
                <c:pt idx="29">
                  <c:v>29260</c:v>
                </c:pt>
                <c:pt idx="30">
                  <c:v>6181180</c:v>
                </c:pt>
                <c:pt idx="31">
                  <c:v>4651520</c:v>
                </c:pt>
                <c:pt idx="32">
                  <c:v>470540</c:v>
                </c:pt>
                <c:pt idx="33">
                  <c:v>474250</c:v>
                </c:pt>
                <c:pt idx="34">
                  <c:v>469070</c:v>
                </c:pt>
                <c:pt idx="35">
                  <c:v>331430</c:v>
                </c:pt>
                <c:pt idx="36">
                  <c:v>49630</c:v>
                </c:pt>
                <c:pt idx="37">
                  <c:v>287210</c:v>
                </c:pt>
                <c:pt idx="38">
                  <c:v>464250</c:v>
                </c:pt>
                <c:pt idx="39">
                  <c:v>372850</c:v>
                </c:pt>
                <c:pt idx="40">
                  <c:v>333210</c:v>
                </c:pt>
                <c:pt idx="41">
                  <c:v>340200</c:v>
                </c:pt>
                <c:pt idx="42">
                  <c:v>371640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8-4311-B531-FCD6ADE1B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0716191"/>
        <c:axId val="1610709951"/>
      </c:barChart>
      <c:lineChart>
        <c:grouping val="standard"/>
        <c:varyColors val="0"/>
        <c:ser>
          <c:idx val="1"/>
          <c:order val="1"/>
          <c:tx>
            <c:strRef>
              <c:f>'Test 8'!$H$4</c:f>
              <c:strCache>
                <c:ptCount val="1"/>
                <c:pt idx="0">
                  <c:v>No of days outstanding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'Test 8'!$B$5:$B$47</c:f>
              <c:strCache>
                <c:ptCount val="43"/>
                <c:pt idx="0">
                  <c:v>CC714760</c:v>
                </c:pt>
                <c:pt idx="1">
                  <c:v>CC464231</c:v>
                </c:pt>
                <c:pt idx="2">
                  <c:v>CC117699</c:v>
                </c:pt>
                <c:pt idx="3">
                  <c:v>CC551324</c:v>
                </c:pt>
                <c:pt idx="4">
                  <c:v>CC609741</c:v>
                </c:pt>
                <c:pt idx="5">
                  <c:v>CC889005</c:v>
                </c:pt>
                <c:pt idx="6">
                  <c:v>CC758767</c:v>
                </c:pt>
                <c:pt idx="7">
                  <c:v>CC958168</c:v>
                </c:pt>
                <c:pt idx="8">
                  <c:v>CC504719</c:v>
                </c:pt>
                <c:pt idx="9">
                  <c:v>CC483508</c:v>
                </c:pt>
                <c:pt idx="10">
                  <c:v>CC158828</c:v>
                </c:pt>
                <c:pt idx="11">
                  <c:v>CC859081</c:v>
                </c:pt>
                <c:pt idx="12">
                  <c:v>CC816936</c:v>
                </c:pt>
                <c:pt idx="13">
                  <c:v>CC206586</c:v>
                </c:pt>
                <c:pt idx="14">
                  <c:v>CC404319</c:v>
                </c:pt>
                <c:pt idx="15">
                  <c:v>CC412329</c:v>
                </c:pt>
                <c:pt idx="16">
                  <c:v>CC508805</c:v>
                </c:pt>
                <c:pt idx="17">
                  <c:v>CC986010</c:v>
                </c:pt>
                <c:pt idx="18">
                  <c:v>CC214748</c:v>
                </c:pt>
                <c:pt idx="19">
                  <c:v>CC624674</c:v>
                </c:pt>
                <c:pt idx="20">
                  <c:v>CC862577</c:v>
                </c:pt>
                <c:pt idx="21">
                  <c:v>CC394417</c:v>
                </c:pt>
                <c:pt idx="22">
                  <c:v>CC998662</c:v>
                </c:pt>
                <c:pt idx="23">
                  <c:v>CC763477</c:v>
                </c:pt>
                <c:pt idx="24">
                  <c:v>CC805139</c:v>
                </c:pt>
                <c:pt idx="25">
                  <c:v>CC934820</c:v>
                </c:pt>
                <c:pt idx="26">
                  <c:v>CC332796</c:v>
                </c:pt>
                <c:pt idx="27">
                  <c:v>CC551461</c:v>
                </c:pt>
                <c:pt idx="28">
                  <c:v>CC245152</c:v>
                </c:pt>
                <c:pt idx="29">
                  <c:v>CC893209</c:v>
                </c:pt>
                <c:pt idx="30">
                  <c:v>CC962087</c:v>
                </c:pt>
                <c:pt idx="31">
                  <c:v>CC672893</c:v>
                </c:pt>
                <c:pt idx="32">
                  <c:v>CC951164</c:v>
                </c:pt>
                <c:pt idx="33">
                  <c:v>CC979929</c:v>
                </c:pt>
                <c:pt idx="34">
                  <c:v>CC992885</c:v>
                </c:pt>
                <c:pt idx="35">
                  <c:v>CC438197</c:v>
                </c:pt>
                <c:pt idx="36">
                  <c:v>CC544672</c:v>
                </c:pt>
                <c:pt idx="37">
                  <c:v>CC305363</c:v>
                </c:pt>
                <c:pt idx="38">
                  <c:v>CC383194</c:v>
                </c:pt>
                <c:pt idx="39">
                  <c:v>CC913406</c:v>
                </c:pt>
                <c:pt idx="40">
                  <c:v>CC554784</c:v>
                </c:pt>
                <c:pt idx="41">
                  <c:v>CC116382</c:v>
                </c:pt>
                <c:pt idx="42">
                  <c:v>CC498363</c:v>
                </c:pt>
              </c:strCache>
            </c:strRef>
          </c:cat>
          <c:val>
            <c:numRef>
              <c:f>'Test 8'!$H$5:$H$47</c:f>
              <c:numCache>
                <c:formatCode>General</c:formatCode>
                <c:ptCount val="43"/>
                <c:pt idx="0">
                  <c:v>341</c:v>
                </c:pt>
                <c:pt idx="1">
                  <c:v>334</c:v>
                </c:pt>
                <c:pt idx="2">
                  <c:v>328</c:v>
                </c:pt>
                <c:pt idx="3">
                  <c:v>327</c:v>
                </c:pt>
                <c:pt idx="4">
                  <c:v>321</c:v>
                </c:pt>
                <c:pt idx="5">
                  <c:v>313</c:v>
                </c:pt>
                <c:pt idx="6">
                  <c:v>293</c:v>
                </c:pt>
                <c:pt idx="7">
                  <c:v>285</c:v>
                </c:pt>
                <c:pt idx="8">
                  <c:v>278</c:v>
                </c:pt>
                <c:pt idx="9">
                  <c:v>271</c:v>
                </c:pt>
                <c:pt idx="10">
                  <c:v>251</c:v>
                </c:pt>
                <c:pt idx="11">
                  <c:v>243</c:v>
                </c:pt>
                <c:pt idx="12">
                  <c:v>237</c:v>
                </c:pt>
                <c:pt idx="13">
                  <c:v>223</c:v>
                </c:pt>
                <c:pt idx="14">
                  <c:v>216</c:v>
                </c:pt>
                <c:pt idx="15">
                  <c:v>209</c:v>
                </c:pt>
                <c:pt idx="16">
                  <c:v>160</c:v>
                </c:pt>
                <c:pt idx="17">
                  <c:v>159</c:v>
                </c:pt>
                <c:pt idx="18">
                  <c:v>152</c:v>
                </c:pt>
                <c:pt idx="19">
                  <c:v>131</c:v>
                </c:pt>
                <c:pt idx="20">
                  <c:v>125</c:v>
                </c:pt>
                <c:pt idx="21">
                  <c:v>124</c:v>
                </c:pt>
                <c:pt idx="22">
                  <c:v>118</c:v>
                </c:pt>
                <c:pt idx="23">
                  <c:v>117</c:v>
                </c:pt>
                <c:pt idx="24">
                  <c:v>103</c:v>
                </c:pt>
                <c:pt idx="25">
                  <c:v>94</c:v>
                </c:pt>
                <c:pt idx="26">
                  <c:v>89</c:v>
                </c:pt>
                <c:pt idx="27">
                  <c:v>88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83</c:v>
                </c:pt>
                <c:pt idx="32">
                  <c:v>83</c:v>
                </c:pt>
                <c:pt idx="33">
                  <c:v>76</c:v>
                </c:pt>
                <c:pt idx="34">
                  <c:v>74</c:v>
                </c:pt>
                <c:pt idx="35">
                  <c:v>70</c:v>
                </c:pt>
                <c:pt idx="36">
                  <c:v>60</c:v>
                </c:pt>
                <c:pt idx="37">
                  <c:v>50</c:v>
                </c:pt>
                <c:pt idx="38">
                  <c:v>46</c:v>
                </c:pt>
                <c:pt idx="39">
                  <c:v>46</c:v>
                </c:pt>
                <c:pt idx="40">
                  <c:v>35</c:v>
                </c:pt>
                <c:pt idx="41">
                  <c:v>32</c:v>
                </c:pt>
                <c:pt idx="42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8-4311-B531-FCD6ADE1B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3423055"/>
        <c:axId val="1893405167"/>
      </c:lineChart>
      <c:catAx>
        <c:axId val="161071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709951"/>
        <c:crosses val="autoZero"/>
        <c:auto val="1"/>
        <c:lblAlgn val="ctr"/>
        <c:lblOffset val="100"/>
        <c:noMultiLvlLbl val="0"/>
      </c:catAx>
      <c:valAx>
        <c:axId val="161070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716191"/>
        <c:crosses val="autoZero"/>
        <c:crossBetween val="between"/>
      </c:valAx>
      <c:valAx>
        <c:axId val="18934051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23055"/>
        <c:crosses val="max"/>
        <c:crossBetween val="between"/>
      </c:valAx>
      <c:catAx>
        <c:axId val="1893423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34051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78315</xdr:colOff>
      <xdr:row>5</xdr:row>
      <xdr:rowOff>705</xdr:rowOff>
    </xdr:from>
    <xdr:to>
      <xdr:col>7</xdr:col>
      <xdr:colOff>1418165</xdr:colOff>
      <xdr:row>18</xdr:row>
      <xdr:rowOff>197555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724352</xdr:colOff>
      <xdr:row>51</xdr:row>
      <xdr:rowOff>78467</xdr:rowOff>
    </xdr:from>
    <xdr:to>
      <xdr:col>13</xdr:col>
      <xdr:colOff>340178</xdr:colOff>
      <xdr:row>66</xdr:row>
      <xdr:rowOff>136072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%20Analysis%20of%20RITCS%20Ltd.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Final%20Data%20Analysis%20of%20RITCS%20Ltd.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Final%20Data%20Analysis%20of%20RITCS%20Ltd.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Final%20Data%20Analysis%20of%20RITCS%20Ltd.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microsoft.com/office/2006/relationships/xlExternalLinkPath/xlPathMissing" Target="Final%20Data%20Analysis%20of%20RITCS%20Ltd.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Final%20Data%20Analysis%20of%20RITCS%20Ltd..xlsx" TargetMode="External"/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306.91192233796" createdVersion="6" refreshedVersion="6" minRefreshableVersion="3" recordCount="600">
  <cacheSource type="worksheet">
    <worksheetSource ref="B4:N604" sheet="Test 1,2,3" r:id="rId2"/>
  </cacheSource>
  <cacheFields count="15">
    <cacheField name="S. No." numFmtId="0">
      <sharedItems containsSemiMixedTypes="0" containsString="0" containsNumber="1" containsInteger="1" minValue="1" maxValue="600"/>
    </cacheField>
    <cacheField name="Transaction Id" numFmtId="0">
      <sharedItems/>
    </cacheField>
    <cacheField name=" Invoice Number" numFmtId="0">
      <sharedItems containsSemiMixedTypes="0" containsString="0" containsNumber="1" containsInteger="1" minValue="20211" maxValue="2122341"/>
    </cacheField>
    <cacheField name="Unique Contract No." numFmtId="0">
      <sharedItems/>
    </cacheField>
    <cacheField name=" Customer Id" numFmtId="0">
      <sharedItems/>
    </cacheField>
    <cacheField name=" Invoice Date" numFmtId="14">
      <sharedItems containsSemiMixedTypes="0" containsNonDate="0" containsDate="1" containsString="0" minDate="2020-04-01T00:00:00" maxDate="2022-03-22T00:00:00" count="379">
        <d v="2020-04-01T00:00:00"/>
        <d v="2020-04-03T00:00:00"/>
        <d v="2020-04-04T00:00:00"/>
        <d v="2020-04-07T00:00:00"/>
        <d v="2020-04-08T00:00:00"/>
        <d v="2020-04-09T00:00:00"/>
        <d v="2020-04-11T00:00:00"/>
        <d v="2020-04-16T00:00:00"/>
        <d v="2020-04-18T00:00:00"/>
        <d v="2020-04-21T00:00:00"/>
        <d v="2020-04-22T00:00:00"/>
        <d v="2020-04-24T00:00:00"/>
        <d v="2020-04-25T00:00:00"/>
        <d v="2020-04-27T00:00:00"/>
        <d v="2020-04-28T00:00:00"/>
        <d v="2020-05-01T00:00:00"/>
        <d v="2020-05-04T00:00:00"/>
        <d v="2020-05-05T00:00:00"/>
        <d v="2020-05-06T00:00:00"/>
        <d v="2020-05-07T00:00:00"/>
        <d v="2020-05-09T00:00:00"/>
        <d v="2020-05-11T00:00:00"/>
        <d v="2020-05-14T00:00:00"/>
        <d v="2020-05-15T00:00:00"/>
        <d v="2020-05-18T00:00:00"/>
        <d v="2020-05-19T00:00:00"/>
        <d v="2020-05-22T00:00:00"/>
        <d v="2020-05-23T00:00:00"/>
        <d v="2020-05-25T00:00:00"/>
        <d v="2020-05-28T00:00:00"/>
        <d v="2020-05-29T00:00:00"/>
        <d v="2020-05-30T00:00:00"/>
        <d v="2020-06-01T00:00:00"/>
        <d v="2020-06-02T00:00:00"/>
        <d v="2020-06-05T00:00:00"/>
        <d v="2020-06-06T00:00:00"/>
        <d v="2020-06-08T00:00:00"/>
        <d v="2020-06-09T00:00:00"/>
        <d v="2020-06-11T00:00:00"/>
        <d v="2020-06-12T00:00:00"/>
        <d v="2020-06-15T00:00:00"/>
        <d v="2020-06-18T00:00:00"/>
        <d v="2020-06-19T00:00:00"/>
        <d v="2020-06-23T00:00:00"/>
        <d v="2020-06-24T00:00:00"/>
        <d v="2020-06-27T00:00:00"/>
        <d v="2020-06-29T00:00:00"/>
        <d v="2020-06-30T00:00:00"/>
        <d v="2020-07-03T00:00:00"/>
        <d v="2020-07-06T00:00:00"/>
        <d v="2020-07-07T00:00:00"/>
        <d v="2020-07-08T00:00:00"/>
        <d v="2020-07-09T00:00:00"/>
        <d v="2020-07-11T00:00:00"/>
        <d v="2020-07-13T00:00:00"/>
        <d v="2020-07-15T00:00:00"/>
        <d v="2020-07-16T00:00:00"/>
        <d v="2020-07-17T00:00:00"/>
        <d v="2020-07-18T00:00:00"/>
        <d v="2020-07-20T00:00:00"/>
        <d v="2020-07-22T00:00:00"/>
        <d v="2020-07-23T00:00:00"/>
        <d v="2020-07-27T00:00:00"/>
        <d v="2020-07-28T00:00:00"/>
        <d v="2020-07-29T00:00:00"/>
        <d v="2020-08-01T00:00:00"/>
        <d v="2020-08-03T00:00:00"/>
        <d v="2020-08-05T00:00:00"/>
        <d v="2020-08-07T00:00:00"/>
        <d v="2020-08-12T00:00:00"/>
        <d v="2020-08-14T00:00:00"/>
        <d v="2020-08-17T00:00:00"/>
        <d v="2020-08-18T00:00:00"/>
        <d v="2020-08-19T00:00:00"/>
        <d v="2020-08-20T00:00:00"/>
        <d v="2020-08-26T00:00:00"/>
        <d v="2020-08-27T00:00:00"/>
        <d v="2020-08-31T00:00:00"/>
        <d v="2020-09-01T00:00:00"/>
        <d v="2020-09-04T00:00:00"/>
        <d v="2020-09-07T00:00:00"/>
        <d v="2020-09-08T00:00:00"/>
        <d v="2020-09-09T00:00:00"/>
        <d v="2020-09-11T00:00:00"/>
        <d v="2020-09-16T00:00:00"/>
        <d v="2020-09-18T00:00:00"/>
        <d v="2020-09-19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9T00:00:00"/>
        <d v="2020-10-10T00:00:00"/>
        <d v="2020-10-12T00:00:00"/>
        <d v="2020-10-16T00:00:00"/>
        <d v="2020-10-17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1T00:00:00"/>
        <d v="2020-11-05T00:00:00"/>
        <d v="2020-11-06T00:00:00"/>
        <d v="2020-11-07T00:00:00"/>
        <d v="2020-11-13T00:00:00"/>
        <d v="2020-11-18T00:00:00"/>
        <d v="2020-11-19T00:00:00"/>
        <d v="2020-11-20T00:00:00"/>
        <d v="2020-11-25T00:00:00"/>
        <d v="2020-11-26T00:00:00"/>
        <d v="2020-11-27T00:00:00"/>
        <d v="2020-11-28T00:00:00"/>
        <d v="2020-11-30T00:00:00"/>
        <d v="2020-12-05T00:00:00"/>
        <d v="2020-12-07T00:00:00"/>
        <d v="2020-12-08T00:00:00"/>
        <d v="2020-12-17T00:00:00"/>
        <d v="2020-12-18T00:00:00"/>
        <d v="2020-12-21T00:00:00"/>
        <d v="2020-12-22T00:00:00"/>
        <d v="2020-12-28T00:00:00"/>
        <d v="2020-12-31T00:00:00"/>
        <d v="2021-01-01T00:00:00"/>
        <d v="2021-01-07T00:00:00"/>
        <d v="2021-01-09T00:00:00"/>
        <d v="2021-01-15T00:00:00"/>
        <d v="2021-01-16T00:00:00"/>
        <d v="2021-01-18T00:00:00"/>
        <d v="2021-01-22T00:00:00"/>
        <d v="2021-01-23T00:00:00"/>
        <d v="2021-01-25T00:00:00"/>
        <d v="2021-01-27T00:00:00"/>
        <d v="2021-01-29T00:00:00"/>
        <d v="2021-02-02T00:00:00"/>
        <d v="2021-02-03T00:00:00"/>
        <d v="2021-02-04T00:00:00"/>
        <d v="2021-02-05T00:00:00"/>
        <d v="2021-02-08T00:00:00"/>
        <d v="2021-02-12T00:00:00"/>
        <d v="2021-02-13T00:00:00"/>
        <d v="2021-02-15T00:00:00"/>
        <d v="2021-02-18T00:00:00"/>
        <d v="2021-02-20T00:00:00"/>
        <d v="2021-02-23T00:00:00"/>
        <d v="2021-02-24T00:00:00"/>
        <d v="2021-02-27T00:00:00"/>
        <d v="2021-03-01T00:00:00"/>
        <d v="2021-03-02T00:00:00"/>
        <d v="2021-03-09T00:00:00"/>
        <d v="2021-03-10T00:00:00"/>
        <d v="2021-03-11T00:00:00"/>
        <d v="2021-03-12T00:00:00"/>
        <d v="2021-03-13T00:00:00"/>
        <d v="2021-03-15T00:00:00"/>
        <d v="2021-03-17T00:00:00"/>
        <d v="2021-03-18T00:00:00"/>
        <d v="2021-03-23T00:00:00"/>
        <d v="2021-03-24T00:00:00"/>
        <d v="2021-03-25T00:00:00"/>
        <d v="2021-03-31T00:00:00"/>
        <d v="2021-04-01T00:00:00"/>
        <d v="2021-04-03T00:00:00"/>
        <d v="2021-04-05T00:00:00"/>
        <d v="2021-04-06T00:00:00"/>
        <d v="2021-04-07T00:00:00"/>
        <d v="2021-04-08T00:00:00"/>
        <d v="2021-04-09T00:00:00"/>
        <d v="2021-04-12T00:00:00"/>
        <d v="2021-04-14T00:00:00"/>
        <d v="2021-04-16T00:00:00"/>
        <d v="2021-04-17T00:00:00"/>
        <d v="2021-04-19T00:00:00"/>
        <d v="2021-04-20T00:00:00"/>
        <d v="2021-04-22T00:00:00"/>
        <d v="2021-04-23T00:00:00"/>
        <d v="2021-04-26T00:00:00"/>
        <d v="2021-04-27T00:00:00"/>
        <d v="2021-04-29T00:00:00"/>
        <d v="2021-04-30T00:00:00"/>
        <d v="2021-05-01T00:00:00"/>
        <d v="2021-05-03T00:00:00"/>
        <d v="2021-05-05T00:00:00"/>
        <d v="2021-05-06T00:00:00"/>
        <d v="2021-05-07T00:00:00"/>
        <d v="2021-05-09T00:00:00"/>
        <d v="2021-05-10T00:00:00"/>
        <d v="2021-05-11T00:00:00"/>
        <d v="2021-05-12T00:00:00"/>
        <d v="2021-05-13T00:00:00"/>
        <d v="2021-05-15T00:00:00"/>
        <d v="2021-05-17T00:00:00"/>
        <d v="2021-05-16T00:00:00"/>
        <d v="2021-05-18T00:00:00"/>
        <d v="2021-05-19T00:00:00"/>
        <d v="2021-05-21T00:00:00"/>
        <d v="2021-05-23T00:00:00"/>
        <d v="2021-05-22T00:00:00"/>
        <d v="2021-05-24T00:00:00"/>
        <d v="2021-05-28T00:00:00"/>
        <d v="2021-05-29T00:00:00"/>
        <d v="2021-05-31T00:00:00"/>
        <d v="2021-06-01T00:00:00"/>
        <d v="2021-06-03T00:00:00"/>
        <d v="2021-06-06T00:00:00"/>
        <d v="2021-06-04T00:00:00"/>
        <d v="2021-06-05T00:00:00"/>
        <d v="2021-06-09T00:00:00"/>
        <d v="2021-06-10T00:00:00"/>
        <d v="2021-06-14T00:00:00"/>
        <d v="2021-06-17T00:00:00"/>
        <d v="2021-06-18T00:00:00"/>
        <d v="2021-06-19T00:00:00"/>
        <d v="2021-06-21T00:00:00"/>
        <d v="2021-06-24T00:00:00"/>
        <d v="2021-06-26T00:00:00"/>
        <d v="2021-06-29T00:00:00"/>
        <d v="2021-06-30T00:00:00"/>
        <d v="2021-07-04T00:00:00"/>
        <d v="2021-07-02T00:00:00"/>
        <d v="2021-07-03T00:00:00"/>
        <d v="2021-07-05T00:00:00"/>
        <d v="2021-07-06T00:00:00"/>
        <d v="2021-07-07T00:00:00"/>
        <d v="2021-07-11T00:00:00"/>
        <d v="2021-07-08T00:00:00"/>
        <d v="2021-07-09T00:00:00"/>
        <d v="2021-07-10T00:00:00"/>
        <d v="2021-07-12T00:00:00"/>
        <d v="2021-07-14T00:00:00"/>
        <d v="2021-07-19T00:00:00"/>
        <d v="2021-07-18T00:00:00"/>
        <d v="2021-07-20T00:00:00"/>
        <d v="2021-07-21T00:00:00"/>
        <d v="2021-07-22T00:00:00"/>
        <d v="2021-07-24T00:00:00"/>
        <d v="2021-07-28T00:00:00"/>
        <d v="2021-07-29T00:00:00"/>
        <d v="2021-08-02T00:00:00"/>
        <d v="2021-08-03T00:00:00"/>
        <d v="2021-08-07T00:00:00"/>
        <d v="2021-08-04T00:00:00"/>
        <d v="2021-08-05T00:00:00"/>
        <d v="2021-08-06T00:00:00"/>
        <d v="2021-08-09T00:00:00"/>
        <d v="2021-08-10T00:00:00"/>
        <d v="2021-08-11T00:00:00"/>
        <d v="2021-08-15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1T00:00:00"/>
        <d v="2021-08-24T00:00:00"/>
        <d v="2021-08-27T00:00:00"/>
        <d v="2021-08-28T00:00:00"/>
        <d v="2021-08-31T00:00:00"/>
        <d v="2021-09-01T00:00:00"/>
        <d v="2021-09-04T00:00:00"/>
        <d v="2021-09-06T00:00:00"/>
        <d v="2021-09-09T00:00:00"/>
        <d v="2021-09-11T00:00:00"/>
        <d v="2021-09-18T00:00:00"/>
        <d v="2021-09-17T00:00:00"/>
        <d v="2021-09-21T00:00:00"/>
        <d v="2021-09-22T00:00:00"/>
        <d v="2021-09-24T00:00:00"/>
        <d v="2021-09-28T00:00:00"/>
        <d v="2021-10-02T00:00:00"/>
        <d v="2021-10-05T00:00:00"/>
        <d v="2021-10-08T00:00:00"/>
        <d v="2021-10-09T00:00:00"/>
        <d v="2021-10-11T00:00:00"/>
        <d v="2021-10-16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30T00:00:00"/>
        <d v="2021-11-03T00:00:00"/>
        <d v="2021-11-06T00:00:00"/>
        <d v="2021-11-08T00:00:00"/>
        <d v="2021-11-09T00:00:00"/>
        <d v="2021-11-07T00:00:00"/>
        <d v="2021-11-10T00:00:00"/>
        <d v="2021-11-11T00:00:00"/>
        <d v="2021-11-14T00:00:00"/>
        <d v="2021-11-12T00:00:00"/>
        <d v="2021-11-13T00:00:00"/>
        <d v="2021-11-19T00:00:00"/>
        <d v="2021-11-23T00:00:00"/>
        <d v="2021-11-25T00:00:00"/>
        <d v="2021-11-26T00:00:00"/>
        <d v="2021-11-27T00:00:00"/>
        <d v="2021-11-29T00:00:00"/>
        <d v="2021-12-01T00:00:00"/>
        <d v="2021-12-03T00:00:00"/>
        <d v="2021-12-05T00:00:00"/>
        <d v="2021-12-04T00:00:00"/>
        <d v="2021-12-06T00:00:00"/>
        <d v="2021-12-07T00:00:00"/>
        <d v="2021-12-08T00:00:00"/>
        <d v="2021-12-09T00:00:00"/>
        <d v="2021-12-12T00:00:00"/>
        <d v="2021-12-11T00:00:00"/>
        <d v="2021-12-13T00:00:00"/>
        <d v="2021-12-14T00:00:00"/>
        <d v="2021-12-17T00:00:00"/>
        <d v="2021-12-18T00:00:00"/>
        <d v="2021-12-20T00:00:00"/>
        <d v="2021-12-19T00:00:00"/>
        <d v="2021-12-21T00:00:00"/>
        <d v="2021-12-22T00:00:00"/>
        <d v="2021-12-23T00:00:00"/>
        <d v="2021-12-27T00:00:00"/>
        <d v="2021-12-28T00:00:00"/>
        <d v="2022-01-02T00:00:00"/>
        <d v="2022-01-03T00:00:00"/>
        <d v="2022-01-06T00:00:00"/>
        <d v="2022-01-10T00:00:00"/>
        <d v="2022-01-11T00:00:00"/>
        <d v="2022-01-12T00:00:00"/>
        <d v="2022-01-16T00:00:00"/>
        <d v="2022-01-13T00:00:00"/>
        <d v="2022-01-14T00:00:00"/>
        <d v="2022-01-15T00:00:00"/>
        <d v="2022-01-17T00:00:00"/>
        <d v="2022-01-22T00:00:00"/>
        <d v="2022-01-19T00:00:00"/>
        <d v="2022-01-20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2T00:00:00"/>
        <d v="2022-02-03T00:00:00"/>
        <d v="2022-02-04T00:00:00"/>
        <d v="2022-02-07T00:00:00"/>
        <d v="2022-02-08T00:00:00"/>
        <d v="2022-02-10T00:00:00"/>
        <d v="2022-02-12T00:00:00"/>
        <d v="2022-02-14T00:00:00"/>
        <d v="2022-02-15T00:00:00"/>
        <d v="2022-02-16T00:00:00"/>
        <d v="2022-02-18T00:00:00"/>
        <d v="2022-02-19T00:00:00"/>
        <d v="2022-02-21T00:00:00"/>
        <d v="2022-02-24T00:00:00"/>
        <d v="2022-02-26T00:00:00"/>
        <d v="2022-02-28T00:00:00"/>
        <d v="2022-03-02T00:00:00"/>
        <d v="2022-03-03T00:00:00"/>
        <d v="2022-03-04T00:00:00"/>
        <d v="2022-03-11T00:00:00"/>
        <d v="2022-03-12T00:00:00"/>
        <d v="2022-03-14T00:00:00"/>
        <d v="2022-03-17T00:00:00"/>
        <d v="2022-03-18T00:00:00"/>
        <d v="2022-03-19T00:00:00"/>
        <d v="2022-03-21T00:00:00"/>
      </sharedItems>
      <fieldGroup par="14" base="5">
        <rangePr groupBy="months" startDate="2020-04-01T00:00:00" endDate="2022-03-22T00:00:00"/>
        <groupItems count="14">
          <s v="&lt;01-04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03-2022"/>
        </groupItems>
      </fieldGroup>
    </cacheField>
    <cacheField name=" Posted Timestamp" numFmtId="164">
      <sharedItems containsSemiMixedTypes="0" containsNonDate="0" containsDate="1" containsString="0" minDate="1899-12-30T10:00:16" maxDate="1899-12-30T19:54:02"/>
    </cacheField>
    <cacheField name=" Service Period" numFmtId="0">
      <sharedItems/>
    </cacheField>
    <cacheField name=" Recorded Revenue" numFmtId="165">
      <sharedItems containsSemiMixedTypes="0" containsString="0" containsNumber="1" containsInteger="1" minValue="15810" maxValue="13558220" count="597">
        <n v="483830"/>
        <n v="462100"/>
        <n v="372600"/>
        <n v="34370"/>
        <n v="24190"/>
        <n v="4841510"/>
        <n v="469180"/>
        <n v="480710"/>
        <n v="343170"/>
        <n v="474940"/>
        <n v="50900"/>
        <n v="335080"/>
        <n v="501490"/>
        <n v="209260"/>
        <n v="317130"/>
        <n v="42850"/>
        <n v="477910"/>
        <n v="345580"/>
        <n v="337140"/>
        <n v="477620"/>
        <n v="453890"/>
        <n v="230560"/>
        <n v="207690"/>
        <n v="498780"/>
        <n v="265850"/>
        <n v="23290"/>
        <n v="432790"/>
        <n v="4762260"/>
        <n v="311700"/>
        <n v="209420"/>
        <n v="225520"/>
        <n v="480420"/>
        <n v="349080"/>
        <n v="309420"/>
        <n v="431890"/>
        <n v="21840"/>
        <n v="27450"/>
        <n v="440720"/>
        <n v="294900"/>
        <n v="5778120"/>
        <n v="401950"/>
        <n v="429800"/>
        <n v="463750"/>
        <n v="302650"/>
        <n v="427510"/>
        <n v="386240"/>
        <n v="206890"/>
        <n v="492690"/>
        <n v="482570"/>
        <n v="46890"/>
        <n v="484460"/>
        <n v="290140"/>
        <n v="482140"/>
        <n v="244360"/>
        <n v="261450"/>
        <n v="10223320"/>
        <n v="390450"/>
        <n v="202860"/>
        <n v="204100"/>
        <n v="265580"/>
        <n v="285470"/>
        <n v="205720"/>
        <n v="31860"/>
        <n v="258480"/>
        <n v="205220"/>
        <n v="434440"/>
        <n v="433740"/>
        <n v="484610"/>
        <n v="309040"/>
        <n v="350710"/>
        <n v="317450"/>
        <n v="4374900"/>
        <n v="379870"/>
        <n v="415470"/>
        <n v="451520"/>
        <n v="453330"/>
        <n v="343940"/>
        <n v="369380"/>
        <n v="242400"/>
        <n v="343980"/>
        <n v="337370"/>
        <n v="393430"/>
        <n v="404010"/>
        <n v="448370"/>
        <n v="426610"/>
        <n v="400810"/>
        <n v="234150"/>
        <n v="402860"/>
        <n v="408480"/>
        <n v="6075310"/>
        <n v="448330"/>
        <n v="381310"/>
        <n v="35360"/>
        <n v="336830"/>
        <n v="452640"/>
        <n v="363210"/>
        <n v="459610"/>
        <n v="468940"/>
        <n v="386980"/>
        <n v="384860"/>
        <n v="476490"/>
        <n v="221320"/>
        <n v="361170"/>
        <n v="468930"/>
        <n v="425960"/>
        <n v="489420"/>
        <n v="487730"/>
        <n v="5435440"/>
        <n v="228310"/>
        <n v="231130"/>
        <n v="309860"/>
        <n v="469290"/>
        <n v="485210"/>
        <n v="336440"/>
        <n v="230600"/>
        <n v="442130"/>
        <n v="347590"/>
        <n v="484270"/>
        <n v="371400"/>
        <n v="413860"/>
        <n v="496390"/>
        <n v="265640"/>
        <n v="287540"/>
        <n v="320190"/>
        <n v="31200"/>
        <n v="261830"/>
        <n v="409610"/>
        <n v="436450"/>
        <n v="396810"/>
        <n v="357630"/>
        <n v="257380"/>
        <n v="260190"/>
        <n v="425730"/>
        <n v="499520"/>
        <n v="344930"/>
        <n v="272690"/>
        <n v="253760"/>
        <n v="361660"/>
        <n v="325730"/>
        <n v="343420"/>
        <n v="413230"/>
        <n v="287450"/>
        <n v="465230"/>
        <n v="459200"/>
        <n v="363610"/>
        <n v="324490"/>
        <n v="477100"/>
        <n v="277730"/>
        <n v="338510"/>
        <n v="494440"/>
        <n v="354520"/>
        <n v="236430"/>
        <n v="269550"/>
        <n v="4699400"/>
        <n v="40290"/>
        <n v="427530"/>
        <n v="375010"/>
        <n v="233840"/>
        <n v="486560"/>
        <n v="394840"/>
        <n v="496620"/>
        <n v="423630"/>
        <n v="342230"/>
        <n v="313120"/>
        <n v="482500"/>
        <n v="228570"/>
        <n v="374680"/>
        <n v="270290"/>
        <n v="230290"/>
        <n v="204300"/>
        <n v="429430"/>
        <n v="208840"/>
        <n v="459190"/>
        <n v="356940"/>
        <n v="205260"/>
        <n v="397250"/>
        <n v="473010"/>
        <n v="497830"/>
        <n v="260110"/>
        <n v="270080"/>
        <n v="422330"/>
        <n v="252510"/>
        <n v="376120"/>
        <n v="367080"/>
        <n v="39110"/>
        <n v="246800"/>
        <n v="339230"/>
        <n v="359950"/>
        <n v="342950"/>
        <n v="406180"/>
        <n v="5702060"/>
        <n v="307890"/>
        <n v="391680"/>
        <n v="13558220"/>
        <n v="271590"/>
        <n v="334350"/>
        <n v="352880"/>
        <n v="416270"/>
        <n v="430910"/>
        <n v="261940"/>
        <n v="221470"/>
        <n v="420990"/>
        <n v="2125810"/>
        <n v="460950"/>
        <n v="497450"/>
        <n v="325300"/>
        <n v="449520"/>
        <n v="237540"/>
        <n v="260730"/>
        <n v="369470"/>
        <n v="395500"/>
        <n v="374810"/>
        <n v="433570"/>
        <n v="302470"/>
        <n v="388980"/>
        <n v="21830"/>
        <n v="434470"/>
        <n v="359170"/>
        <n v="464740"/>
        <n v="343880"/>
        <n v="464470"/>
        <n v="207340"/>
        <n v="235030"/>
        <n v="289800"/>
        <n v="452530"/>
        <n v="461930"/>
        <n v="380650"/>
        <n v="362410"/>
        <n v="6899270"/>
        <n v="417340"/>
        <n v="214490"/>
        <n v="395980"/>
        <n v="278800"/>
        <n v="431320"/>
        <n v="216430"/>
        <n v="201920"/>
        <n v="383620"/>
        <n v="495540"/>
        <n v="285080"/>
        <n v="441790"/>
        <n v="339640"/>
        <n v="494660"/>
        <n v="463590"/>
        <n v="474470"/>
        <n v="236850"/>
        <n v="37380"/>
        <n v="474250"/>
        <n v="322680"/>
        <n v="245600"/>
        <n v="276510"/>
        <n v="290150"/>
        <n v="215830"/>
        <n v="310790"/>
        <n v="275200"/>
        <n v="347560"/>
        <n v="463330"/>
        <n v="237420"/>
        <n v="367870"/>
        <n v="10252420"/>
        <n v="277050"/>
        <n v="234800"/>
        <n v="491400"/>
        <n v="203540"/>
        <n v="255220"/>
        <n v="233510"/>
        <n v="287430"/>
        <n v="448190"/>
        <n v="443830"/>
        <n v="322290"/>
        <n v="202040"/>
        <n v="254090"/>
        <n v="449120"/>
        <n v="403890"/>
        <n v="284840"/>
        <n v="400460"/>
        <n v="281550"/>
        <n v="283210"/>
        <n v="277600"/>
        <n v="24700"/>
        <n v="449990"/>
        <n v="397160"/>
        <n v="428840"/>
        <n v="397150"/>
        <n v="413530"/>
        <n v="489190"/>
        <n v="274850"/>
        <n v="333930"/>
        <n v="330040"/>
        <n v="212740"/>
        <n v="229650"/>
        <n v="276090"/>
        <n v="250910"/>
        <n v="498030"/>
        <n v="258340"/>
        <n v="240520"/>
        <n v="403020"/>
        <n v="328460"/>
        <n v="321090"/>
        <n v="27380"/>
        <n v="494080"/>
        <n v="4279450"/>
        <n v="42630"/>
        <n v="491380"/>
        <n v="35080"/>
        <n v="33330"/>
        <n v="29410"/>
        <n v="488580"/>
        <n v="458040"/>
        <n v="31230"/>
        <n v="492890"/>
        <n v="4951880"/>
        <n v="422770"/>
        <n v="471550"/>
        <n v="493100"/>
        <n v="32770"/>
        <n v="33370"/>
        <n v="33290"/>
        <n v="31350"/>
        <n v="4062620"/>
        <n v="4672170"/>
        <n v="33750"/>
        <n v="31040"/>
        <n v="36470"/>
        <n v="384050"/>
        <n v="487120"/>
        <n v="4611710"/>
        <n v="302270"/>
        <n v="255750"/>
        <n v="371830"/>
        <n v="493750"/>
        <n v="407360"/>
        <n v="262680"/>
        <n v="4080130"/>
        <n v="490650"/>
        <n v="262560"/>
        <n v="2262240"/>
        <n v="354620"/>
        <n v="346810"/>
        <n v="268040"/>
        <n v="447580"/>
        <n v="293240"/>
        <n v="455400"/>
        <n v="451620"/>
        <n v="253470"/>
        <n v="459760"/>
        <n v="334490"/>
        <n v="4330520"/>
        <n v="372550"/>
        <n v="218040"/>
        <n v="304750"/>
        <n v="4673740"/>
        <n v="223240"/>
        <n v="4880550"/>
        <n v="4982880"/>
        <n v="335690"/>
        <n v="337610"/>
        <n v="315160"/>
        <n v="258880"/>
        <n v="4879050"/>
        <n v="4517900"/>
        <n v="4059510"/>
        <n v="420600"/>
        <n v="247030"/>
        <n v="254270"/>
        <n v="344300"/>
        <n v="457400"/>
        <n v="314630"/>
        <n v="403900"/>
        <n v="318940"/>
        <n v="345820"/>
        <n v="475420"/>
        <n v="307180"/>
        <n v="337680"/>
        <n v="234720"/>
        <n v="4996140"/>
        <n v="214640"/>
        <n v="4211080"/>
        <n v="247860"/>
        <n v="229830"/>
        <n v="399460"/>
        <n v="352720"/>
        <n v="297520"/>
        <n v="4531660"/>
        <n v="471240"/>
        <n v="4229320"/>
        <n v="4620700"/>
        <n v="307480"/>
        <n v="423590"/>
        <n v="276420"/>
        <n v="270730"/>
        <n v="319200"/>
        <n v="4250210"/>
        <n v="338300"/>
        <n v="344160"/>
        <n v="41820"/>
        <n v="21320"/>
        <n v="35390"/>
        <n v="31300"/>
        <n v="33140"/>
        <n v="37350"/>
        <n v="34190"/>
        <n v="40780"/>
        <n v="31620"/>
        <n v="494490"/>
        <n v="4927020"/>
        <n v="31490"/>
        <n v="423580"/>
        <n v="30970"/>
        <n v="461700"/>
        <n v="40120"/>
        <n v="30120"/>
        <n v="13417040"/>
        <n v="6976300"/>
        <n v="274140"/>
        <n v="462050"/>
        <n v="297220"/>
        <n v="4002900"/>
        <n v="283880"/>
        <n v="221870"/>
        <n v="4728180"/>
        <n v="217350"/>
        <n v="377140"/>
        <n v="469720"/>
        <n v="309030"/>
        <n v="495900"/>
        <n v="247110"/>
        <n v="448830"/>
        <n v="4497060"/>
        <n v="377400"/>
        <n v="370800"/>
        <n v="4648620"/>
        <n v="4232840"/>
        <n v="347860"/>
        <n v="342020"/>
        <n v="460310"/>
        <n v="270810"/>
        <n v="386860"/>
        <n v="263750"/>
        <n v="319680"/>
        <n v="471860"/>
        <n v="290660"/>
        <n v="300150"/>
        <n v="236150"/>
        <n v="484220"/>
        <n v="255870"/>
        <n v="347200"/>
        <n v="445290"/>
        <n v="383380"/>
        <n v="457640"/>
        <n v="303020"/>
        <n v="207730"/>
        <n v="308420"/>
        <n v="408590"/>
        <n v="438200"/>
        <n v="336050"/>
        <n v="454830"/>
        <n v="491000"/>
        <n v="415680"/>
        <n v="374850"/>
        <n v="325900"/>
        <n v="356110"/>
        <n v="419000"/>
        <n v="356860"/>
        <n v="491750"/>
        <n v="479490"/>
        <n v="4817700"/>
        <n v="314800"/>
        <n v="357640"/>
        <n v="450470"/>
        <n v="4275330"/>
        <n v="425000"/>
        <n v="399870"/>
        <n v="462420"/>
        <n v="4441560"/>
        <n v="473280"/>
        <n v="408230"/>
        <n v="331750"/>
        <n v="223880"/>
        <n v="12222570"/>
        <n v="285500"/>
        <n v="302180"/>
        <n v="367010"/>
        <n v="26260"/>
        <n v="39590"/>
        <n v="24260"/>
        <n v="25240"/>
        <n v="445560"/>
        <n v="2159450"/>
        <n v="15810"/>
        <n v="4050320"/>
        <n v="476400"/>
        <n v="24170"/>
        <n v="230900"/>
        <n v="245870"/>
        <n v="258400"/>
        <n v="391470"/>
        <n v="4463340"/>
        <n v="446670"/>
        <n v="284960"/>
        <n v="444500"/>
        <n v="373180"/>
        <n v="215460"/>
        <n v="231820"/>
        <n v="433600"/>
        <n v="6302410"/>
        <n v="4918360"/>
        <n v="488690"/>
        <n v="415690"/>
        <n v="497220"/>
        <n v="273650"/>
        <n v="430300"/>
        <n v="4924520"/>
        <n v="4823470"/>
        <n v="206810"/>
        <n v="434540"/>
        <n v="386590"/>
        <n v="250140"/>
        <n v="282660"/>
        <n v="501580"/>
        <n v="486120"/>
        <n v="448080"/>
        <n v="4363500"/>
        <n v="210400"/>
        <n v="208970"/>
        <n v="338270"/>
        <n v="373910"/>
        <n v="462870"/>
        <n v="352840"/>
        <n v="303440"/>
        <n v="492290"/>
        <n v="307090"/>
        <n v="4847720"/>
        <n v="434150"/>
        <n v="220400"/>
        <n v="35350"/>
        <n v="461940"/>
        <n v="36930"/>
        <n v="4651520"/>
        <n v="23120"/>
        <n v="427480"/>
        <n v="29260"/>
        <n v="6181180"/>
        <n v="41050"/>
        <n v="470540"/>
        <n v="37310"/>
        <n v="4724620"/>
        <n v="33250"/>
        <n v="41260"/>
        <n v="375630"/>
        <n v="258730"/>
        <n v="469070"/>
        <n v="374000"/>
        <n v="309640"/>
        <n v="334090"/>
        <n v="390070"/>
        <n v="493930"/>
        <n v="331430"/>
        <n v="214780"/>
        <n v="391210"/>
        <n v="375580"/>
        <n v="42400"/>
        <n v="36250"/>
        <n v="36140"/>
        <n v="49630"/>
        <n v="37690"/>
        <n v="28720"/>
        <n v="28380"/>
        <n v="25650"/>
        <n v="40930"/>
        <n v="29840"/>
        <n v="328880"/>
        <n v="4474800"/>
        <n v="226040"/>
        <n v="287210"/>
        <n v="44400"/>
        <n v="364910"/>
        <n v="372850"/>
        <n v="2734330"/>
        <n v="252560"/>
        <n v="464250"/>
        <n v="314240"/>
        <n v="400060"/>
        <n v="353670"/>
        <n v="333210"/>
        <n v="319140"/>
        <n v="242190"/>
        <n v="213860"/>
        <n v="371640"/>
        <n v="340200"/>
        <n v="28400"/>
        <n v="339620"/>
        <n v="323830"/>
        <n v="37950"/>
        <n v="316680"/>
        <n v="455120"/>
        <n v="34770"/>
        <n v="496440"/>
      </sharedItems>
    </cacheField>
    <cacheField name=" Currency" numFmtId="43">
      <sharedItems/>
    </cacheField>
    <cacheField name=" Tax Amount" numFmtId="165">
      <sharedItems containsSemiMixedTypes="0" containsString="0" containsNumber="1" containsInteger="1" minValue="2340" maxValue="2440080"/>
    </cacheField>
    <cacheField name=" Creator Id" numFmtId="0">
      <sharedItems/>
    </cacheField>
    <cacheField name=" Approver Id" numFmtId="0">
      <sharedItems/>
    </cacheField>
    <cacheField name="Quarters" numFmtId="0" databaseField="0">
      <fieldGroup base="5">
        <rangePr groupBy="quarters" startDate="2020-04-01T00:00:00" endDate="2022-03-22T00:00:00"/>
        <groupItems count="6">
          <s v="&lt;01-04-2020"/>
          <s v="Qtr1"/>
          <s v="Qtr2"/>
          <s v="Qtr3"/>
          <s v="Qtr4"/>
          <s v="&gt;22-03-2022"/>
        </groupItems>
      </fieldGroup>
    </cacheField>
    <cacheField name="Years" numFmtId="0" databaseField="0">
      <fieldGroup base="5">
        <rangePr groupBy="years" startDate="2020-04-01T00:00:00" endDate="2022-03-22T00:00:00"/>
        <groupItems count="5">
          <s v="&lt;01-04-2020"/>
          <s v="2020"/>
          <s v="2021"/>
          <s v="2022"/>
          <s v="&gt;22-03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307.595810069448" createdVersion="6" refreshedVersion="6" minRefreshableVersion="3" recordCount="600">
  <cacheSource type="worksheet">
    <worksheetSource ref="D91:G691" sheet="Test 5" r:id="rId2"/>
  </cacheSource>
  <cacheFields count="6">
    <cacheField name=" Invoice Date" numFmtId="14">
      <sharedItems containsSemiMixedTypes="0" containsNonDate="0" containsDate="1" containsString="0" minDate="2020-04-01T00:00:00" maxDate="2022-03-22T00:00:00" count="379">
        <d v="2020-04-01T00:00:00"/>
        <d v="2020-04-03T00:00:00"/>
        <d v="2020-04-04T00:00:00"/>
        <d v="2020-04-07T00:00:00"/>
        <d v="2020-04-08T00:00:00"/>
        <d v="2020-04-09T00:00:00"/>
        <d v="2020-04-11T00:00:00"/>
        <d v="2020-04-16T00:00:00"/>
        <d v="2020-04-18T00:00:00"/>
        <d v="2020-04-21T00:00:00"/>
        <d v="2020-04-22T00:00:00"/>
        <d v="2020-04-24T00:00:00"/>
        <d v="2020-04-25T00:00:00"/>
        <d v="2020-04-27T00:00:00"/>
        <d v="2020-04-28T00:00:00"/>
        <d v="2020-05-01T00:00:00"/>
        <d v="2020-05-04T00:00:00"/>
        <d v="2020-05-05T00:00:00"/>
        <d v="2020-05-06T00:00:00"/>
        <d v="2020-05-07T00:00:00"/>
        <d v="2020-05-09T00:00:00"/>
        <d v="2020-05-11T00:00:00"/>
        <d v="2020-05-14T00:00:00"/>
        <d v="2020-05-15T00:00:00"/>
        <d v="2020-05-18T00:00:00"/>
        <d v="2020-05-19T00:00:00"/>
        <d v="2020-05-22T00:00:00"/>
        <d v="2020-05-23T00:00:00"/>
        <d v="2020-05-25T00:00:00"/>
        <d v="2020-05-28T00:00:00"/>
        <d v="2020-05-29T00:00:00"/>
        <d v="2020-05-30T00:00:00"/>
        <d v="2020-06-01T00:00:00"/>
        <d v="2020-06-02T00:00:00"/>
        <d v="2020-06-05T00:00:00"/>
        <d v="2020-06-06T00:00:00"/>
        <d v="2020-06-08T00:00:00"/>
        <d v="2020-06-09T00:00:00"/>
        <d v="2020-06-11T00:00:00"/>
        <d v="2020-06-12T00:00:00"/>
        <d v="2020-06-15T00:00:00"/>
        <d v="2020-06-18T00:00:00"/>
        <d v="2020-06-19T00:00:00"/>
        <d v="2020-06-23T00:00:00"/>
        <d v="2020-06-24T00:00:00"/>
        <d v="2020-06-27T00:00:00"/>
        <d v="2020-06-29T00:00:00"/>
        <d v="2020-06-30T00:00:00"/>
        <d v="2020-07-03T00:00:00"/>
        <d v="2020-07-06T00:00:00"/>
        <d v="2020-07-07T00:00:00"/>
        <d v="2020-07-08T00:00:00"/>
        <d v="2020-07-09T00:00:00"/>
        <d v="2020-07-11T00:00:00"/>
        <d v="2020-07-13T00:00:00"/>
        <d v="2020-07-15T00:00:00"/>
        <d v="2020-07-16T00:00:00"/>
        <d v="2020-07-17T00:00:00"/>
        <d v="2020-07-18T00:00:00"/>
        <d v="2020-07-20T00:00:00"/>
        <d v="2020-07-22T00:00:00"/>
        <d v="2020-07-23T00:00:00"/>
        <d v="2020-07-27T00:00:00"/>
        <d v="2020-07-28T00:00:00"/>
        <d v="2020-07-29T00:00:00"/>
        <d v="2020-08-01T00:00:00"/>
        <d v="2020-08-03T00:00:00"/>
        <d v="2020-08-05T00:00:00"/>
        <d v="2020-08-07T00:00:00"/>
        <d v="2020-08-12T00:00:00"/>
        <d v="2020-08-14T00:00:00"/>
        <d v="2020-08-17T00:00:00"/>
        <d v="2020-08-18T00:00:00"/>
        <d v="2020-08-19T00:00:00"/>
        <d v="2020-08-20T00:00:00"/>
        <d v="2020-08-26T00:00:00"/>
        <d v="2020-08-27T00:00:00"/>
        <d v="2020-08-31T00:00:00"/>
        <d v="2020-09-01T00:00:00"/>
        <d v="2020-09-04T00:00:00"/>
        <d v="2020-09-07T00:00:00"/>
        <d v="2020-09-08T00:00:00"/>
        <d v="2020-09-09T00:00:00"/>
        <d v="2020-09-11T00:00:00"/>
        <d v="2020-09-16T00:00:00"/>
        <d v="2020-09-18T00:00:00"/>
        <d v="2020-09-19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9T00:00:00"/>
        <d v="2020-10-10T00:00:00"/>
        <d v="2020-10-12T00:00:00"/>
        <d v="2020-10-16T00:00:00"/>
        <d v="2020-10-17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1T00:00:00"/>
        <d v="2020-11-05T00:00:00"/>
        <d v="2020-11-06T00:00:00"/>
        <d v="2020-11-07T00:00:00"/>
        <d v="2020-11-13T00:00:00"/>
        <d v="2020-11-18T00:00:00"/>
        <d v="2020-11-19T00:00:00"/>
        <d v="2020-11-20T00:00:00"/>
        <d v="2020-11-25T00:00:00"/>
        <d v="2020-11-26T00:00:00"/>
        <d v="2020-11-27T00:00:00"/>
        <d v="2020-11-28T00:00:00"/>
        <d v="2020-11-30T00:00:00"/>
        <d v="2020-12-05T00:00:00"/>
        <d v="2020-12-07T00:00:00"/>
        <d v="2020-12-08T00:00:00"/>
        <d v="2020-12-17T00:00:00"/>
        <d v="2020-12-18T00:00:00"/>
        <d v="2020-12-21T00:00:00"/>
        <d v="2020-12-22T00:00:00"/>
        <d v="2020-12-28T00:00:00"/>
        <d v="2020-12-31T00:00:00"/>
        <d v="2021-01-01T00:00:00"/>
        <d v="2021-01-07T00:00:00"/>
        <d v="2021-01-09T00:00:00"/>
        <d v="2021-01-15T00:00:00"/>
        <d v="2021-01-16T00:00:00"/>
        <d v="2021-01-18T00:00:00"/>
        <d v="2021-01-22T00:00:00"/>
        <d v="2021-01-23T00:00:00"/>
        <d v="2021-01-25T00:00:00"/>
        <d v="2021-01-27T00:00:00"/>
        <d v="2021-01-29T00:00:00"/>
        <d v="2021-02-02T00:00:00"/>
        <d v="2021-02-03T00:00:00"/>
        <d v="2021-02-04T00:00:00"/>
        <d v="2021-02-05T00:00:00"/>
        <d v="2021-02-08T00:00:00"/>
        <d v="2021-02-12T00:00:00"/>
        <d v="2021-02-13T00:00:00"/>
        <d v="2021-02-15T00:00:00"/>
        <d v="2021-02-18T00:00:00"/>
        <d v="2021-02-20T00:00:00"/>
        <d v="2021-02-23T00:00:00"/>
        <d v="2021-02-24T00:00:00"/>
        <d v="2021-02-27T00:00:00"/>
        <d v="2021-03-01T00:00:00"/>
        <d v="2021-03-02T00:00:00"/>
        <d v="2021-03-09T00:00:00"/>
        <d v="2021-03-10T00:00:00"/>
        <d v="2021-03-11T00:00:00"/>
        <d v="2021-03-12T00:00:00"/>
        <d v="2021-03-13T00:00:00"/>
        <d v="2021-03-15T00:00:00"/>
        <d v="2021-03-17T00:00:00"/>
        <d v="2021-03-18T00:00:00"/>
        <d v="2021-03-23T00:00:00"/>
        <d v="2021-03-24T00:00:00"/>
        <d v="2021-03-25T00:00:00"/>
        <d v="2021-03-31T00:00:00"/>
        <d v="2021-04-01T00:00:00"/>
        <d v="2021-04-03T00:00:00"/>
        <d v="2021-04-05T00:00:00"/>
        <d v="2021-04-06T00:00:00"/>
        <d v="2021-04-07T00:00:00"/>
        <d v="2021-04-08T00:00:00"/>
        <d v="2021-04-09T00:00:00"/>
        <d v="2021-04-12T00:00:00"/>
        <d v="2021-04-14T00:00:00"/>
        <d v="2021-04-16T00:00:00"/>
        <d v="2021-04-17T00:00:00"/>
        <d v="2021-04-19T00:00:00"/>
        <d v="2021-04-20T00:00:00"/>
        <d v="2021-04-22T00:00:00"/>
        <d v="2021-04-23T00:00:00"/>
        <d v="2021-04-26T00:00:00"/>
        <d v="2021-04-27T00:00:00"/>
        <d v="2021-04-29T00:00:00"/>
        <d v="2021-04-30T00:00:00"/>
        <d v="2021-05-01T00:00:00"/>
        <d v="2021-05-03T00:00:00"/>
        <d v="2021-05-05T00:00:00"/>
        <d v="2021-05-06T00:00:00"/>
        <d v="2021-05-07T00:00:00"/>
        <d v="2021-05-09T00:00:00"/>
        <d v="2021-05-10T00:00:00"/>
        <d v="2021-05-11T00:00:00"/>
        <d v="2021-05-12T00:00:00"/>
        <d v="2021-05-13T00:00:00"/>
        <d v="2021-05-15T00:00:00"/>
        <d v="2021-05-17T00:00:00"/>
        <d v="2021-05-16T00:00:00"/>
        <d v="2021-05-18T00:00:00"/>
        <d v="2021-05-19T00:00:00"/>
        <d v="2021-05-21T00:00:00"/>
        <d v="2021-05-23T00:00:00"/>
        <d v="2021-05-22T00:00:00"/>
        <d v="2021-05-24T00:00:00"/>
        <d v="2021-05-28T00:00:00"/>
        <d v="2021-05-29T00:00:00"/>
        <d v="2021-05-31T00:00:00"/>
        <d v="2021-06-01T00:00:00"/>
        <d v="2021-06-03T00:00:00"/>
        <d v="2021-06-06T00:00:00"/>
        <d v="2021-06-04T00:00:00"/>
        <d v="2021-06-05T00:00:00"/>
        <d v="2021-06-09T00:00:00"/>
        <d v="2021-06-10T00:00:00"/>
        <d v="2021-06-14T00:00:00"/>
        <d v="2021-06-17T00:00:00"/>
        <d v="2021-06-18T00:00:00"/>
        <d v="2021-06-19T00:00:00"/>
        <d v="2021-06-21T00:00:00"/>
        <d v="2021-06-24T00:00:00"/>
        <d v="2021-06-26T00:00:00"/>
        <d v="2021-06-29T00:00:00"/>
        <d v="2021-06-30T00:00:00"/>
        <d v="2021-07-04T00:00:00"/>
        <d v="2021-07-02T00:00:00"/>
        <d v="2021-07-03T00:00:00"/>
        <d v="2021-07-05T00:00:00"/>
        <d v="2021-07-06T00:00:00"/>
        <d v="2021-07-07T00:00:00"/>
        <d v="2021-07-11T00:00:00"/>
        <d v="2021-07-08T00:00:00"/>
        <d v="2021-07-09T00:00:00"/>
        <d v="2021-07-10T00:00:00"/>
        <d v="2021-07-12T00:00:00"/>
        <d v="2021-07-14T00:00:00"/>
        <d v="2021-07-19T00:00:00"/>
        <d v="2021-07-18T00:00:00"/>
        <d v="2021-07-20T00:00:00"/>
        <d v="2021-07-21T00:00:00"/>
        <d v="2021-07-22T00:00:00"/>
        <d v="2021-07-24T00:00:00"/>
        <d v="2021-07-28T00:00:00"/>
        <d v="2021-07-29T00:00:00"/>
        <d v="2021-08-02T00:00:00"/>
        <d v="2021-08-03T00:00:00"/>
        <d v="2021-08-07T00:00:00"/>
        <d v="2021-08-04T00:00:00"/>
        <d v="2021-08-05T00:00:00"/>
        <d v="2021-08-06T00:00:00"/>
        <d v="2021-08-09T00:00:00"/>
        <d v="2021-08-10T00:00:00"/>
        <d v="2021-08-11T00:00:00"/>
        <d v="2021-08-15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1T00:00:00"/>
        <d v="2021-08-24T00:00:00"/>
        <d v="2021-08-27T00:00:00"/>
        <d v="2021-08-28T00:00:00"/>
        <d v="2021-08-31T00:00:00"/>
        <d v="2021-09-01T00:00:00"/>
        <d v="2021-09-04T00:00:00"/>
        <d v="2021-09-06T00:00:00"/>
        <d v="2021-09-09T00:00:00"/>
        <d v="2021-09-11T00:00:00"/>
        <d v="2021-09-18T00:00:00"/>
        <d v="2021-09-17T00:00:00"/>
        <d v="2021-09-21T00:00:00"/>
        <d v="2021-09-22T00:00:00"/>
        <d v="2021-09-24T00:00:00"/>
        <d v="2021-09-28T00:00:00"/>
        <d v="2021-10-02T00:00:00"/>
        <d v="2021-10-05T00:00:00"/>
        <d v="2021-10-08T00:00:00"/>
        <d v="2021-10-09T00:00:00"/>
        <d v="2021-10-11T00:00:00"/>
        <d v="2021-10-16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30T00:00:00"/>
        <d v="2021-11-03T00:00:00"/>
        <d v="2021-11-06T00:00:00"/>
        <d v="2021-11-08T00:00:00"/>
        <d v="2021-11-09T00:00:00"/>
        <d v="2021-11-07T00:00:00"/>
        <d v="2021-11-10T00:00:00"/>
        <d v="2021-11-11T00:00:00"/>
        <d v="2021-11-14T00:00:00"/>
        <d v="2021-11-12T00:00:00"/>
        <d v="2021-11-13T00:00:00"/>
        <d v="2021-11-19T00:00:00"/>
        <d v="2021-11-23T00:00:00"/>
        <d v="2021-11-25T00:00:00"/>
        <d v="2021-11-26T00:00:00"/>
        <d v="2021-11-27T00:00:00"/>
        <d v="2021-11-29T00:00:00"/>
        <d v="2021-12-01T00:00:00"/>
        <d v="2021-12-03T00:00:00"/>
        <d v="2021-12-05T00:00:00"/>
        <d v="2021-12-04T00:00:00"/>
        <d v="2021-12-06T00:00:00"/>
        <d v="2021-12-07T00:00:00"/>
        <d v="2021-12-08T00:00:00"/>
        <d v="2021-12-09T00:00:00"/>
        <d v="2021-12-12T00:00:00"/>
        <d v="2021-12-11T00:00:00"/>
        <d v="2021-12-13T00:00:00"/>
        <d v="2021-12-14T00:00:00"/>
        <d v="2021-12-17T00:00:00"/>
        <d v="2021-12-18T00:00:00"/>
        <d v="2021-12-20T00:00:00"/>
        <d v="2021-12-19T00:00:00"/>
        <d v="2021-12-21T00:00:00"/>
        <d v="2021-12-22T00:00:00"/>
        <d v="2021-12-23T00:00:00"/>
        <d v="2021-12-27T00:00:00"/>
        <d v="2021-12-28T00:00:00"/>
        <d v="2022-01-02T00:00:00"/>
        <d v="2022-01-03T00:00:00"/>
        <d v="2022-01-06T00:00:00"/>
        <d v="2022-01-10T00:00:00"/>
        <d v="2022-01-11T00:00:00"/>
        <d v="2022-01-12T00:00:00"/>
        <d v="2022-01-16T00:00:00"/>
        <d v="2022-01-13T00:00:00"/>
        <d v="2022-01-14T00:00:00"/>
        <d v="2022-01-15T00:00:00"/>
        <d v="2022-01-17T00:00:00"/>
        <d v="2022-01-22T00:00:00"/>
        <d v="2022-01-19T00:00:00"/>
        <d v="2022-01-20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2T00:00:00"/>
        <d v="2022-02-03T00:00:00"/>
        <d v="2022-02-04T00:00:00"/>
        <d v="2022-02-07T00:00:00"/>
        <d v="2022-02-08T00:00:00"/>
        <d v="2022-02-10T00:00:00"/>
        <d v="2022-02-12T00:00:00"/>
        <d v="2022-02-14T00:00:00"/>
        <d v="2022-02-15T00:00:00"/>
        <d v="2022-02-16T00:00:00"/>
        <d v="2022-02-18T00:00:00"/>
        <d v="2022-02-19T00:00:00"/>
        <d v="2022-02-21T00:00:00"/>
        <d v="2022-02-24T00:00:00"/>
        <d v="2022-02-26T00:00:00"/>
        <d v="2022-02-28T00:00:00"/>
        <d v="2022-03-02T00:00:00"/>
        <d v="2022-03-03T00:00:00"/>
        <d v="2022-03-04T00:00:00"/>
        <d v="2022-03-11T00:00:00"/>
        <d v="2022-03-12T00:00:00"/>
        <d v="2022-03-14T00:00:00"/>
        <d v="2022-03-17T00:00:00"/>
        <d v="2022-03-18T00:00:00"/>
        <d v="2022-03-19T00:00:00"/>
        <d v="2022-03-21T00:00:00"/>
      </sharedItems>
      <fieldGroup par="5" base="0">
        <rangePr groupBy="months" startDate="2020-04-01T00:00:00" endDate="2022-03-22T00:00:00"/>
        <groupItems count="14">
          <s v="&lt;01-04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03-2022"/>
        </groupItems>
      </fieldGroup>
    </cacheField>
    <cacheField name=" Recorded Revenue" numFmtId="165">
      <sharedItems containsSemiMixedTypes="0" containsString="0" containsNumber="1" containsInteger="1" minValue="15810" maxValue="13558220"/>
    </cacheField>
    <cacheField name="Value Category" numFmtId="0">
      <sharedItems count="3">
        <s v="Below 30L"/>
        <s v="40L to 50L"/>
        <s v="50L and above"/>
      </sharedItems>
    </cacheField>
    <cacheField name="Date Category" numFmtId="0">
      <sharedItems count="2">
        <s v="FY 20-21"/>
        <s v="FY 21-22"/>
      </sharedItems>
    </cacheField>
    <cacheField name="Quarters" numFmtId="0" databaseField="0">
      <fieldGroup base="0">
        <rangePr groupBy="quarters" startDate="2020-04-01T00:00:00" endDate="2022-03-22T00:00:00"/>
        <groupItems count="6">
          <s v="&lt;01-04-2020"/>
          <s v="Qtr1"/>
          <s v="Qtr2"/>
          <s v="Qtr3"/>
          <s v="Qtr4"/>
          <s v="&gt;22-03-2022"/>
        </groupItems>
      </fieldGroup>
    </cacheField>
    <cacheField name="Years" numFmtId="0" databaseField="0">
      <fieldGroup base="0">
        <rangePr groupBy="years" startDate="2020-04-01T00:00:00" endDate="2022-03-22T00:00:00"/>
        <groupItems count="5">
          <s v="&lt;01-04-2020"/>
          <s v="2020"/>
          <s v="2021"/>
          <s v="2022"/>
          <s v="&gt;22-03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6307.633244675926" createdVersion="6" refreshedVersion="6" minRefreshableVersion="3" recordCount="600">
  <cacheSource type="worksheet">
    <worksheetSource ref="B4:V604" sheet="Test 3" r:id="rId2"/>
  </cacheSource>
  <cacheFields count="21">
    <cacheField name="S. No." numFmtId="0">
      <sharedItems containsSemiMixedTypes="0" containsString="0" containsNumber="1" containsInteger="1" minValue="1" maxValue="600"/>
    </cacheField>
    <cacheField name="Transaction Id" numFmtId="0">
      <sharedItems/>
    </cacheField>
    <cacheField name=" Invoice Number" numFmtId="0">
      <sharedItems containsSemiMixedTypes="0" containsString="0" containsNumber="1" containsInteger="1" minValue="20211" maxValue="2122341"/>
    </cacheField>
    <cacheField name="Unique Contract No." numFmtId="0">
      <sharedItems/>
    </cacheField>
    <cacheField name=" Customer Id" numFmtId="0">
      <sharedItems/>
    </cacheField>
    <cacheField name="Posting cum auto-invoice Generation Date" numFmtId="14">
      <sharedItems containsSemiMixedTypes="0" containsNonDate="0" containsDate="1" containsString="0" minDate="2020-04-01T00:00:00" maxDate="2022-03-22T00:00:00"/>
    </cacheField>
    <cacheField name=" Posted Timestamp" numFmtId="164">
      <sharedItems containsSemiMixedTypes="0" containsNonDate="0" containsDate="1" containsString="0" minDate="1899-12-30T10:00:16" maxDate="1899-12-30T19:54:02"/>
    </cacheField>
    <cacheField name=" Service Period" numFmtId="0">
      <sharedItems/>
    </cacheField>
    <cacheField name=" Recorded Revenue" numFmtId="165">
      <sharedItems containsSemiMixedTypes="0" containsString="0" containsNumber="1" containsInteger="1" minValue="15810" maxValue="13558220"/>
    </cacheField>
    <cacheField name=" Currency" numFmtId="43">
      <sharedItems/>
    </cacheField>
    <cacheField name=" Tax Amount" numFmtId="165">
      <sharedItems containsSemiMixedTypes="0" containsString="0" containsNumber="1" containsInteger="1" minValue="2340" maxValue="2440080"/>
    </cacheField>
    <cacheField name=" Creator Id" numFmtId="0">
      <sharedItems count="23">
        <s v="E115"/>
        <s v="E111"/>
        <s v="E116"/>
        <s v="E103"/>
        <s v="E102"/>
        <s v="E125"/>
        <s v="E112"/>
        <s v="E114"/>
        <s v="E110"/>
        <s v="E119"/>
        <s v="E107"/>
        <s v="E113"/>
        <s v="E105"/>
        <s v="E101"/>
        <s v="E109"/>
        <s v="E108"/>
        <s v="E124"/>
        <s v="E123"/>
        <s v="E106"/>
        <s v="E100"/>
        <s v="E104"/>
        <s v="E122"/>
        <s v="E117"/>
      </sharedItems>
    </cacheField>
    <cacheField name=" Approver Id" numFmtId="0">
      <sharedItems count="16">
        <s v="E118"/>
        <s v="E117"/>
        <s v="E110"/>
        <s v="E114"/>
        <s v="E126"/>
        <s v="E121"/>
        <s v="E120"/>
        <s v="E113"/>
        <s v="E124"/>
        <s v="E111"/>
        <s v="E119"/>
        <s v="E112"/>
        <s v="E115"/>
        <s v="E125"/>
        <s v="E116"/>
        <s v="E122"/>
      </sharedItems>
    </cacheField>
    <cacheField name="Board Approval" numFmtId="0">
      <sharedItems/>
    </cacheField>
    <cacheField name="Board Approval No" numFmtId="0">
      <sharedItems/>
    </cacheField>
    <cacheField name="Day of transaction" numFmtId="0">
      <sharedItems/>
    </cacheField>
    <cacheField name="Business hours test" numFmtId="2">
      <sharedItems/>
    </cacheField>
    <cacheField name="Transaction time-screeing results" numFmtId="0">
      <sharedItems count="2">
        <s v="Pass"/>
        <s v="Red Flag"/>
      </sharedItems>
    </cacheField>
    <cacheField name="Year of Revenue" numFmtId="0">
      <sharedItems count="4">
        <s v="FY 20-21"/>
        <s v="FY 21-22"/>
        <s v="2122" u="1"/>
        <s v="2021" u="1"/>
      </sharedItems>
    </cacheField>
    <cacheField name="Month of revenue" numFmtId="0">
      <sharedItems/>
    </cacheField>
    <cacheField name="Whether RP?" numFmtId="0">
      <sharedItems count="2">
        <s v="NON-RP"/>
        <s v="R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thor" refreshedDate="46307.636949537038" createdVersion="6" refreshedVersion="6" minRefreshableVersion="3" recordCount="600">
  <cacheSource type="worksheet">
    <worksheetSource ref="B4:Y604" sheet="Test 1,2" r:id="rId2"/>
  </cacheSource>
  <cacheFields count="24">
    <cacheField name="S. No." numFmtId="0">
      <sharedItems containsSemiMixedTypes="0" containsString="0" containsNumber="1" containsInteger="1" minValue="1" maxValue="600"/>
    </cacheField>
    <cacheField name="Transaction Id" numFmtId="0">
      <sharedItems/>
    </cacheField>
    <cacheField name=" Invoice Number" numFmtId="0">
      <sharedItems containsSemiMixedTypes="0" containsString="0" containsNumber="1" containsInteger="1" minValue="20211" maxValue="2122341"/>
    </cacheField>
    <cacheField name="Unique Contract No." numFmtId="0">
      <sharedItems/>
    </cacheField>
    <cacheField name=" Customer Id" numFmtId="0">
      <sharedItems count="49">
        <s v="C205"/>
        <s v="C219"/>
        <s v="C224"/>
        <s v="C212"/>
        <s v="C213"/>
        <s v="C228"/>
        <s v="C242"/>
        <s v="C226"/>
        <s v="C202"/>
        <s v="C221"/>
        <s v="C233"/>
        <s v="C230"/>
        <s v="C246"/>
        <s v="C235"/>
        <s v="C223"/>
        <s v="C206"/>
        <s v="C225"/>
        <s v="C245"/>
        <s v="C209"/>
        <s v="C222"/>
        <s v="C239"/>
        <s v="C218"/>
        <s v="C220"/>
        <s v="C234"/>
        <s v="C229"/>
        <s v="C208"/>
        <s v="C201"/>
        <s v="C216"/>
        <s v="C203"/>
        <s v="C241"/>
        <s v="C210"/>
        <s v="C215"/>
        <s v="C211"/>
        <s v="C214"/>
        <s v="C247"/>
        <s v="C217"/>
        <s v="C207"/>
        <s v="C204"/>
        <s v="C238"/>
        <s v="C200"/>
        <s v="C232"/>
        <s v="C244"/>
        <s v="C227"/>
        <s v="C231"/>
        <s v="C240"/>
        <s v="C248"/>
        <s v="C237"/>
        <s v="C236"/>
        <s v="C243"/>
      </sharedItems>
    </cacheField>
    <cacheField name="Posting cum auto-invoice Generation Date" numFmtId="14">
      <sharedItems containsSemiMixedTypes="0" containsNonDate="0" containsDate="1" containsString="0" minDate="2020-04-01T00:00:00" maxDate="2022-03-22T00:00:00"/>
    </cacheField>
    <cacheField name=" Posted Timestamp" numFmtId="164">
      <sharedItems containsSemiMixedTypes="0" containsNonDate="0" containsDate="1" containsString="0" minDate="1899-12-30T10:00:16" maxDate="1899-12-30T19:54:02"/>
    </cacheField>
    <cacheField name=" Service Period" numFmtId="0">
      <sharedItems/>
    </cacheField>
    <cacheField name=" Recorded Revenue" numFmtId="165">
      <sharedItems containsSemiMixedTypes="0" containsString="0" containsNumber="1" containsInteger="1" minValue="15810" maxValue="13558220"/>
    </cacheField>
    <cacheField name=" Currency" numFmtId="43">
      <sharedItems/>
    </cacheField>
    <cacheField name=" Tax Amount" numFmtId="165">
      <sharedItems containsSemiMixedTypes="0" containsString="0" containsNumber="1" containsInteger="1" minValue="2340" maxValue="2440080"/>
    </cacheField>
    <cacheField name=" Creator Id" numFmtId="0">
      <sharedItems/>
    </cacheField>
    <cacheField name=" Approver Id" numFmtId="0">
      <sharedItems/>
    </cacheField>
    <cacheField name="Board Approval" numFmtId="0">
      <sharedItems/>
    </cacheField>
    <cacheField name="Board Approval No" numFmtId="0">
      <sharedItems/>
    </cacheField>
    <cacheField name="Creator Limits Reperformed" numFmtId="0">
      <sharedItems/>
    </cacheField>
    <cacheField name="Approval Limits Reperformed" numFmtId="0">
      <sharedItems/>
    </cacheField>
    <cacheField name="Current Creator" numFmtId="0">
      <sharedItems/>
    </cacheField>
    <cacheField name="Current Approver" numFmtId="0">
      <sharedItems/>
    </cacheField>
    <cacheField name="Limits test" numFmtId="0">
      <sharedItems/>
    </cacheField>
    <cacheField name="Board approval test" numFmtId="0">
      <sharedItems/>
    </cacheField>
    <cacheField name="Year of Revenue" numFmtId="0">
      <sharedItems/>
    </cacheField>
    <cacheField name="Month of revenue" numFmtId="0">
      <sharedItems/>
    </cacheField>
    <cacheField name="Whether RP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thor" refreshedDate="46307.65489189815" createdVersion="6" refreshedVersion="6" minRefreshableVersion="3" recordCount="43">
  <cacheSource type="worksheet">
    <worksheetSource ref="B4:N47" sheet="Test 8" r:id="rId2"/>
  </cacheSource>
  <cacheFields count="13">
    <cacheField name="System generated Unique Contract No." numFmtId="0">
      <sharedItems/>
    </cacheField>
    <cacheField name="Completed/In-Progress" numFmtId="0">
      <sharedItems/>
    </cacheField>
    <cacheField name="Controller/Supervisor" numFmtId="0">
      <sharedItems/>
    </cacheField>
    <cacheField name="Invoice Date" numFmtId="14">
      <sharedItems containsSemiMixedTypes="0" containsNonDate="0" containsDate="1" containsString="0" minDate="2021-05-09T00:00:00" maxDate="2022-03-15T00:00:00"/>
    </cacheField>
    <cacheField name="Date of receipt in bank" numFmtId="0">
      <sharedItems/>
    </cacheField>
    <cacheField name="Value of transaction" numFmtId="165">
      <sharedItems containsSemiMixedTypes="0" containsString="0" containsNumber="1" containsInteger="1" minValue="29260" maxValue="6181180"/>
    </cacheField>
    <cacheField name="No of days outstanding" numFmtId="0">
      <sharedItems containsSemiMixedTypes="0" containsString="0" containsNumber="1" containsInteger="1" minValue="32" maxValue="341"/>
    </cacheField>
    <cacheField name="Category outstanding" numFmtId="0">
      <sharedItems count="7">
        <s v="100 days and above"/>
        <s v="Below 100 days"/>
        <s v="Below 50 days"/>
        <s v="Below 100days" u="1"/>
        <s v="Above 100days" u="1"/>
        <s v="100days and above" u="1"/>
        <s v="Below 50days" u="1"/>
      </sharedItems>
    </cacheField>
    <cacheField name="Whether Flagged in transaction time-screening?" numFmtId="0">
      <sharedItems count="2">
        <s v="Red Flag"/>
        <s v="Pass"/>
      </sharedItems>
    </cacheField>
    <cacheField name="Customer ID" numFmtId="0">
      <sharedItems/>
    </cacheField>
    <cacheField name="Whether related party?" numFmtId="0">
      <sharedItems count="6">
        <s v="Amber IT Pvt Ltd"/>
        <s v="Mustard IT Ltd"/>
        <s v="Mint IT Pvt Ltd"/>
        <s v="Forest Green IT Ltd"/>
        <s v="Chartreuse Software Pvt Ltd"/>
        <s v="NOT RP"/>
      </sharedItems>
    </cacheField>
    <cacheField name="Creator" numFmtId="0">
      <sharedItems/>
    </cacheField>
    <cacheField name="Approv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thor" refreshedDate="46307.688191782407" createdVersion="6" refreshedVersion="6" minRefreshableVersion="3" recordCount="42">
  <cacheSource type="worksheet">
    <worksheetSource ref="C30:K72" sheet="Test 5" r:id="rId2"/>
  </cacheSource>
  <cacheFields count="9">
    <cacheField name="S. No." numFmtId="0">
      <sharedItems containsSemiMixedTypes="0" containsString="0" containsNumber="1" containsInteger="1" minValue="6" maxValue="575"/>
    </cacheField>
    <cacheField name="Transaction Id" numFmtId="0">
      <sharedItems/>
    </cacheField>
    <cacheField name="Unique Contract No." numFmtId="0">
      <sharedItems/>
    </cacheField>
    <cacheField name=" Customer Id" numFmtId="0">
      <sharedItems/>
    </cacheField>
    <cacheField name=" Invoice Date" numFmtId="14">
      <sharedItems containsSemiMixedTypes="0" containsNonDate="0" containsDate="1" containsString="0" minDate="2020-04-04T00:00:00" maxDate="2022-02-22T00:00:00"/>
    </cacheField>
    <cacheField name=" Recorded Revenue" numFmtId="165">
      <sharedItems containsSemiMixedTypes="0" containsString="0" containsNumber="1" containsInteger="1" minValue="4002900" maxValue="4996140"/>
    </cacheField>
    <cacheField name=" Creator Id" numFmtId="0">
      <sharedItems/>
    </cacheField>
    <cacheField name=" Approver Id" numFmtId="0">
      <sharedItems/>
    </cacheField>
    <cacheField name="Time-Screen test" numFmtId="0">
      <sharedItems count="2">
        <s v="Pass"/>
        <s v="Red Fla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">
  <r>
    <n v="1"/>
    <s v="2021O81900"/>
    <n v="20211"/>
    <s v="CC272485"/>
    <s v="C205"/>
    <x v="0"/>
    <d v="1899-12-30T10:30:30"/>
    <s v="Apr"/>
    <x v="0"/>
    <s v="INR"/>
    <n v="86580"/>
    <s v="E115"/>
    <s v="E118"/>
  </r>
  <r>
    <n v="2"/>
    <s v="2021M11625"/>
    <n v="20212"/>
    <s v="CC889281"/>
    <s v="C219"/>
    <x v="1"/>
    <d v="1899-12-30T10:06:48"/>
    <s v="Apr"/>
    <x v="1"/>
    <s v="INR"/>
    <n v="82980"/>
    <s v="E111"/>
    <s v="E117"/>
  </r>
  <r>
    <n v="3"/>
    <s v="2021S01216"/>
    <n v="20213"/>
    <s v="CC738783"/>
    <s v="C224"/>
    <x v="1"/>
    <d v="1899-12-30T11:51:05"/>
    <s v="Apr"/>
    <x v="2"/>
    <s v="INR"/>
    <n v="66960"/>
    <s v="E116"/>
    <s v="E117"/>
  </r>
  <r>
    <n v="4"/>
    <s v="2021V81178"/>
    <n v="20214"/>
    <s v="CC797872"/>
    <s v="C224"/>
    <x v="2"/>
    <d v="1899-12-30T17:50:12"/>
    <s v="Apr"/>
    <x v="3"/>
    <s v="INR"/>
    <n v="6120"/>
    <s v="E103"/>
    <s v="E110"/>
  </r>
  <r>
    <n v="5"/>
    <s v="2021C71611"/>
    <n v="20215"/>
    <s v="CC636860"/>
    <s v="C212"/>
    <x v="2"/>
    <d v="1899-12-30T13:25:39"/>
    <s v="Apr"/>
    <x v="4"/>
    <s v="INR"/>
    <n v="3960"/>
    <s v="E102"/>
    <s v="E114"/>
  </r>
  <r>
    <n v="6"/>
    <s v="2021A01928"/>
    <n v="20216"/>
    <s v="CC369548"/>
    <s v="C213"/>
    <x v="2"/>
    <d v="1899-12-30T13:25:11"/>
    <s v="Apr"/>
    <x v="5"/>
    <s v="INR"/>
    <n v="871380"/>
    <s v="E125"/>
    <s v="E126"/>
  </r>
  <r>
    <n v="7"/>
    <s v="2021M21757"/>
    <n v="20217"/>
    <s v="CC408705"/>
    <s v="C228"/>
    <x v="2"/>
    <d v="1899-12-30T16:07:10"/>
    <s v="Apr"/>
    <x v="6"/>
    <s v="INR"/>
    <n v="84420"/>
    <s v="E112"/>
    <s v="E121"/>
  </r>
  <r>
    <n v="8"/>
    <s v="2021U21062"/>
    <n v="20218"/>
    <s v="CC396439"/>
    <s v="C242"/>
    <x v="3"/>
    <d v="1899-12-30T10:27:38"/>
    <s v="Apr"/>
    <x v="7"/>
    <s v="INR"/>
    <n v="86040"/>
    <s v="E114"/>
    <s v="E120"/>
  </r>
  <r>
    <n v="9"/>
    <s v="2021G01389"/>
    <n v="20219"/>
    <s v="CC369136"/>
    <s v="C226"/>
    <x v="4"/>
    <d v="1899-12-30T13:33:47"/>
    <s v="Apr"/>
    <x v="8"/>
    <s v="INR"/>
    <n v="61560"/>
    <s v="E115"/>
    <s v="E117"/>
  </r>
  <r>
    <n v="10"/>
    <s v="2021O11170"/>
    <n v="202110"/>
    <s v="CC935141"/>
    <s v="C202"/>
    <x v="5"/>
    <d v="1899-12-30T12:21:29"/>
    <s v="Apr"/>
    <x v="9"/>
    <s v="INR"/>
    <n v="85320"/>
    <s v="E110"/>
    <s v="E117"/>
  </r>
  <r>
    <n v="11"/>
    <s v="2021H71183"/>
    <n v="202111"/>
    <s v="CC981153"/>
    <s v="C221"/>
    <x v="6"/>
    <d v="1899-12-30T15:34:12"/>
    <s v="Apr"/>
    <x v="10"/>
    <s v="INR"/>
    <n v="8640"/>
    <s v="E102"/>
    <s v="E113"/>
  </r>
  <r>
    <n v="12"/>
    <s v="2021A91066"/>
    <n v="202112"/>
    <s v="CC263159"/>
    <s v="C233"/>
    <x v="7"/>
    <d v="1899-12-30T17:03:02"/>
    <s v="Apr"/>
    <x v="11"/>
    <s v="INR"/>
    <n v="60120"/>
    <s v="E111"/>
    <s v="E117"/>
  </r>
  <r>
    <n v="13"/>
    <s v="2021X11623"/>
    <n v="202113"/>
    <s v="CC873915"/>
    <s v="C230"/>
    <x v="8"/>
    <d v="1899-12-30T14:52:22"/>
    <s v="Apr"/>
    <x v="12"/>
    <s v="INR"/>
    <n v="90000"/>
    <s v="E119"/>
    <s v="E124"/>
  </r>
  <r>
    <n v="14"/>
    <s v="2021Z81129"/>
    <n v="202114"/>
    <s v="CC751346"/>
    <s v="C246"/>
    <x v="9"/>
    <d v="1899-12-30T14:33:01"/>
    <s v="Apr"/>
    <x v="13"/>
    <s v="INR"/>
    <n v="37440"/>
    <s v="E112"/>
    <s v="E117"/>
  </r>
  <r>
    <n v="15"/>
    <s v="2021O41861"/>
    <n v="202115"/>
    <s v="CC347642"/>
    <s v="C230"/>
    <x v="9"/>
    <d v="1899-12-30T14:26:26"/>
    <s v="Apr"/>
    <x v="14"/>
    <s v="INR"/>
    <n v="56880"/>
    <s v="E116"/>
    <s v="E117"/>
  </r>
  <r>
    <n v="16"/>
    <s v="2021H11671"/>
    <n v="202116"/>
    <s v="CC988247"/>
    <s v="C235"/>
    <x v="10"/>
    <d v="1899-12-30T13:44:11"/>
    <s v="Apr"/>
    <x v="15"/>
    <s v="INR"/>
    <n v="7200"/>
    <s v="E107"/>
    <s v="E111"/>
  </r>
  <r>
    <n v="17"/>
    <s v="2021B31198"/>
    <n v="202117"/>
    <s v="CC767658"/>
    <s v="C223"/>
    <x v="11"/>
    <d v="1899-12-30T15:26:07"/>
    <s v="Apr"/>
    <x v="16"/>
    <s v="INR"/>
    <n v="85860"/>
    <s v="E114"/>
    <s v="E121"/>
  </r>
  <r>
    <n v="18"/>
    <s v="2021R31092"/>
    <n v="202118"/>
    <s v="CC975232"/>
    <s v="C206"/>
    <x v="12"/>
    <d v="1899-12-30T17:30:28"/>
    <s v="Apr"/>
    <x v="17"/>
    <s v="INR"/>
    <n v="62100"/>
    <s v="E111"/>
    <s v="E121"/>
  </r>
  <r>
    <n v="19"/>
    <s v="2021A51194"/>
    <n v="202119"/>
    <s v="CC133156"/>
    <s v="C225"/>
    <x v="13"/>
    <d v="1899-12-30T15:43:53"/>
    <s v="Apr"/>
    <x v="18"/>
    <s v="INR"/>
    <n v="60480"/>
    <s v="E113"/>
    <s v="E117"/>
  </r>
  <r>
    <n v="20"/>
    <s v="2021Z41307"/>
    <n v="202120"/>
    <s v="CC635100"/>
    <s v="C202"/>
    <x v="14"/>
    <d v="1899-12-30T10:57:23"/>
    <s v="Apr"/>
    <x v="19"/>
    <s v="INR"/>
    <n v="85680"/>
    <s v="E112"/>
    <s v="E119"/>
  </r>
  <r>
    <n v="21"/>
    <s v="2021R91771"/>
    <n v="202121"/>
    <s v="CC746542"/>
    <s v="C245"/>
    <x v="15"/>
    <d v="1899-12-30T11:34:16"/>
    <s v="Apr"/>
    <x v="20"/>
    <s v="INR"/>
    <n v="81360"/>
    <s v="E115"/>
    <s v="E121"/>
  </r>
  <r>
    <n v="22"/>
    <s v="2021S11228"/>
    <n v="202122"/>
    <s v="CC833959"/>
    <s v="C209"/>
    <x v="16"/>
    <d v="1899-12-30T16:47:41"/>
    <s v="May"/>
    <x v="21"/>
    <s v="INR"/>
    <n v="41040"/>
    <s v="E114"/>
    <s v="E121"/>
  </r>
  <r>
    <n v="23"/>
    <s v="2021V31896"/>
    <n v="202123"/>
    <s v="CC885725"/>
    <s v="C213"/>
    <x v="16"/>
    <d v="1899-12-30T15:47:02"/>
    <s v="May"/>
    <x v="22"/>
    <s v="INR"/>
    <n v="37080"/>
    <s v="E111"/>
    <s v="E121"/>
  </r>
  <r>
    <n v="24"/>
    <s v="2021G01002"/>
    <n v="202124"/>
    <s v="CC906339"/>
    <s v="C226"/>
    <x v="16"/>
    <d v="1899-12-30T14:15:50"/>
    <s v="May"/>
    <x v="23"/>
    <s v="INR"/>
    <n v="89280"/>
    <s v="E111"/>
    <s v="E121"/>
  </r>
  <r>
    <n v="25"/>
    <s v="2021T51281"/>
    <n v="202125"/>
    <s v="CC561983"/>
    <s v="C222"/>
    <x v="17"/>
    <d v="1899-12-30T13:49:36"/>
    <s v="May"/>
    <x v="24"/>
    <s v="INR"/>
    <n v="47700"/>
    <s v="E111"/>
    <s v="E117"/>
  </r>
  <r>
    <n v="26"/>
    <s v="2021O71143"/>
    <n v="202126"/>
    <s v="CC745730"/>
    <s v="C225"/>
    <x v="18"/>
    <d v="1899-12-30T13:17:00"/>
    <s v="May"/>
    <x v="25"/>
    <s v="INR"/>
    <n v="3960"/>
    <s v="E105"/>
    <s v="E111"/>
  </r>
  <r>
    <n v="27"/>
    <s v="2021E51338"/>
    <n v="202127"/>
    <s v="CC773644"/>
    <s v="C228"/>
    <x v="19"/>
    <d v="1899-12-30T17:12:15"/>
    <s v="May"/>
    <x v="26"/>
    <s v="INR"/>
    <n v="77760"/>
    <s v="E112"/>
    <s v="E118"/>
  </r>
  <r>
    <n v="28"/>
    <s v="2021B41966"/>
    <n v="202128"/>
    <s v="CC731431"/>
    <s v="C239"/>
    <x v="19"/>
    <d v="1899-12-30T14:08:36"/>
    <s v="May"/>
    <x v="27"/>
    <s v="INR"/>
    <n v="857160"/>
    <s v="E125"/>
    <s v="E126"/>
  </r>
  <r>
    <n v="29"/>
    <s v="2021R41426"/>
    <n v="202129"/>
    <s v="CC798801"/>
    <s v="C218"/>
    <x v="20"/>
    <d v="1899-12-30T11:39:31"/>
    <s v="Apr"/>
    <x v="28"/>
    <s v="INR"/>
    <n v="55800"/>
    <s v="E116"/>
    <s v="E121"/>
  </r>
  <r>
    <n v="30"/>
    <s v="2021Q11287"/>
    <n v="202130"/>
    <s v="CC140184"/>
    <s v="C218"/>
    <x v="21"/>
    <d v="1899-12-30T12:27:13"/>
    <s v="May"/>
    <x v="29"/>
    <s v="INR"/>
    <n v="37440"/>
    <s v="E110"/>
    <s v="E117"/>
  </r>
  <r>
    <n v="31"/>
    <s v="2021A11259"/>
    <n v="202131"/>
    <s v="CC945907"/>
    <s v="C220"/>
    <x v="21"/>
    <d v="1899-12-30T11:24:50"/>
    <s v="May"/>
    <x v="30"/>
    <s v="INR"/>
    <n v="40320"/>
    <s v="E112"/>
    <s v="E117"/>
  </r>
  <r>
    <n v="32"/>
    <s v="2021I01201"/>
    <n v="202132"/>
    <s v="CC390816"/>
    <s v="C234"/>
    <x v="21"/>
    <d v="1899-12-30T10:23:24"/>
    <s v="May"/>
    <x v="31"/>
    <s v="INR"/>
    <n v="86040"/>
    <s v="E115"/>
    <s v="E117"/>
  </r>
  <r>
    <n v="33"/>
    <s v="2021I81416"/>
    <n v="202133"/>
    <s v="CC797183"/>
    <s v="C229"/>
    <x v="22"/>
    <d v="1899-12-30T16:59:20"/>
    <s v="May"/>
    <x v="32"/>
    <s v="INR"/>
    <n v="62640"/>
    <s v="E116"/>
    <s v="E117"/>
  </r>
  <r>
    <n v="34"/>
    <s v="2021D81358"/>
    <n v="202134"/>
    <s v="CC391167"/>
    <s v="C208"/>
    <x v="23"/>
    <d v="1899-12-30T12:34:05"/>
    <s v="May"/>
    <x v="33"/>
    <s v="INR"/>
    <n v="55620"/>
    <s v="E112"/>
    <s v="E121"/>
  </r>
  <r>
    <n v="35"/>
    <s v="2021F21584"/>
    <n v="202135"/>
    <s v="CC435175"/>
    <s v="C201"/>
    <x v="24"/>
    <d v="1899-12-30T10:36:27"/>
    <s v="May"/>
    <x v="34"/>
    <s v="INR"/>
    <n v="77580"/>
    <s v="E112"/>
    <s v="E117"/>
  </r>
  <r>
    <n v="36"/>
    <s v="2021L91167"/>
    <n v="202136"/>
    <s v="CC365296"/>
    <s v="C218"/>
    <x v="25"/>
    <d v="1899-12-30T11:21:26"/>
    <s v="May"/>
    <x v="35"/>
    <s v="INR"/>
    <n v="3780"/>
    <s v="E101"/>
    <s v="E113"/>
  </r>
  <r>
    <n v="37"/>
    <s v="2021B71720"/>
    <n v="202137"/>
    <s v="CC102530"/>
    <s v="C218"/>
    <x v="25"/>
    <d v="1899-12-30T17:40:16"/>
    <s v="Apr"/>
    <x v="36"/>
    <s v="INR"/>
    <n v="4500"/>
    <s v="E105"/>
    <s v="E112"/>
  </r>
  <r>
    <n v="38"/>
    <s v="2021R91324"/>
    <n v="202138"/>
    <s v="CC662189"/>
    <s v="C226"/>
    <x v="26"/>
    <d v="1899-12-30T15:16:33"/>
    <s v="May"/>
    <x v="37"/>
    <s v="INR"/>
    <n v="78840"/>
    <s v="E115"/>
    <s v="E121"/>
  </r>
  <r>
    <n v="39"/>
    <s v="2021B01631"/>
    <n v="202139"/>
    <s v="CC757929"/>
    <s v="C233"/>
    <x v="26"/>
    <d v="1899-12-30T12:17:24"/>
    <s v="Apr"/>
    <x v="38"/>
    <s v="INR"/>
    <n v="52920"/>
    <s v="E111"/>
    <s v="E121"/>
  </r>
  <r>
    <n v="40"/>
    <s v="2021L81017"/>
    <n v="202140"/>
    <s v="CC631050"/>
    <s v="C216"/>
    <x v="27"/>
    <d v="1899-12-30T17:23:17"/>
    <s v="May"/>
    <x v="39"/>
    <s v="INR"/>
    <n v="1039860"/>
    <s v="E125"/>
    <s v="E126"/>
  </r>
  <r>
    <n v="41"/>
    <s v="2021X91684"/>
    <n v="202141"/>
    <s v="CC957201"/>
    <s v="C226"/>
    <x v="28"/>
    <d v="1899-12-30T17:00:51"/>
    <s v="May"/>
    <x v="40"/>
    <s v="INR"/>
    <n v="72000"/>
    <s v="E112"/>
    <s v="E120"/>
  </r>
  <r>
    <n v="42"/>
    <s v="2021R61666"/>
    <n v="202142"/>
    <s v="CC121694"/>
    <s v="C224"/>
    <x v="29"/>
    <d v="1899-12-30T16:25:31"/>
    <s v="May"/>
    <x v="41"/>
    <s v="INR"/>
    <n v="77040"/>
    <s v="E110"/>
    <s v="E120"/>
  </r>
  <r>
    <n v="43"/>
    <s v="2021X31753"/>
    <n v="202143"/>
    <s v="CC395630"/>
    <s v="C221"/>
    <x v="29"/>
    <d v="1899-12-30T13:52:20"/>
    <s v="May"/>
    <x v="42"/>
    <s v="INR"/>
    <n v="83340"/>
    <s v="E115"/>
    <s v="E117"/>
  </r>
  <r>
    <n v="44"/>
    <s v="2021I61180"/>
    <n v="202144"/>
    <s v="CC170513"/>
    <s v="C203"/>
    <x v="29"/>
    <d v="1899-12-30T14:43:37"/>
    <s v="Apr"/>
    <x v="43"/>
    <s v="INR"/>
    <n v="54000"/>
    <s v="E113"/>
    <s v="E118"/>
  </r>
  <r>
    <n v="45"/>
    <s v="2021T31701"/>
    <n v="202145"/>
    <s v="CC635521"/>
    <s v="C241"/>
    <x v="30"/>
    <d v="1899-12-30T15:27:50"/>
    <s v="May"/>
    <x v="44"/>
    <s v="INR"/>
    <n v="76860"/>
    <s v="E112"/>
    <s v="E117"/>
  </r>
  <r>
    <n v="46"/>
    <s v="2021A61497"/>
    <n v="202146"/>
    <s v="CC194863"/>
    <s v="C205"/>
    <x v="31"/>
    <d v="1899-12-30T15:08:09"/>
    <s v="May"/>
    <x v="45"/>
    <s v="INR"/>
    <n v="69480"/>
    <s v="E114"/>
    <s v="E120"/>
  </r>
  <r>
    <n v="47"/>
    <s v="2021M41446"/>
    <n v="202147"/>
    <s v="CC997850"/>
    <s v="C218"/>
    <x v="31"/>
    <d v="1899-12-30T10:47:42"/>
    <s v="May"/>
    <x v="46"/>
    <s v="INR"/>
    <n v="37080"/>
    <s v="E111"/>
    <s v="E118"/>
  </r>
  <r>
    <n v="48"/>
    <s v="2021W81642"/>
    <n v="202148"/>
    <s v="CC864884"/>
    <s v="C205"/>
    <x v="32"/>
    <d v="1899-12-30T17:50:44"/>
    <s v="Jun"/>
    <x v="47"/>
    <s v="INR"/>
    <n v="88380"/>
    <s v="E114"/>
    <s v="E121"/>
  </r>
  <r>
    <n v="49"/>
    <s v="2021X21512"/>
    <n v="202149"/>
    <s v="CC439730"/>
    <s v="C216"/>
    <x v="33"/>
    <d v="1899-12-30T15:21:56"/>
    <s v="May"/>
    <x v="48"/>
    <s v="INR"/>
    <n v="86580"/>
    <s v="E114"/>
    <s v="E120"/>
  </r>
  <r>
    <n v="50"/>
    <s v="2021J81369"/>
    <n v="202150"/>
    <s v="CC609961"/>
    <s v="C205"/>
    <x v="33"/>
    <d v="1899-12-30T13:26:50"/>
    <s v="May"/>
    <x v="49"/>
    <s v="INR"/>
    <n v="8280"/>
    <s v="E109"/>
    <s v="E114"/>
  </r>
  <r>
    <n v="51"/>
    <s v="2021V11343"/>
    <n v="202151"/>
    <s v="CC231050"/>
    <s v="C229"/>
    <x v="34"/>
    <d v="1899-12-30T17:06:38"/>
    <s v="May"/>
    <x v="50"/>
    <s v="INR"/>
    <n v="87120"/>
    <s v="E110"/>
    <s v="E121"/>
  </r>
  <r>
    <n v="52"/>
    <s v="2021D61060"/>
    <n v="202152"/>
    <s v="CC284849"/>
    <s v="C218"/>
    <x v="34"/>
    <d v="1899-12-30T16:40:09"/>
    <s v="Jun"/>
    <x v="51"/>
    <s v="INR"/>
    <n v="52020"/>
    <s v="E112"/>
    <s v="E118"/>
  </r>
  <r>
    <n v="53"/>
    <s v="2021Y01677"/>
    <n v="202153"/>
    <s v="CC819578"/>
    <s v="C210"/>
    <x v="35"/>
    <d v="1899-12-30T17:04:19"/>
    <s v="Jun"/>
    <x v="52"/>
    <s v="INR"/>
    <n v="86760"/>
    <s v="E113"/>
    <s v="E119"/>
  </r>
  <r>
    <n v="54"/>
    <s v="2021G21193"/>
    <n v="202154"/>
    <s v="CC908989"/>
    <s v="C221"/>
    <x v="35"/>
    <d v="1899-12-30T12:56:33"/>
    <s v="Jun"/>
    <x v="53"/>
    <s v="INR"/>
    <n v="43560"/>
    <s v="E112"/>
    <s v="E117"/>
  </r>
  <r>
    <n v="55"/>
    <s v="2021U51795"/>
    <n v="202155"/>
    <s v="CC311019"/>
    <s v="C220"/>
    <x v="36"/>
    <d v="1899-12-30T12:36:08"/>
    <s v="Jun"/>
    <x v="54"/>
    <s v="INR"/>
    <n v="46800"/>
    <s v="E115"/>
    <s v="E119"/>
  </r>
  <r>
    <n v="56"/>
    <s v="2021O01960"/>
    <n v="202156"/>
    <s v="CC349571"/>
    <s v="C246"/>
    <x v="37"/>
    <d v="1899-12-30T15:54:13"/>
    <s v="Jun"/>
    <x v="55"/>
    <s v="INR"/>
    <n v="1840140"/>
    <s v="E125"/>
    <s v="E126"/>
  </r>
  <r>
    <n v="57"/>
    <s v="2021T81469"/>
    <n v="202157"/>
    <s v="CC946950"/>
    <s v="C215"/>
    <x v="38"/>
    <d v="1899-12-30T11:22:14"/>
    <s v="Jun"/>
    <x v="56"/>
    <s v="INR"/>
    <n v="70020"/>
    <s v="E111"/>
    <s v="E121"/>
  </r>
  <r>
    <n v="58"/>
    <s v="2021N31706"/>
    <n v="202158"/>
    <s v="CC134993"/>
    <s v="C211"/>
    <x v="39"/>
    <d v="1899-12-30T13:00:02"/>
    <s v="Jun"/>
    <x v="57"/>
    <s v="INR"/>
    <n v="36360"/>
    <s v="E116"/>
    <s v="E121"/>
  </r>
  <r>
    <n v="59"/>
    <s v="2021P11624"/>
    <n v="202159"/>
    <s v="CC647688"/>
    <s v="C214"/>
    <x v="40"/>
    <d v="1899-12-30T13:25:57"/>
    <s v="May"/>
    <x v="58"/>
    <s v="INR"/>
    <n v="36720"/>
    <s v="E112"/>
    <s v="E119"/>
  </r>
  <r>
    <n v="60"/>
    <s v="2021M81128"/>
    <n v="202160"/>
    <s v="CC602480"/>
    <s v="C203"/>
    <x v="41"/>
    <d v="1899-12-30T15:24:29"/>
    <s v="May"/>
    <x v="59"/>
    <s v="INR"/>
    <n v="47700"/>
    <s v="E116"/>
    <s v="E121"/>
  </r>
  <r>
    <n v="61"/>
    <s v="2021N71287"/>
    <n v="202161"/>
    <s v="CC884936"/>
    <s v="C247"/>
    <x v="42"/>
    <d v="1899-12-30T14:42:14"/>
    <s v="May"/>
    <x v="60"/>
    <s v="INR"/>
    <n v="51120"/>
    <s v="E116"/>
    <s v="E119"/>
  </r>
  <r>
    <n v="62"/>
    <s v="2021B61390"/>
    <n v="202162"/>
    <s v="CC202310"/>
    <s v="C245"/>
    <x v="42"/>
    <d v="1899-12-30T16:00:23"/>
    <s v="Jun"/>
    <x v="61"/>
    <s v="INR"/>
    <n v="36540"/>
    <s v="E113"/>
    <s v="E117"/>
  </r>
  <r>
    <n v="63"/>
    <s v="2021Z81062"/>
    <n v="202163"/>
    <s v="CC707806"/>
    <s v="C224"/>
    <x v="43"/>
    <d v="1899-12-30T16:57:06"/>
    <s v="Jun"/>
    <x v="62"/>
    <s v="INR"/>
    <n v="5580"/>
    <s v="E108"/>
    <s v="E115"/>
  </r>
  <r>
    <n v="64"/>
    <s v="2021M31102"/>
    <n v="202164"/>
    <s v="CC256345"/>
    <s v="C217"/>
    <x v="43"/>
    <d v="1899-12-30T17:41:07"/>
    <s v="Jun"/>
    <x v="63"/>
    <s v="INR"/>
    <n v="46080"/>
    <s v="E116"/>
    <s v="E118"/>
  </r>
  <r>
    <n v="65"/>
    <s v="2021Y81250"/>
    <n v="202165"/>
    <s v="CC558542"/>
    <s v="C242"/>
    <x v="44"/>
    <d v="1899-12-30T12:10:53"/>
    <s v="Jun"/>
    <x v="64"/>
    <s v="INR"/>
    <n v="36720"/>
    <s v="E115"/>
    <s v="E121"/>
  </r>
  <r>
    <n v="66"/>
    <s v="2021O21294"/>
    <n v="202166"/>
    <s v="CC215575"/>
    <s v="C242"/>
    <x v="45"/>
    <d v="1899-12-30T14:44:52"/>
    <s v="Jun"/>
    <x v="65"/>
    <s v="INR"/>
    <n v="78120"/>
    <s v="E114"/>
    <s v="E120"/>
  </r>
  <r>
    <n v="67"/>
    <s v="2021U21759"/>
    <n v="202167"/>
    <s v="CC523412"/>
    <s v="C247"/>
    <x v="46"/>
    <d v="1899-12-30T14:55:58"/>
    <s v="Jun"/>
    <x v="66"/>
    <s v="INR"/>
    <n v="77760"/>
    <s v="E114"/>
    <s v="E118"/>
  </r>
  <r>
    <n v="68"/>
    <s v="2021H71893"/>
    <n v="202168"/>
    <s v="CC533157"/>
    <s v="C217"/>
    <x v="47"/>
    <d v="1899-12-30T16:07:29"/>
    <s v="Jun"/>
    <x v="67"/>
    <s v="INR"/>
    <n v="86760"/>
    <s v="E110"/>
    <s v="E118"/>
  </r>
  <r>
    <n v="69"/>
    <s v="2021W81912"/>
    <n v="202169"/>
    <s v="CC429411"/>
    <s v="C222"/>
    <x v="47"/>
    <d v="1899-12-30T13:34:09"/>
    <s v="Jun"/>
    <x v="68"/>
    <s v="INR"/>
    <n v="55440"/>
    <s v="E115"/>
    <s v="E119"/>
  </r>
  <r>
    <n v="70"/>
    <s v="2021S81691"/>
    <n v="202170"/>
    <s v="CC701678"/>
    <s v="C206"/>
    <x v="48"/>
    <d v="1899-12-30T17:12:50"/>
    <s v="Jul"/>
    <x v="69"/>
    <s v="INR"/>
    <n v="63000"/>
    <s v="E111"/>
    <s v="E117"/>
  </r>
  <r>
    <n v="71"/>
    <s v="2021T81345"/>
    <n v="202171"/>
    <s v="CC826058"/>
    <s v="C246"/>
    <x v="49"/>
    <d v="1899-12-30T17:04:42"/>
    <s v="Jul"/>
    <x v="70"/>
    <s v="INR"/>
    <n v="56880"/>
    <s v="E110"/>
    <s v="E120"/>
  </r>
  <r>
    <n v="72"/>
    <s v="2021T91070"/>
    <n v="202172"/>
    <s v="CC651707"/>
    <s v="C202"/>
    <x v="50"/>
    <d v="1899-12-30T14:08:03"/>
    <s v="Jul"/>
    <x v="71"/>
    <s v="INR"/>
    <n v="787320"/>
    <s v="E124"/>
    <s v="E125"/>
  </r>
  <r>
    <n v="73"/>
    <s v="2021X01716"/>
    <n v="202173"/>
    <s v="CC986093"/>
    <s v="C220"/>
    <x v="51"/>
    <d v="1899-12-30T12:18:38"/>
    <s v="Jul"/>
    <x v="72"/>
    <s v="INR"/>
    <n v="68220"/>
    <s v="E111"/>
    <s v="E120"/>
  </r>
  <r>
    <n v="74"/>
    <s v="2021Z01615"/>
    <n v="202174"/>
    <s v="CC375965"/>
    <s v="C202"/>
    <x v="51"/>
    <d v="1899-12-30T11:00:55"/>
    <s v="Jul"/>
    <x v="73"/>
    <s v="INR"/>
    <n v="74340"/>
    <s v="E115"/>
    <s v="E119"/>
  </r>
  <r>
    <n v="75"/>
    <s v="2021B51090"/>
    <n v="202175"/>
    <s v="CC938107"/>
    <s v="C247"/>
    <x v="51"/>
    <d v="1899-12-30T15:21:06"/>
    <s v="Jul"/>
    <x v="74"/>
    <s v="INR"/>
    <n v="81000"/>
    <s v="E112"/>
    <s v="E117"/>
  </r>
  <r>
    <n v="76"/>
    <s v="2021X01094"/>
    <n v="202176"/>
    <s v="CC583620"/>
    <s v="C207"/>
    <x v="52"/>
    <d v="1899-12-30T12:15:25"/>
    <s v="Jul"/>
    <x v="75"/>
    <s v="INR"/>
    <n v="81360"/>
    <s v="E115"/>
    <s v="E117"/>
  </r>
  <r>
    <n v="77"/>
    <s v="2021J91894"/>
    <n v="202177"/>
    <s v="CC101931"/>
    <s v="C221"/>
    <x v="53"/>
    <d v="1899-12-30T13:35:42"/>
    <s v="Jul"/>
    <x v="76"/>
    <s v="INR"/>
    <n v="61560"/>
    <s v="E116"/>
    <s v="E119"/>
  </r>
  <r>
    <n v="78"/>
    <s v="2021B71281"/>
    <n v="202178"/>
    <s v="CC106478"/>
    <s v="C211"/>
    <x v="53"/>
    <d v="1899-12-30T12:08:55"/>
    <s v="Jul"/>
    <x v="77"/>
    <s v="INR"/>
    <n v="66060"/>
    <s v="E113"/>
    <s v="E119"/>
  </r>
  <r>
    <n v="79"/>
    <s v="2021H41102"/>
    <n v="202179"/>
    <s v="CC609755"/>
    <s v="C219"/>
    <x v="54"/>
    <d v="1899-12-30T14:34:11"/>
    <s v="Jul"/>
    <x v="78"/>
    <s v="INR"/>
    <n v="43380"/>
    <s v="E114"/>
    <s v="E121"/>
  </r>
  <r>
    <n v="80"/>
    <s v="2021L01099"/>
    <n v="202180"/>
    <s v="CC622403"/>
    <s v="C204"/>
    <x v="54"/>
    <d v="1899-12-30T15:58:33"/>
    <s v="Jul"/>
    <x v="79"/>
    <s v="INR"/>
    <n v="61740"/>
    <s v="E112"/>
    <s v="E118"/>
  </r>
  <r>
    <n v="81"/>
    <s v="2021Y51189"/>
    <n v="202181"/>
    <s v="CC404008"/>
    <s v="C238"/>
    <x v="55"/>
    <d v="1899-12-30T13:00:58"/>
    <s v="Jun"/>
    <x v="80"/>
    <s v="INR"/>
    <n v="60300"/>
    <s v="E112"/>
    <s v="E121"/>
  </r>
  <r>
    <n v="82"/>
    <s v="2021M81255"/>
    <n v="202182"/>
    <s v="CC660318"/>
    <s v="C220"/>
    <x v="55"/>
    <d v="1899-12-30T12:19:38"/>
    <s v="Jul"/>
    <x v="81"/>
    <s v="INR"/>
    <n v="70560"/>
    <s v="E113"/>
    <s v="E119"/>
  </r>
  <r>
    <n v="83"/>
    <s v="2021K41004"/>
    <n v="202183"/>
    <s v="CC349403"/>
    <s v="C207"/>
    <x v="55"/>
    <d v="1899-12-30T13:19:39"/>
    <s v="Jul"/>
    <x v="82"/>
    <s v="INR"/>
    <n v="72540"/>
    <s v="E114"/>
    <s v="E118"/>
  </r>
  <r>
    <n v="84"/>
    <s v="2021W21969"/>
    <n v="202184"/>
    <s v="CC303098"/>
    <s v="C222"/>
    <x v="56"/>
    <d v="1899-12-30T11:20:30"/>
    <s v="Jul"/>
    <x v="83"/>
    <s v="INR"/>
    <n v="80640"/>
    <s v="E112"/>
    <s v="E121"/>
  </r>
  <r>
    <n v="85"/>
    <s v="2021U41237"/>
    <n v="202185"/>
    <s v="CC539119"/>
    <s v="C201"/>
    <x v="56"/>
    <d v="1899-12-30T15:23:33"/>
    <s v="Jul"/>
    <x v="84"/>
    <s v="INR"/>
    <n v="76320"/>
    <s v="E116"/>
    <s v="E119"/>
  </r>
  <r>
    <n v="86"/>
    <s v="2021A01638"/>
    <n v="202186"/>
    <s v="CC912514"/>
    <s v="C216"/>
    <x v="57"/>
    <d v="1899-12-30T14:51:57"/>
    <s v="Jul"/>
    <x v="85"/>
    <s v="INR"/>
    <n v="71640"/>
    <s v="E110"/>
    <s v="E121"/>
  </r>
  <r>
    <n v="87"/>
    <s v="2021G01954"/>
    <n v="202187"/>
    <s v="CC300861"/>
    <s v="C222"/>
    <x v="58"/>
    <d v="1899-12-30T15:15:29"/>
    <s v="Jul"/>
    <x v="86"/>
    <s v="INR"/>
    <n v="42120"/>
    <s v="E116"/>
    <s v="E118"/>
  </r>
  <r>
    <n v="88"/>
    <s v="2021J81996"/>
    <n v="202188"/>
    <s v="CC643300"/>
    <s v="C242"/>
    <x v="58"/>
    <d v="1899-12-30T10:00:16"/>
    <s v="Jul"/>
    <x v="87"/>
    <s v="INR"/>
    <n v="72180"/>
    <s v="E111"/>
    <s v="E118"/>
  </r>
  <r>
    <n v="89"/>
    <s v="2021H01519"/>
    <n v="202189"/>
    <s v="CC357006"/>
    <s v="C216"/>
    <x v="59"/>
    <d v="1899-12-30T12:13:29"/>
    <s v="Jul"/>
    <x v="88"/>
    <s v="INR"/>
    <n v="73260"/>
    <s v="E116"/>
    <s v="E121"/>
  </r>
  <r>
    <n v="90"/>
    <s v="2021A61174"/>
    <n v="202190"/>
    <s v="CC346925"/>
    <s v="C223"/>
    <x v="59"/>
    <d v="1899-12-30T11:36:18"/>
    <s v="Jul"/>
    <x v="89"/>
    <s v="INR"/>
    <n v="1093500"/>
    <s v="E125"/>
    <s v="E126"/>
  </r>
  <r>
    <n v="91"/>
    <s v="2021U71963"/>
    <n v="202191"/>
    <s v="CC775172"/>
    <s v="C200"/>
    <x v="59"/>
    <d v="1899-12-30T14:04:54"/>
    <s v="Jul"/>
    <x v="90"/>
    <s v="INR"/>
    <n v="80280"/>
    <s v="E114"/>
    <s v="E118"/>
  </r>
  <r>
    <n v="92"/>
    <s v="2021S81127"/>
    <n v="202192"/>
    <s v="CC991831"/>
    <s v="C216"/>
    <x v="60"/>
    <d v="1899-12-30T13:09:34"/>
    <s v="Jul"/>
    <x v="91"/>
    <s v="INR"/>
    <n v="68220"/>
    <s v="E113"/>
    <s v="E119"/>
  </r>
  <r>
    <n v="93"/>
    <s v="2021E71709"/>
    <n v="202193"/>
    <s v="CC484761"/>
    <s v="C210"/>
    <x v="61"/>
    <d v="1899-12-30T16:02:39"/>
    <s v="Jul"/>
    <x v="92"/>
    <s v="INR"/>
    <n v="6300"/>
    <s v="E103"/>
    <s v="E110"/>
  </r>
  <r>
    <n v="94"/>
    <s v="2021H91573"/>
    <n v="202194"/>
    <s v="CC163197"/>
    <s v="C232"/>
    <x v="62"/>
    <d v="1899-12-30T12:37:07"/>
    <s v="Jul"/>
    <x v="93"/>
    <s v="INR"/>
    <n v="60300"/>
    <s v="E113"/>
    <s v="E119"/>
  </r>
  <r>
    <n v="95"/>
    <s v="2021B01582"/>
    <n v="202195"/>
    <s v="CC163689"/>
    <s v="C244"/>
    <x v="63"/>
    <d v="1899-12-30T12:35:39"/>
    <s v="Jul"/>
    <x v="94"/>
    <s v="INR"/>
    <n v="81360"/>
    <s v="E112"/>
    <s v="E120"/>
  </r>
  <r>
    <n v="96"/>
    <s v="2021T01220"/>
    <n v="202196"/>
    <s v="CC941267"/>
    <s v="C223"/>
    <x v="64"/>
    <d v="1899-12-30T10:07:49"/>
    <s v="Jul"/>
    <x v="95"/>
    <s v="INR"/>
    <n v="65340"/>
    <s v="E115"/>
    <s v="E120"/>
  </r>
  <r>
    <n v="97"/>
    <s v="2021L51402"/>
    <n v="202197"/>
    <s v="CC142316"/>
    <s v="C209"/>
    <x v="65"/>
    <d v="1899-12-30T17:14:13"/>
    <s v="Aug"/>
    <x v="96"/>
    <s v="INR"/>
    <n v="82620"/>
    <s v="E113"/>
    <s v="E118"/>
  </r>
  <r>
    <n v="98"/>
    <s v="2021H21977"/>
    <n v="202198"/>
    <s v="CC140647"/>
    <s v="C247"/>
    <x v="66"/>
    <d v="1899-12-30T13:26:51"/>
    <s v="Aug"/>
    <x v="97"/>
    <s v="INR"/>
    <n v="84060"/>
    <s v="E116"/>
    <s v="E117"/>
  </r>
  <r>
    <n v="99"/>
    <s v="2021X01580"/>
    <n v="202199"/>
    <s v="CC564246"/>
    <s v="C225"/>
    <x v="66"/>
    <d v="1899-12-30T13:28:14"/>
    <s v="Aug"/>
    <x v="98"/>
    <s v="INR"/>
    <n v="69480"/>
    <s v="E115"/>
    <s v="E117"/>
  </r>
  <r>
    <n v="100"/>
    <s v="2021A71372"/>
    <n v="2021100"/>
    <s v="CC608204"/>
    <s v="C232"/>
    <x v="67"/>
    <d v="1899-12-30T11:50:45"/>
    <s v="Aug"/>
    <x v="99"/>
    <s v="INR"/>
    <n v="69120"/>
    <s v="E116"/>
    <s v="E118"/>
  </r>
  <r>
    <n v="101"/>
    <s v="2021B31430"/>
    <n v="2021101"/>
    <s v="CC189736"/>
    <s v="C204"/>
    <x v="68"/>
    <d v="1899-12-30T13:09:24"/>
    <s v="Jul"/>
    <x v="100"/>
    <s v="INR"/>
    <n v="85320"/>
    <s v="E112"/>
    <s v="E117"/>
  </r>
  <r>
    <n v="102"/>
    <s v="2021M91482"/>
    <n v="2021102"/>
    <s v="CC490388"/>
    <s v="C239"/>
    <x v="69"/>
    <d v="1899-12-30T14:05:52"/>
    <s v="Aug"/>
    <x v="101"/>
    <s v="INR"/>
    <n v="39600"/>
    <s v="E111"/>
    <s v="E121"/>
  </r>
  <r>
    <n v="103"/>
    <s v="2021B31300"/>
    <n v="2021103"/>
    <s v="CC796823"/>
    <s v="C227"/>
    <x v="70"/>
    <d v="1899-12-30T10:45:47"/>
    <s v="Aug"/>
    <x v="102"/>
    <s v="INR"/>
    <n v="64980"/>
    <s v="E111"/>
    <s v="E118"/>
  </r>
  <r>
    <n v="104"/>
    <s v="2021P61723"/>
    <n v="2021104"/>
    <s v="CC963879"/>
    <s v="C231"/>
    <x v="71"/>
    <d v="1899-12-30T14:30:19"/>
    <s v="Aug"/>
    <x v="103"/>
    <s v="INR"/>
    <n v="84240"/>
    <s v="E111"/>
    <s v="E120"/>
  </r>
  <r>
    <n v="105"/>
    <s v="2021P41840"/>
    <n v="2021105"/>
    <s v="CC206692"/>
    <s v="C228"/>
    <x v="72"/>
    <d v="1899-12-30T14:32:23"/>
    <s v="Aug"/>
    <x v="104"/>
    <s v="INR"/>
    <n v="76500"/>
    <s v="E114"/>
    <s v="E120"/>
  </r>
  <r>
    <n v="106"/>
    <s v="2021N11941"/>
    <n v="2021106"/>
    <s v="CC879716"/>
    <s v="C215"/>
    <x v="72"/>
    <d v="1899-12-30T15:34:46"/>
    <s v="Aug"/>
    <x v="105"/>
    <s v="INR"/>
    <n v="87660"/>
    <s v="E113"/>
    <s v="E117"/>
  </r>
  <r>
    <n v="107"/>
    <s v="2021A11297"/>
    <n v="2021107"/>
    <s v="CC138113"/>
    <s v="C239"/>
    <x v="72"/>
    <d v="1899-12-30T10:05:17"/>
    <s v="Aug"/>
    <x v="106"/>
    <s v="INR"/>
    <n v="87300"/>
    <s v="E112"/>
    <s v="E121"/>
  </r>
  <r>
    <n v="108"/>
    <s v="2021E11569"/>
    <n v="2021108"/>
    <s v="CC757686"/>
    <s v="C216"/>
    <x v="73"/>
    <d v="1899-12-30T11:13:38"/>
    <s v="Aug"/>
    <x v="107"/>
    <s v="INR"/>
    <n v="978300"/>
    <s v="E125"/>
    <s v="E126"/>
  </r>
  <r>
    <n v="109"/>
    <s v="2021U51929"/>
    <n v="2021109"/>
    <s v="CC824101"/>
    <s v="C247"/>
    <x v="74"/>
    <d v="1899-12-30T13:59:38"/>
    <s v="Aug"/>
    <x v="108"/>
    <s v="INR"/>
    <n v="40860"/>
    <s v="E114"/>
    <s v="E120"/>
  </r>
  <r>
    <n v="110"/>
    <s v="2021C81340"/>
    <n v="2021110"/>
    <s v="CC234912"/>
    <s v="C229"/>
    <x v="74"/>
    <d v="1899-12-30T14:17:11"/>
    <s v="Aug"/>
    <x v="109"/>
    <s v="INR"/>
    <n v="41220"/>
    <s v="E113"/>
    <s v="E120"/>
  </r>
  <r>
    <n v="111"/>
    <s v="2021G21610"/>
    <n v="2021111"/>
    <s v="CC194242"/>
    <s v="C240"/>
    <x v="74"/>
    <d v="1899-12-30T15:41:01"/>
    <s v="Aug"/>
    <x v="110"/>
    <s v="INR"/>
    <n v="55440"/>
    <s v="E116"/>
    <s v="E118"/>
  </r>
  <r>
    <n v="112"/>
    <s v="2021L81146"/>
    <n v="2021112"/>
    <s v="CC262751"/>
    <s v="C228"/>
    <x v="75"/>
    <d v="1899-12-30T12:26:16"/>
    <s v="Aug"/>
    <x v="111"/>
    <s v="INR"/>
    <n v="84420"/>
    <s v="E110"/>
    <s v="E119"/>
  </r>
  <r>
    <n v="113"/>
    <s v="2021I11304"/>
    <n v="2021113"/>
    <s v="CC377358"/>
    <s v="C234"/>
    <x v="75"/>
    <d v="1899-12-30T16:51:43"/>
    <s v="Aug"/>
    <x v="112"/>
    <s v="INR"/>
    <n v="86940"/>
    <s v="E110"/>
    <s v="E120"/>
  </r>
  <r>
    <n v="114"/>
    <s v="2021Q61728"/>
    <n v="2021114"/>
    <s v="CC550811"/>
    <s v="C222"/>
    <x v="76"/>
    <d v="1899-12-30T16:27:16"/>
    <s v="Aug"/>
    <x v="113"/>
    <s v="INR"/>
    <n v="60300"/>
    <s v="E110"/>
    <s v="E117"/>
  </r>
  <r>
    <n v="115"/>
    <s v="2021A61891"/>
    <n v="2021115"/>
    <s v="CC963120"/>
    <s v="C223"/>
    <x v="77"/>
    <d v="1899-12-30T11:19:12"/>
    <s v="Aug"/>
    <x v="114"/>
    <s v="INR"/>
    <n v="41400"/>
    <s v="E116"/>
    <s v="E120"/>
  </r>
  <r>
    <n v="116"/>
    <s v="2021B81995"/>
    <n v="2021116"/>
    <s v="CC187415"/>
    <s v="C234"/>
    <x v="77"/>
    <d v="1899-12-30T13:48:39"/>
    <s v="Aug"/>
    <x v="115"/>
    <s v="INR"/>
    <n v="79380"/>
    <s v="E113"/>
    <s v="E118"/>
  </r>
  <r>
    <n v="117"/>
    <s v="2021Q11357"/>
    <n v="2021117"/>
    <s v="CC678464"/>
    <s v="C208"/>
    <x v="78"/>
    <d v="1899-12-30T17:07:40"/>
    <s v="Sep"/>
    <x v="116"/>
    <s v="INR"/>
    <n v="62460"/>
    <s v="E113"/>
    <s v="E121"/>
  </r>
  <r>
    <n v="118"/>
    <s v="2021W21207"/>
    <n v="2021118"/>
    <s v="CC658620"/>
    <s v="C214"/>
    <x v="78"/>
    <d v="1899-12-30T16:20:51"/>
    <s v="Sep"/>
    <x v="117"/>
    <s v="INR"/>
    <n v="86940"/>
    <s v="E112"/>
    <s v="E121"/>
  </r>
  <r>
    <n v="119"/>
    <s v="2021I01370"/>
    <n v="2021119"/>
    <s v="CC272279"/>
    <s v="C213"/>
    <x v="78"/>
    <d v="1899-12-30T12:35:08"/>
    <s v="Sep"/>
    <x v="118"/>
    <s v="INR"/>
    <n v="66420"/>
    <s v="E114"/>
    <s v="E118"/>
  </r>
  <r>
    <n v="120"/>
    <s v="2021A71500"/>
    <n v="2021120"/>
    <s v="CC926667"/>
    <s v="C233"/>
    <x v="79"/>
    <d v="1899-12-30T14:44:26"/>
    <s v="Sep"/>
    <x v="119"/>
    <s v="INR"/>
    <n v="74160"/>
    <s v="E113"/>
    <s v="E118"/>
  </r>
  <r>
    <n v="121"/>
    <s v="2021G41623"/>
    <n v="2021121"/>
    <s v="CC669152"/>
    <s v="C225"/>
    <x v="80"/>
    <d v="1899-12-30T11:03:53"/>
    <s v="Sep"/>
    <x v="120"/>
    <s v="INR"/>
    <n v="89280"/>
    <s v="E112"/>
    <s v="E117"/>
  </r>
  <r>
    <n v="122"/>
    <s v="2021Q11837"/>
    <n v="2021122"/>
    <s v="CC520152"/>
    <s v="C248"/>
    <x v="80"/>
    <d v="1899-12-30T17:58:48"/>
    <s v="Sep"/>
    <x v="121"/>
    <s v="INR"/>
    <n v="47520"/>
    <s v="E111"/>
    <s v="E119"/>
  </r>
  <r>
    <n v="123"/>
    <s v="2021D01722"/>
    <n v="2021123"/>
    <s v="CC789932"/>
    <s v="C247"/>
    <x v="81"/>
    <d v="1899-12-30T10:27:22"/>
    <s v="Aug"/>
    <x v="122"/>
    <s v="INR"/>
    <n v="51480"/>
    <s v="E111"/>
    <s v="E120"/>
  </r>
  <r>
    <n v="124"/>
    <s v="2021T41432"/>
    <n v="2021124"/>
    <s v="CC129136"/>
    <s v="C221"/>
    <x v="82"/>
    <d v="1899-12-30T14:10:38"/>
    <s v="Sep"/>
    <x v="123"/>
    <s v="INR"/>
    <n v="57240"/>
    <s v="E115"/>
    <s v="E118"/>
  </r>
  <r>
    <n v="125"/>
    <s v="2021A61477"/>
    <n v="2021125"/>
    <s v="CC174050"/>
    <s v="C247"/>
    <x v="83"/>
    <d v="1899-12-30T11:12:43"/>
    <s v="Sep"/>
    <x v="124"/>
    <s v="INR"/>
    <n v="5220"/>
    <s v="E107"/>
    <s v="E115"/>
  </r>
  <r>
    <n v="126"/>
    <s v="2021F71809"/>
    <n v="2021126"/>
    <s v="CC203129"/>
    <s v="C219"/>
    <x v="83"/>
    <d v="1899-12-30T14:04:05"/>
    <s v="Sep"/>
    <x v="125"/>
    <s v="INR"/>
    <n v="46620"/>
    <s v="E112"/>
    <s v="E117"/>
  </r>
  <r>
    <n v="127"/>
    <s v="2021K81641"/>
    <n v="2021127"/>
    <s v="CC913019"/>
    <s v="C226"/>
    <x v="84"/>
    <d v="1899-12-30T17:14:45"/>
    <s v="Sep"/>
    <x v="126"/>
    <s v="INR"/>
    <n v="73260"/>
    <s v="E111"/>
    <s v="E117"/>
  </r>
  <r>
    <n v="128"/>
    <s v="2021C71790"/>
    <n v="2021128"/>
    <s v="CC605123"/>
    <s v="C200"/>
    <x v="84"/>
    <d v="1899-12-30T10:23:50"/>
    <s v="Sep"/>
    <x v="127"/>
    <s v="INR"/>
    <n v="78300"/>
    <s v="E116"/>
    <s v="E118"/>
  </r>
  <r>
    <n v="129"/>
    <s v="2021B71939"/>
    <n v="2021129"/>
    <s v="CC269136"/>
    <s v="C212"/>
    <x v="85"/>
    <d v="1899-12-30T10:49:23"/>
    <s v="Sep"/>
    <x v="128"/>
    <s v="INR"/>
    <n v="71100"/>
    <s v="E110"/>
    <s v="E121"/>
  </r>
  <r>
    <n v="130"/>
    <s v="2021T21047"/>
    <n v="2021130"/>
    <s v="CC689289"/>
    <s v="C209"/>
    <x v="86"/>
    <d v="1899-12-30T14:15:24"/>
    <s v="Sep"/>
    <x v="129"/>
    <s v="INR"/>
    <n v="64260"/>
    <s v="E110"/>
    <s v="E120"/>
  </r>
  <r>
    <n v="131"/>
    <s v="2021H41240"/>
    <n v="2021131"/>
    <s v="CC372625"/>
    <s v="C224"/>
    <x v="87"/>
    <d v="1899-12-30T12:54:30"/>
    <s v="Sep"/>
    <x v="130"/>
    <s v="INR"/>
    <n v="46260"/>
    <s v="E110"/>
    <s v="E121"/>
  </r>
  <r>
    <n v="132"/>
    <s v="2021V41995"/>
    <n v="2021132"/>
    <s v="CC818032"/>
    <s v="C222"/>
    <x v="87"/>
    <d v="1899-12-30T15:12:11"/>
    <s v="Sep"/>
    <x v="131"/>
    <s v="INR"/>
    <n v="46620"/>
    <s v="E110"/>
    <s v="E120"/>
  </r>
  <r>
    <n v="133"/>
    <s v="2021j61812"/>
    <n v="2021133"/>
    <s v="CC360301"/>
    <s v="C202"/>
    <x v="88"/>
    <d v="1899-12-30T13:23:09"/>
    <s v="Sep"/>
    <x v="132"/>
    <s v="INR"/>
    <n v="76140"/>
    <s v="E114"/>
    <s v="E119"/>
  </r>
  <r>
    <n v="134"/>
    <s v="2021T01222"/>
    <n v="2021134"/>
    <s v="CC490914"/>
    <s v="C229"/>
    <x v="89"/>
    <d v="1899-12-30T10:12:09"/>
    <s v="Sep"/>
    <x v="133"/>
    <s v="INR"/>
    <n v="89640"/>
    <s v="E110"/>
    <s v="E119"/>
  </r>
  <r>
    <n v="135"/>
    <s v="2021Y21296"/>
    <n v="2021135"/>
    <s v="CC848821"/>
    <s v="C232"/>
    <x v="90"/>
    <d v="1899-12-30T16:45:07"/>
    <s v="Sep"/>
    <x v="134"/>
    <s v="INR"/>
    <n v="61740"/>
    <s v="E110"/>
    <s v="E121"/>
  </r>
  <r>
    <n v="136"/>
    <s v="2021N51813"/>
    <n v="2021136"/>
    <s v="CC365954"/>
    <s v="C212"/>
    <x v="90"/>
    <d v="1899-12-30T17:09:52"/>
    <s v="Sep"/>
    <x v="135"/>
    <s v="INR"/>
    <n v="48780"/>
    <s v="E112"/>
    <s v="E120"/>
  </r>
  <r>
    <n v="137"/>
    <s v="2021M61954"/>
    <n v="2021137"/>
    <s v="CC624106"/>
    <s v="C231"/>
    <x v="91"/>
    <d v="1899-12-30T13:50:40"/>
    <s v="Sep"/>
    <x v="136"/>
    <s v="INR"/>
    <n v="45360"/>
    <s v="E111"/>
    <s v="E117"/>
  </r>
  <r>
    <n v="138"/>
    <s v="2021H81749"/>
    <n v="2021138"/>
    <s v="CC388111"/>
    <s v="C220"/>
    <x v="92"/>
    <d v="1899-12-30T10:47:43"/>
    <s v="Sep"/>
    <x v="137"/>
    <s v="INR"/>
    <n v="64800"/>
    <s v="E113"/>
    <s v="E120"/>
  </r>
  <r>
    <n v="139"/>
    <s v="2021P01829"/>
    <n v="2021139"/>
    <s v="CC692084"/>
    <s v="C213"/>
    <x v="93"/>
    <d v="1899-12-30T15:36:19"/>
    <s v="Sep"/>
    <x v="138"/>
    <s v="INR"/>
    <n v="58320"/>
    <s v="E114"/>
    <s v="E121"/>
  </r>
  <r>
    <n v="140"/>
    <s v="2021K11075"/>
    <n v="2021140"/>
    <s v="CC226211"/>
    <s v="C200"/>
    <x v="94"/>
    <d v="1899-12-30T12:49:53"/>
    <s v="Sep"/>
    <x v="139"/>
    <s v="INR"/>
    <n v="61380"/>
    <s v="E116"/>
    <s v="E119"/>
  </r>
  <r>
    <n v="141"/>
    <s v="2021A71669"/>
    <n v="2021141"/>
    <s v="CC718075"/>
    <s v="C217"/>
    <x v="94"/>
    <d v="1899-12-30T13:20:58"/>
    <s v="Sep"/>
    <x v="140"/>
    <s v="INR"/>
    <n v="74160"/>
    <s v="E116"/>
    <s v="E121"/>
  </r>
  <r>
    <n v="142"/>
    <s v="2021Z31837"/>
    <n v="2021142"/>
    <s v="CC933354"/>
    <s v="C215"/>
    <x v="95"/>
    <d v="1899-12-30T12:37:53"/>
    <s v="Sep"/>
    <x v="141"/>
    <s v="INR"/>
    <n v="51480"/>
    <s v="E114"/>
    <s v="E121"/>
  </r>
  <r>
    <n v="143"/>
    <s v="2021N81135"/>
    <n v="2021143"/>
    <s v="CC143212"/>
    <s v="C225"/>
    <x v="95"/>
    <d v="1899-12-30T11:38:00"/>
    <s v="Sep"/>
    <x v="142"/>
    <s v="INR"/>
    <n v="83700"/>
    <s v="E115"/>
    <s v="E117"/>
  </r>
  <r>
    <n v="144"/>
    <s v="2021T41774"/>
    <n v="2021144"/>
    <s v="CC105500"/>
    <s v="C226"/>
    <x v="95"/>
    <d v="1899-12-30T16:04:08"/>
    <s v="Sep"/>
    <x v="143"/>
    <s v="INR"/>
    <n v="82440"/>
    <s v="E111"/>
    <s v="E117"/>
  </r>
  <r>
    <n v="145"/>
    <s v="2021F71912"/>
    <n v="2021145"/>
    <s v="CC833641"/>
    <s v="C237"/>
    <x v="95"/>
    <d v="1899-12-30T11:30:46"/>
    <s v="Sep"/>
    <x v="144"/>
    <s v="INR"/>
    <n v="64980"/>
    <s v="E114"/>
    <s v="E117"/>
  </r>
  <r>
    <n v="146"/>
    <s v="2021M31038"/>
    <n v="2021146"/>
    <s v="CC585370"/>
    <s v="C225"/>
    <x v="95"/>
    <d v="1899-12-30T15:16:07"/>
    <s v="Sep"/>
    <x v="145"/>
    <s v="INR"/>
    <n v="57960"/>
    <s v="E111"/>
    <s v="E117"/>
  </r>
  <r>
    <n v="147"/>
    <s v="2021R71619"/>
    <n v="2021147"/>
    <s v="CC676088"/>
    <s v="C220"/>
    <x v="96"/>
    <d v="1899-12-30T17:23:12"/>
    <s v="Oct"/>
    <x v="146"/>
    <s v="INR"/>
    <n v="85500"/>
    <s v="E115"/>
    <s v="E119"/>
  </r>
  <r>
    <n v="148"/>
    <s v="2021G41356"/>
    <n v="2021148"/>
    <s v="CC744652"/>
    <s v="C230"/>
    <x v="97"/>
    <d v="1899-12-30T12:11:37"/>
    <s v="Sep"/>
    <x v="147"/>
    <s v="INR"/>
    <n v="49500"/>
    <s v="E111"/>
    <s v="E117"/>
  </r>
  <r>
    <n v="149"/>
    <s v="2021W91598"/>
    <n v="2021149"/>
    <s v="CC417823"/>
    <s v="C233"/>
    <x v="97"/>
    <d v="1899-12-30T14:01:25"/>
    <s v="Sep"/>
    <x v="148"/>
    <s v="INR"/>
    <n v="60660"/>
    <s v="E113"/>
    <s v="E120"/>
  </r>
  <r>
    <n v="150"/>
    <s v="2021Z91645"/>
    <n v="2021150"/>
    <s v="CC259184"/>
    <s v="C216"/>
    <x v="98"/>
    <d v="1899-12-30T13:11:48"/>
    <s v="Sep"/>
    <x v="149"/>
    <s v="INR"/>
    <n v="88920"/>
    <s v="E110"/>
    <s v="E120"/>
  </r>
  <r>
    <n v="151"/>
    <s v="2021D71186"/>
    <n v="2021151"/>
    <s v="CC327987"/>
    <s v="C247"/>
    <x v="99"/>
    <d v="1899-12-30T11:18:30"/>
    <s v="Oct"/>
    <x v="150"/>
    <s v="INR"/>
    <n v="63540"/>
    <s v="E111"/>
    <s v="E121"/>
  </r>
  <r>
    <n v="152"/>
    <s v="2021N21531"/>
    <n v="2021152"/>
    <s v="CC809239"/>
    <s v="C208"/>
    <x v="99"/>
    <d v="1899-12-30T12:53:37"/>
    <s v="Oct"/>
    <x v="151"/>
    <s v="INR"/>
    <n v="42300"/>
    <s v="E116"/>
    <s v="E117"/>
  </r>
  <r>
    <n v="153"/>
    <s v="2021E11764"/>
    <n v="2021153"/>
    <s v="CC619981"/>
    <s v="C221"/>
    <x v="99"/>
    <d v="1899-12-30T10:05:38"/>
    <s v="Oct"/>
    <x v="152"/>
    <s v="INR"/>
    <n v="48240"/>
    <s v="E115"/>
    <s v="E117"/>
  </r>
  <r>
    <n v="154"/>
    <s v="2021U91067"/>
    <n v="2021154"/>
    <s v="CC625217"/>
    <s v="C215"/>
    <x v="100"/>
    <d v="1899-12-30T16:52:19"/>
    <s v="Oct"/>
    <x v="153"/>
    <s v="INR"/>
    <n v="845640"/>
    <s v="E125"/>
    <s v="E126"/>
  </r>
  <r>
    <n v="155"/>
    <s v="2021T31939"/>
    <n v="2021155"/>
    <s v="CC677517"/>
    <s v="C203"/>
    <x v="100"/>
    <d v="1899-12-30T11:25:52"/>
    <s v="Oct"/>
    <x v="154"/>
    <s v="INR"/>
    <n v="7200"/>
    <s v="E102"/>
    <s v="E115"/>
  </r>
  <r>
    <n v="156"/>
    <s v="2021P31013"/>
    <n v="2021156"/>
    <s v="CC702013"/>
    <s v="C242"/>
    <x v="101"/>
    <d v="1899-12-30T16:59:57"/>
    <s v="Oct"/>
    <x v="155"/>
    <s v="INR"/>
    <n v="76860"/>
    <s v="E111"/>
    <s v="E120"/>
  </r>
  <r>
    <n v="157"/>
    <s v="2021S81432"/>
    <n v="2021157"/>
    <s v="CC779818"/>
    <s v="C247"/>
    <x v="102"/>
    <d v="1899-12-30T11:09:58"/>
    <s v="Oct"/>
    <x v="156"/>
    <s v="INR"/>
    <n v="67320"/>
    <s v="E111"/>
    <s v="E120"/>
  </r>
  <r>
    <n v="158"/>
    <s v="2021U21619"/>
    <n v="2021158"/>
    <s v="CC454104"/>
    <s v="C208"/>
    <x v="103"/>
    <d v="1899-12-30T12:51:49"/>
    <s v="Oct"/>
    <x v="157"/>
    <s v="INR"/>
    <n v="41580"/>
    <s v="E114"/>
    <s v="E121"/>
  </r>
  <r>
    <n v="159"/>
    <s v="2021D91475"/>
    <n v="2021159"/>
    <s v="CC924095"/>
    <s v="C231"/>
    <x v="103"/>
    <d v="1899-12-30T10:05:22"/>
    <s v="Oct"/>
    <x v="158"/>
    <s v="INR"/>
    <n v="87300"/>
    <s v="E115"/>
    <s v="E120"/>
  </r>
  <r>
    <n v="160"/>
    <s v="2021V91929"/>
    <n v="2021160"/>
    <s v="CC301372"/>
    <s v="C217"/>
    <x v="104"/>
    <d v="1899-12-30T13:11:05"/>
    <s v="Oct"/>
    <x v="159"/>
    <s v="INR"/>
    <n v="70560"/>
    <s v="E114"/>
    <s v="E119"/>
  </r>
  <r>
    <n v="161"/>
    <s v="2021Y01767"/>
    <n v="2021161"/>
    <s v="CC180974"/>
    <s v="C207"/>
    <x v="105"/>
    <d v="1899-12-30T13:14:31"/>
    <s v="Oct"/>
    <x v="160"/>
    <s v="INR"/>
    <n v="88920"/>
    <s v="E114"/>
    <s v="E119"/>
  </r>
  <r>
    <n v="162"/>
    <s v="2021L21306"/>
    <n v="2021162"/>
    <s v="CC879944"/>
    <s v="C203"/>
    <x v="105"/>
    <d v="1899-12-30T12:01:58"/>
    <s v="Oct"/>
    <x v="161"/>
    <s v="INR"/>
    <n v="75780"/>
    <s v="E110"/>
    <s v="E121"/>
  </r>
  <r>
    <n v="163"/>
    <s v="2021X31264"/>
    <n v="2021163"/>
    <s v="CC309164"/>
    <s v="C219"/>
    <x v="106"/>
    <d v="1899-12-30T11:45:11"/>
    <s v="Oct"/>
    <x v="162"/>
    <s v="INR"/>
    <n v="61200"/>
    <s v="E115"/>
    <s v="E118"/>
  </r>
  <r>
    <n v="164"/>
    <s v="2021Q41237"/>
    <n v="2021164"/>
    <s v="CC555009"/>
    <s v="C208"/>
    <x v="107"/>
    <d v="1899-12-30T11:32:12"/>
    <s v="Oct"/>
    <x v="163"/>
    <s v="INR"/>
    <n v="56340"/>
    <s v="E115"/>
    <s v="E117"/>
  </r>
  <r>
    <n v="165"/>
    <s v="2021U31823"/>
    <n v="2021165"/>
    <s v="CC967324"/>
    <s v="C238"/>
    <x v="108"/>
    <d v="1899-12-30T15:45:01"/>
    <s v="Oct"/>
    <x v="164"/>
    <s v="INR"/>
    <n v="86580"/>
    <s v="E115"/>
    <s v="E117"/>
  </r>
  <r>
    <n v="166"/>
    <s v="2021R11934"/>
    <n v="2021166"/>
    <s v="CC203009"/>
    <s v="C244"/>
    <x v="109"/>
    <d v="1899-12-30T10:08:49"/>
    <s v="Oct"/>
    <x v="165"/>
    <s v="INR"/>
    <n v="41040"/>
    <s v="E115"/>
    <s v="E120"/>
  </r>
  <r>
    <n v="167"/>
    <s v="2021Q71393"/>
    <n v="2021167"/>
    <s v="CC492186"/>
    <s v="C214"/>
    <x v="110"/>
    <d v="1899-12-30T14:31:53"/>
    <s v="Oct"/>
    <x v="166"/>
    <s v="INR"/>
    <n v="66960"/>
    <s v="E113"/>
    <s v="E119"/>
  </r>
  <r>
    <n v="168"/>
    <s v="2021B11249"/>
    <n v="2021168"/>
    <s v="CC246720"/>
    <s v="C209"/>
    <x v="110"/>
    <d v="1899-12-30T12:40:46"/>
    <s v="Oct"/>
    <x v="167"/>
    <s v="INR"/>
    <n v="48600"/>
    <s v="E112"/>
    <s v="E121"/>
  </r>
  <r>
    <n v="169"/>
    <s v="2021C71712"/>
    <n v="2021169"/>
    <s v="CC694226"/>
    <s v="C216"/>
    <x v="111"/>
    <d v="1899-12-30T11:59:48"/>
    <s v="Nov"/>
    <x v="168"/>
    <s v="INR"/>
    <n v="41220"/>
    <s v="E116"/>
    <s v="E118"/>
  </r>
  <r>
    <n v="170"/>
    <s v="2021B01057"/>
    <n v="2021170"/>
    <s v="CC542046"/>
    <s v="C232"/>
    <x v="111"/>
    <d v="1899-12-30T10:39:04"/>
    <s v="Nov"/>
    <x v="169"/>
    <s v="INR"/>
    <n v="36720"/>
    <s v="E111"/>
    <s v="E119"/>
  </r>
  <r>
    <n v="171"/>
    <s v="2021N41706"/>
    <n v="2021171"/>
    <s v="CC700480"/>
    <s v="C215"/>
    <x v="111"/>
    <d v="1899-12-30T11:17:20"/>
    <s v="Nov"/>
    <x v="170"/>
    <s v="INR"/>
    <n v="77220"/>
    <s v="E116"/>
    <s v="E119"/>
  </r>
  <r>
    <n v="172"/>
    <s v="2021U31013"/>
    <n v="2021172"/>
    <s v="CC333327"/>
    <s v="C225"/>
    <x v="112"/>
    <d v="1899-12-30T15:13:56"/>
    <s v="Nov"/>
    <x v="171"/>
    <s v="INR"/>
    <n v="37440"/>
    <s v="E111"/>
    <s v="E121"/>
  </r>
  <r>
    <n v="173"/>
    <s v="2021X41947"/>
    <n v="2021173"/>
    <s v="CC325561"/>
    <s v="C226"/>
    <x v="113"/>
    <d v="1899-12-30T16:13:58"/>
    <s v="Nov"/>
    <x v="172"/>
    <s v="INR"/>
    <n v="82620"/>
    <s v="E111"/>
    <s v="E121"/>
  </r>
  <r>
    <n v="174"/>
    <s v="2021G71031"/>
    <n v="2021174"/>
    <s v="CC256327"/>
    <s v="C226"/>
    <x v="113"/>
    <d v="1899-12-30T15:44:25"/>
    <s v="Oct"/>
    <x v="173"/>
    <s v="INR"/>
    <n v="64080"/>
    <s v="E112"/>
    <s v="E117"/>
  </r>
  <r>
    <n v="175"/>
    <s v="2021W41973"/>
    <n v="2021175"/>
    <s v="CC489112"/>
    <s v="C234"/>
    <x v="114"/>
    <d v="1899-12-30T17:24:26"/>
    <s v="Nov"/>
    <x v="174"/>
    <s v="INR"/>
    <n v="36720"/>
    <s v="E114"/>
    <s v="E118"/>
  </r>
  <r>
    <n v="176"/>
    <s v="2021J51508"/>
    <n v="2021176"/>
    <s v="CC853034"/>
    <s v="C244"/>
    <x v="114"/>
    <d v="1899-12-30T16:37:33"/>
    <s v="Nov"/>
    <x v="175"/>
    <s v="INR"/>
    <n v="71460"/>
    <s v="E113"/>
    <s v="E117"/>
  </r>
  <r>
    <n v="177"/>
    <s v="2021J11327"/>
    <n v="2021177"/>
    <s v="CC347294"/>
    <s v="C228"/>
    <x v="114"/>
    <d v="1899-12-30T10:09:39"/>
    <s v="Nov"/>
    <x v="176"/>
    <s v="INR"/>
    <n v="84780"/>
    <s v="E115"/>
    <s v="E120"/>
  </r>
  <r>
    <n v="178"/>
    <s v="2021V21414"/>
    <n v="2021178"/>
    <s v="CC114057"/>
    <s v="C230"/>
    <x v="115"/>
    <d v="1899-12-30T14:13:18"/>
    <s v="Nov"/>
    <x v="177"/>
    <s v="INR"/>
    <n v="89280"/>
    <s v="E115"/>
    <s v="E120"/>
  </r>
  <r>
    <n v="179"/>
    <s v="2021D41324"/>
    <n v="2021179"/>
    <s v="CC347326"/>
    <s v="C232"/>
    <x v="116"/>
    <d v="1899-12-30T13:45:47"/>
    <s v="Nov"/>
    <x v="178"/>
    <s v="INR"/>
    <n v="46620"/>
    <s v="E113"/>
    <s v="E118"/>
  </r>
  <r>
    <n v="180"/>
    <s v="2021Z71400"/>
    <n v="2021180"/>
    <s v="CC959522"/>
    <s v="C201"/>
    <x v="117"/>
    <d v="1899-12-30T16:14:03"/>
    <s v="Nov"/>
    <x v="179"/>
    <s v="INR"/>
    <n v="48240"/>
    <s v="E110"/>
    <s v="E118"/>
  </r>
  <r>
    <n v="181"/>
    <s v="2021A71034"/>
    <n v="2021181"/>
    <s v="CC356891"/>
    <s v="C221"/>
    <x v="118"/>
    <d v="1899-12-30T16:09:55"/>
    <s v="Nov"/>
    <x v="180"/>
    <s v="INR"/>
    <n v="75960"/>
    <s v="E116"/>
    <s v="E117"/>
  </r>
  <r>
    <n v="182"/>
    <s v="2021J01515"/>
    <n v="2021182"/>
    <s v="CC460870"/>
    <s v="C240"/>
    <x v="119"/>
    <d v="1899-12-30T15:45:55"/>
    <s v="Nov"/>
    <x v="181"/>
    <s v="INR"/>
    <n v="45360"/>
    <s v="E110"/>
    <s v="E119"/>
  </r>
  <r>
    <n v="183"/>
    <s v="2021O61093"/>
    <n v="2021183"/>
    <s v="CC193334"/>
    <s v="C240"/>
    <x v="120"/>
    <d v="1899-12-30T16:53:26"/>
    <s v="Nov"/>
    <x v="182"/>
    <s v="INR"/>
    <n v="67500"/>
    <s v="E112"/>
    <s v="E118"/>
  </r>
  <r>
    <n v="184"/>
    <s v="2021R21681"/>
    <n v="2021184"/>
    <s v="CC362924"/>
    <s v="C239"/>
    <x v="120"/>
    <d v="1899-12-30T15:35:15"/>
    <s v="Nov"/>
    <x v="183"/>
    <s v="INR"/>
    <n v="65700"/>
    <s v="E111"/>
    <s v="E120"/>
  </r>
  <r>
    <n v="185"/>
    <s v="2021N81182"/>
    <n v="2021185"/>
    <s v="CC900413"/>
    <s v="C201"/>
    <x v="120"/>
    <d v="1899-12-30T11:02:38"/>
    <s v="Nov"/>
    <x v="184"/>
    <s v="INR"/>
    <n v="7020"/>
    <s v="E102"/>
    <s v="E113"/>
  </r>
  <r>
    <n v="186"/>
    <s v="2021M41259"/>
    <n v="2021186"/>
    <s v="CC342892"/>
    <s v="C205"/>
    <x v="121"/>
    <d v="1899-12-30T10:11:31"/>
    <s v="Nov"/>
    <x v="185"/>
    <s v="INR"/>
    <n v="44280"/>
    <s v="E111"/>
    <s v="E119"/>
  </r>
  <r>
    <n v="187"/>
    <s v="2021L41581"/>
    <n v="2021187"/>
    <s v="CC504113"/>
    <s v="C219"/>
    <x v="122"/>
    <d v="1899-12-30T11:10:14"/>
    <s v="Oct"/>
    <x v="186"/>
    <s v="INR"/>
    <n v="60840"/>
    <s v="E113"/>
    <s v="E119"/>
  </r>
  <r>
    <n v="188"/>
    <s v="2021L41475"/>
    <n v="2021188"/>
    <s v="CC738266"/>
    <s v="C208"/>
    <x v="122"/>
    <d v="1899-12-30T16:37:29"/>
    <s v="Nov"/>
    <x v="187"/>
    <s v="INR"/>
    <n v="64440"/>
    <s v="E113"/>
    <s v="E118"/>
  </r>
  <r>
    <n v="189"/>
    <s v="2021B91790"/>
    <n v="2021189"/>
    <s v="CC185236"/>
    <s v="C228"/>
    <x v="123"/>
    <d v="1899-12-30T11:33:45"/>
    <s v="Dec"/>
    <x v="188"/>
    <s v="INR"/>
    <n v="61380"/>
    <s v="E110"/>
    <s v="E118"/>
  </r>
  <r>
    <n v="190"/>
    <s v="2021T81296"/>
    <n v="2021190"/>
    <s v="CC433773"/>
    <s v="C239"/>
    <x v="123"/>
    <d v="1899-12-30T15:16:28"/>
    <s v="Dec"/>
    <x v="189"/>
    <s v="INR"/>
    <n v="73080"/>
    <s v="E110"/>
    <s v="E121"/>
  </r>
  <r>
    <n v="191"/>
    <s v="2021F11411"/>
    <n v="2021191"/>
    <s v="CC494319"/>
    <s v="C241"/>
    <x v="123"/>
    <d v="1899-12-30T10:40:18"/>
    <s v="Dec"/>
    <x v="190"/>
    <s v="INR"/>
    <n v="1026000"/>
    <s v="E125"/>
    <s v="E126"/>
  </r>
  <r>
    <n v="192"/>
    <s v="2021P71495"/>
    <n v="2021192"/>
    <s v="CC878640"/>
    <s v="C204"/>
    <x v="124"/>
    <d v="1899-12-30T14:56:53"/>
    <s v="Dec"/>
    <x v="191"/>
    <s v="INR"/>
    <n v="55080"/>
    <s v="E114"/>
    <s v="E119"/>
  </r>
  <r>
    <n v="193"/>
    <s v="2021I01944"/>
    <n v="2021193"/>
    <s v="CC990867"/>
    <s v="C247"/>
    <x v="124"/>
    <d v="1899-12-30T13:22:58"/>
    <s v="Dec"/>
    <x v="192"/>
    <s v="INR"/>
    <n v="70380"/>
    <s v="E112"/>
    <s v="E117"/>
  </r>
  <r>
    <n v="194"/>
    <s v="2021A11702"/>
    <n v="2021194"/>
    <s v="CC939783"/>
    <s v="C218"/>
    <x v="125"/>
    <d v="1899-12-30T16:40:15"/>
    <s v="Dec"/>
    <x v="193"/>
    <s v="INR"/>
    <n v="2440080"/>
    <s v="E125"/>
    <s v="E126"/>
  </r>
  <r>
    <n v="195"/>
    <s v="2021O01979"/>
    <n v="2021195"/>
    <s v="CC892065"/>
    <s v="C241"/>
    <x v="126"/>
    <d v="1899-12-30T11:17:17"/>
    <s v="Dec"/>
    <x v="194"/>
    <s v="INR"/>
    <n v="48600"/>
    <s v="E111"/>
    <s v="E117"/>
  </r>
  <r>
    <n v="196"/>
    <s v="2021F61628"/>
    <n v="2021196"/>
    <s v="CC593890"/>
    <s v="C216"/>
    <x v="127"/>
    <d v="1899-12-30T13:17:44"/>
    <s v="Dec"/>
    <x v="195"/>
    <s v="INR"/>
    <n v="60120"/>
    <s v="E113"/>
    <s v="E119"/>
  </r>
  <r>
    <n v="197"/>
    <s v="2021W81685"/>
    <n v="2021197"/>
    <s v="CC538653"/>
    <s v="C240"/>
    <x v="128"/>
    <d v="1899-12-30T10:05:54"/>
    <s v="Dec"/>
    <x v="162"/>
    <s v="INR"/>
    <n v="61200"/>
    <s v="E115"/>
    <s v="E117"/>
  </r>
  <r>
    <n v="198"/>
    <s v="2021X11212"/>
    <n v="2021198"/>
    <s v="CC617656"/>
    <s v="C246"/>
    <x v="128"/>
    <d v="1899-12-30T13:47:27"/>
    <s v="Dec"/>
    <x v="196"/>
    <s v="INR"/>
    <n v="63360"/>
    <s v="E113"/>
    <s v="E119"/>
  </r>
  <r>
    <n v="199"/>
    <s v="2021T01241"/>
    <n v="2021199"/>
    <s v="CC231774"/>
    <s v="C232"/>
    <x v="128"/>
    <d v="1899-12-30T10:16:51"/>
    <s v="Dec"/>
    <x v="197"/>
    <s v="INR"/>
    <n v="74700"/>
    <s v="E112"/>
    <s v="E121"/>
  </r>
  <r>
    <n v="200"/>
    <s v="2021M61618"/>
    <n v="2021200"/>
    <s v="CC677206"/>
    <s v="C210"/>
    <x v="128"/>
    <d v="1899-12-30T12:55:15"/>
    <s v="Dec"/>
    <x v="198"/>
    <s v="INR"/>
    <n v="77400"/>
    <s v="E110"/>
    <s v="E121"/>
  </r>
  <r>
    <n v="201"/>
    <s v="2021I91159"/>
    <n v="2021201"/>
    <s v="CC518388"/>
    <s v="C213"/>
    <x v="129"/>
    <d v="1899-12-30T12:54:30"/>
    <s v="Dec"/>
    <x v="199"/>
    <s v="INR"/>
    <n v="46980"/>
    <s v="E113"/>
    <s v="E119"/>
  </r>
  <r>
    <n v="202"/>
    <s v="2021V71037"/>
    <n v="2021202"/>
    <s v="CC268373"/>
    <s v="C213"/>
    <x v="129"/>
    <d v="1899-12-30T15:40:58"/>
    <s v="Dec"/>
    <x v="200"/>
    <s v="INR"/>
    <n v="39420"/>
    <s v="E112"/>
    <s v="E121"/>
  </r>
  <r>
    <n v="203"/>
    <s v="2021V11398"/>
    <n v="2021203"/>
    <s v="CC647041"/>
    <s v="C246"/>
    <x v="130"/>
    <d v="1899-12-30T13:20:12"/>
    <s v="Dec"/>
    <x v="201"/>
    <s v="INR"/>
    <n v="75600"/>
    <s v="E114"/>
    <s v="E117"/>
  </r>
  <r>
    <n v="204"/>
    <s v="2021B01207"/>
    <n v="2021204"/>
    <s v="CC184692"/>
    <s v="C202"/>
    <x v="131"/>
    <d v="1899-12-30T14:27:04"/>
    <s v="Dec"/>
    <x v="202"/>
    <s v="INR"/>
    <n v="382500"/>
    <s v="E124"/>
    <s v="E125"/>
  </r>
  <r>
    <n v="205"/>
    <s v="2021R21555"/>
    <n v="2021205"/>
    <s v="CC505105"/>
    <s v="C221"/>
    <x v="132"/>
    <d v="1899-12-30T16:36:06"/>
    <s v="Jan"/>
    <x v="203"/>
    <s v="INR"/>
    <n v="82620"/>
    <s v="E110"/>
    <s v="E119"/>
  </r>
  <r>
    <n v="206"/>
    <s v="2021H41482"/>
    <n v="2021206"/>
    <s v="CC221035"/>
    <s v="C232"/>
    <x v="133"/>
    <d v="1899-12-30T12:48:40"/>
    <s v="Jan"/>
    <x v="204"/>
    <s v="INR"/>
    <n v="89460"/>
    <s v="E115"/>
    <s v="E121"/>
  </r>
  <r>
    <n v="207"/>
    <s v="2021S41231"/>
    <n v="2021207"/>
    <s v="CC931051"/>
    <s v="C203"/>
    <x v="133"/>
    <d v="1899-12-30T10:28:20"/>
    <s v="Jan"/>
    <x v="205"/>
    <s v="INR"/>
    <n v="58320"/>
    <s v="E114"/>
    <s v="E120"/>
  </r>
  <r>
    <n v="208"/>
    <s v="2021V51930"/>
    <n v="2021208"/>
    <s v="CC756835"/>
    <s v="C222"/>
    <x v="133"/>
    <d v="1899-12-30T11:52:16"/>
    <s v="Jan"/>
    <x v="206"/>
    <s v="INR"/>
    <n v="80640"/>
    <s v="E114"/>
    <s v="E120"/>
  </r>
  <r>
    <n v="209"/>
    <s v="2021M61134"/>
    <n v="2021209"/>
    <s v="CC707097"/>
    <s v="C208"/>
    <x v="134"/>
    <d v="1899-12-30T14:09:28"/>
    <s v="Jan"/>
    <x v="207"/>
    <s v="INR"/>
    <n v="42300"/>
    <s v="E113"/>
    <s v="E118"/>
  </r>
  <r>
    <n v="210"/>
    <s v="2021K11672"/>
    <n v="2021210"/>
    <s v="CC836863"/>
    <s v="C201"/>
    <x v="135"/>
    <d v="1899-12-30T11:03:55"/>
    <s v="Jan"/>
    <x v="208"/>
    <s v="INR"/>
    <n v="46440"/>
    <s v="E115"/>
    <s v="E120"/>
  </r>
  <r>
    <n v="211"/>
    <s v="2021G81985"/>
    <n v="2021211"/>
    <s v="CC134892"/>
    <s v="C220"/>
    <x v="136"/>
    <d v="1899-12-30T13:20:09"/>
    <s v="Jan"/>
    <x v="209"/>
    <s v="INR"/>
    <n v="66420"/>
    <s v="E116"/>
    <s v="E117"/>
  </r>
  <r>
    <n v="212"/>
    <s v="2021A41131"/>
    <n v="2021212"/>
    <s v="CC710367"/>
    <s v="C217"/>
    <x v="137"/>
    <d v="1899-12-30T14:53:32"/>
    <s v="Jan"/>
    <x v="210"/>
    <s v="INR"/>
    <n v="71100"/>
    <s v="E110"/>
    <s v="E117"/>
  </r>
  <r>
    <n v="213"/>
    <s v="2021J21066"/>
    <n v="2021213"/>
    <s v="CC220203"/>
    <s v="C201"/>
    <x v="137"/>
    <d v="1899-12-30T13:43:30"/>
    <s v="Jan"/>
    <x v="211"/>
    <s v="INR"/>
    <n v="67320"/>
    <s v="E111"/>
    <s v="E117"/>
  </r>
  <r>
    <n v="214"/>
    <s v="2021Y31186"/>
    <n v="2021214"/>
    <s v="CC251428"/>
    <s v="C230"/>
    <x v="138"/>
    <d v="1899-12-30T11:26:40"/>
    <s v="Jan"/>
    <x v="212"/>
    <s v="INR"/>
    <n v="77760"/>
    <s v="E110"/>
    <s v="E119"/>
  </r>
  <r>
    <n v="215"/>
    <s v="2021W31079"/>
    <n v="2021215"/>
    <s v="CC177208"/>
    <s v="C238"/>
    <x v="139"/>
    <d v="1899-12-30T14:41:15"/>
    <s v="Jan"/>
    <x v="213"/>
    <s v="INR"/>
    <n v="54000"/>
    <s v="E111"/>
    <s v="E118"/>
  </r>
  <r>
    <n v="216"/>
    <s v="2021A11742"/>
    <n v="2021216"/>
    <s v="CC220150"/>
    <s v="C244"/>
    <x v="140"/>
    <d v="1899-12-30T13:08:35"/>
    <s v="Jan"/>
    <x v="214"/>
    <s v="INR"/>
    <n v="69840"/>
    <s v="E114"/>
    <s v="E118"/>
  </r>
  <r>
    <n v="217"/>
    <s v="2021X21239"/>
    <n v="2021217"/>
    <s v="CC724229"/>
    <s v="C206"/>
    <x v="140"/>
    <d v="1899-12-30T17:43:08"/>
    <s v="Jan"/>
    <x v="215"/>
    <s v="INR"/>
    <n v="3780"/>
    <s v="E108"/>
    <s v="E115"/>
  </r>
  <r>
    <n v="218"/>
    <s v="2021E01998"/>
    <n v="2021218"/>
    <s v="CC784348"/>
    <s v="C242"/>
    <x v="140"/>
    <d v="1899-12-30T16:45:48"/>
    <s v="Jan"/>
    <x v="216"/>
    <s v="INR"/>
    <n v="78120"/>
    <s v="E112"/>
    <s v="E117"/>
  </r>
  <r>
    <n v="219"/>
    <s v="2021A51339"/>
    <n v="2021219"/>
    <s v="CC481657"/>
    <s v="C209"/>
    <x v="141"/>
    <d v="1899-12-30T15:41:24"/>
    <s v="Jan"/>
    <x v="217"/>
    <s v="INR"/>
    <n v="64260"/>
    <s v="E113"/>
    <s v="E120"/>
  </r>
  <r>
    <n v="220"/>
    <s v="2021N61833"/>
    <n v="2021220"/>
    <s v="CC732502"/>
    <s v="C221"/>
    <x v="142"/>
    <d v="1899-12-30T13:54:43"/>
    <s v="Jan"/>
    <x v="218"/>
    <s v="INR"/>
    <n v="83520"/>
    <s v="E114"/>
    <s v="E120"/>
  </r>
  <r>
    <n v="221"/>
    <s v="2021U81802"/>
    <n v="2021221"/>
    <s v="CC429902"/>
    <s v="C204"/>
    <x v="143"/>
    <d v="1899-12-30T14:49:04"/>
    <s v="Feb"/>
    <x v="219"/>
    <s v="INR"/>
    <n v="61380"/>
    <s v="E110"/>
    <s v="E117"/>
  </r>
  <r>
    <n v="222"/>
    <s v="2021S41968"/>
    <n v="2021222"/>
    <s v="CC181596"/>
    <s v="C218"/>
    <x v="144"/>
    <d v="1899-12-30T12:01:00"/>
    <s v="Feb"/>
    <x v="220"/>
    <s v="INR"/>
    <n v="83520"/>
    <s v="E113"/>
    <s v="E119"/>
  </r>
  <r>
    <n v="223"/>
    <s v="2021C21478"/>
    <n v="2021223"/>
    <s v="CC253325"/>
    <s v="C201"/>
    <x v="145"/>
    <d v="1899-12-30T14:06:19"/>
    <s v="Feb"/>
    <x v="221"/>
    <s v="INR"/>
    <n v="37080"/>
    <s v="E112"/>
    <s v="E120"/>
  </r>
  <r>
    <n v="224"/>
    <s v="2021D41673"/>
    <n v="2021224"/>
    <s v="CC835206"/>
    <s v="C207"/>
    <x v="145"/>
    <d v="1899-12-30T12:56:18"/>
    <s v="Feb"/>
    <x v="222"/>
    <s v="INR"/>
    <n v="42120"/>
    <s v="E115"/>
    <s v="E120"/>
  </r>
  <r>
    <n v="225"/>
    <s v="2021I91670"/>
    <n v="2021225"/>
    <s v="CC327133"/>
    <s v="C200"/>
    <x v="145"/>
    <d v="1899-12-30T16:02:32"/>
    <s v="Jan"/>
    <x v="223"/>
    <s v="INR"/>
    <n v="51660"/>
    <s v="E112"/>
    <s v="E120"/>
  </r>
  <r>
    <n v="226"/>
    <s v="2021Q81054"/>
    <n v="2021226"/>
    <s v="CC669664"/>
    <s v="C246"/>
    <x v="145"/>
    <d v="1899-12-30T10:15:59"/>
    <s v="Jan"/>
    <x v="224"/>
    <s v="INR"/>
    <n v="81360"/>
    <s v="E112"/>
    <s v="E121"/>
  </r>
  <r>
    <n v="227"/>
    <s v="2021R51014"/>
    <n v="2021227"/>
    <s v="CC932506"/>
    <s v="C223"/>
    <x v="146"/>
    <d v="1899-12-30T16:38:56"/>
    <s v="Feb"/>
    <x v="225"/>
    <s v="INR"/>
    <n v="82800"/>
    <s v="E112"/>
    <s v="E117"/>
  </r>
  <r>
    <n v="228"/>
    <s v="2021H21378"/>
    <n v="2021228"/>
    <s v="CC162925"/>
    <s v="C218"/>
    <x v="147"/>
    <d v="1899-12-30T11:08:09"/>
    <s v="Feb"/>
    <x v="226"/>
    <s v="INR"/>
    <n v="68040"/>
    <s v="E114"/>
    <s v="E121"/>
  </r>
  <r>
    <n v="229"/>
    <s v="2021U81425"/>
    <n v="2021229"/>
    <s v="CC781724"/>
    <s v="C224"/>
    <x v="148"/>
    <d v="1899-12-30T16:51:57"/>
    <s v="Feb"/>
    <x v="227"/>
    <s v="INR"/>
    <n v="65160"/>
    <s v="E115"/>
    <s v="E118"/>
  </r>
  <r>
    <n v="230"/>
    <s v="2021E31971"/>
    <n v="2021230"/>
    <s v="CC531621"/>
    <s v="C231"/>
    <x v="148"/>
    <d v="1899-12-30T13:39:53"/>
    <s v="Feb"/>
    <x v="228"/>
    <s v="INR"/>
    <n v="1241640"/>
    <s v="E125"/>
    <s v="E126"/>
  </r>
  <r>
    <n v="231"/>
    <s v="2021O71082"/>
    <n v="2021231"/>
    <s v="CC242246"/>
    <s v="C216"/>
    <x v="149"/>
    <d v="1899-12-30T15:47:00"/>
    <s v="Feb"/>
    <x v="229"/>
    <s v="INR"/>
    <n v="75060"/>
    <s v="E115"/>
    <s v="E117"/>
  </r>
  <r>
    <n v="232"/>
    <s v="2021V51128"/>
    <n v="2021232"/>
    <s v="CC449443"/>
    <s v="C214"/>
    <x v="150"/>
    <d v="1899-12-30T15:23:06"/>
    <s v="Feb"/>
    <x v="230"/>
    <s v="INR"/>
    <n v="38340"/>
    <s v="E113"/>
    <s v="E120"/>
  </r>
  <r>
    <n v="233"/>
    <s v="2021F21013"/>
    <n v="2021233"/>
    <s v="CC147682"/>
    <s v="C230"/>
    <x v="150"/>
    <d v="1899-12-30T14:01:39"/>
    <s v="Jan"/>
    <x v="231"/>
    <s v="INR"/>
    <n v="70920"/>
    <s v="E116"/>
    <s v="E120"/>
  </r>
  <r>
    <n v="234"/>
    <s v="2021Y01920"/>
    <n v="2021234"/>
    <s v="CC542717"/>
    <s v="C203"/>
    <x v="151"/>
    <d v="1899-12-30T16:32:32"/>
    <s v="Feb"/>
    <x v="232"/>
    <s v="INR"/>
    <n v="49680"/>
    <s v="E113"/>
    <s v="E117"/>
  </r>
  <r>
    <n v="235"/>
    <s v="2021H51320"/>
    <n v="2021235"/>
    <s v="CC787496"/>
    <s v="C202"/>
    <x v="152"/>
    <d v="1899-12-30T13:18:23"/>
    <s v="Feb"/>
    <x v="233"/>
    <s v="INR"/>
    <n v="77580"/>
    <s v="E110"/>
    <s v="E120"/>
  </r>
  <r>
    <n v="236"/>
    <s v="2021H01753"/>
    <n v="2021236"/>
    <s v="CC390958"/>
    <s v="C209"/>
    <x v="153"/>
    <d v="1899-12-30T12:30:54"/>
    <s v="Feb"/>
    <x v="234"/>
    <s v="INR"/>
    <n v="38700"/>
    <s v="E114"/>
    <s v="E118"/>
  </r>
  <r>
    <n v="237"/>
    <s v="2021S61275"/>
    <n v="2021237"/>
    <s v="CC730239"/>
    <s v="C215"/>
    <x v="154"/>
    <d v="1899-12-30T15:55:40"/>
    <s v="Feb"/>
    <x v="235"/>
    <s v="INR"/>
    <n v="36180"/>
    <s v="E115"/>
    <s v="E117"/>
  </r>
  <r>
    <n v="238"/>
    <s v="2021D91627"/>
    <n v="2021238"/>
    <s v="CC485002"/>
    <s v="C202"/>
    <x v="154"/>
    <d v="1899-12-30T11:38:50"/>
    <s v="Feb"/>
    <x v="236"/>
    <s v="INR"/>
    <n v="68580"/>
    <s v="E116"/>
    <s v="E120"/>
  </r>
  <r>
    <n v="239"/>
    <s v="2021O71083"/>
    <n v="2021239"/>
    <s v="CC108593"/>
    <s v="C246"/>
    <x v="155"/>
    <d v="1899-12-30T16:55:49"/>
    <s v="Jan"/>
    <x v="237"/>
    <s v="INR"/>
    <n v="88740"/>
    <s v="E114"/>
    <s v="E119"/>
  </r>
  <r>
    <n v="240"/>
    <s v="2021V31530"/>
    <n v="2021240"/>
    <s v="CC710839"/>
    <s v="C233"/>
    <x v="156"/>
    <d v="1899-12-30T16:01:17"/>
    <s v="Mar"/>
    <x v="238"/>
    <s v="INR"/>
    <n v="51120"/>
    <s v="E110"/>
    <s v="E117"/>
  </r>
  <r>
    <n v="241"/>
    <s v="2021E91338"/>
    <n v="2021241"/>
    <s v="CC735962"/>
    <s v="C236"/>
    <x v="156"/>
    <d v="1899-12-30T14:09:59"/>
    <s v="Mar"/>
    <x v="239"/>
    <s v="INR"/>
    <n v="79200"/>
    <s v="E116"/>
    <s v="E119"/>
  </r>
  <r>
    <n v="242"/>
    <s v="2021W91822"/>
    <n v="2021242"/>
    <s v="CC819433"/>
    <s v="C212"/>
    <x v="157"/>
    <d v="1899-12-30T12:00:52"/>
    <s v="Mar"/>
    <x v="240"/>
    <s v="INR"/>
    <n v="60660"/>
    <s v="E115"/>
    <s v="E117"/>
  </r>
  <r>
    <n v="243"/>
    <s v="2021V51135"/>
    <n v="2021243"/>
    <s v="CC839432"/>
    <s v="C200"/>
    <x v="158"/>
    <d v="1899-12-30T11:28:57"/>
    <s v="Mar"/>
    <x v="241"/>
    <s v="INR"/>
    <n v="88740"/>
    <s v="E114"/>
    <s v="E119"/>
  </r>
  <r>
    <n v="244"/>
    <s v="2021U51868"/>
    <n v="2021244"/>
    <s v="CC767295"/>
    <s v="C209"/>
    <x v="158"/>
    <d v="1899-12-30T14:01:03"/>
    <s v="Mar"/>
    <x v="242"/>
    <s v="INR"/>
    <n v="82980"/>
    <s v="E115"/>
    <s v="E118"/>
  </r>
  <r>
    <n v="245"/>
    <s v="2021R11888"/>
    <n v="2021245"/>
    <s v="CC320123"/>
    <s v="C234"/>
    <x v="159"/>
    <d v="1899-12-30T13:07:48"/>
    <s v="Mar"/>
    <x v="243"/>
    <s v="INR"/>
    <n v="85140"/>
    <s v="E112"/>
    <s v="E120"/>
  </r>
  <r>
    <n v="246"/>
    <s v="2021Y51752"/>
    <n v="2021246"/>
    <s v="CC678700"/>
    <s v="C216"/>
    <x v="160"/>
    <d v="1899-12-30T13:54:37"/>
    <s v="Mar"/>
    <x v="244"/>
    <s v="INR"/>
    <n v="42120"/>
    <s v="E114"/>
    <s v="E121"/>
  </r>
  <r>
    <n v="247"/>
    <s v="2021Q71203"/>
    <n v="2021247"/>
    <s v="CC589880"/>
    <s v="C230"/>
    <x v="161"/>
    <d v="1899-12-30T12:41:43"/>
    <s v="Mar"/>
    <x v="245"/>
    <s v="INR"/>
    <n v="6660"/>
    <s v="E107"/>
    <s v="E110"/>
  </r>
  <r>
    <n v="248"/>
    <s v="2021I71095"/>
    <n v="2021248"/>
    <s v="CC477089"/>
    <s v="C205"/>
    <x v="162"/>
    <d v="1899-12-30T14:39:00"/>
    <s v="Mar"/>
    <x v="246"/>
    <s v="INR"/>
    <n v="85140"/>
    <s v="E113"/>
    <s v="E121"/>
  </r>
  <r>
    <n v="249"/>
    <s v="2021R81881"/>
    <n v="2021249"/>
    <s v="CC184376"/>
    <s v="C228"/>
    <x v="163"/>
    <d v="1899-12-30T13:26:18"/>
    <s v="Mar"/>
    <x v="247"/>
    <s v="INR"/>
    <n v="57600"/>
    <s v="E111"/>
    <s v="E117"/>
  </r>
  <r>
    <n v="250"/>
    <s v="2021P51427"/>
    <n v="2021250"/>
    <s v="CC235801"/>
    <s v="C202"/>
    <x v="163"/>
    <d v="1899-12-30T14:31:59"/>
    <s v="Mar"/>
    <x v="248"/>
    <s v="INR"/>
    <n v="43740"/>
    <s v="E110"/>
    <s v="E119"/>
  </r>
  <r>
    <n v="251"/>
    <s v="2021U71300"/>
    <n v="2021251"/>
    <s v="CC198375"/>
    <s v="C234"/>
    <x v="163"/>
    <d v="1899-12-30T16:37:08"/>
    <s v="Mar"/>
    <x v="249"/>
    <s v="INR"/>
    <n v="49320"/>
    <s v="E113"/>
    <s v="E118"/>
  </r>
  <r>
    <n v="252"/>
    <s v="2021B41753"/>
    <n v="2021252"/>
    <s v="CC169643"/>
    <s v="C224"/>
    <x v="164"/>
    <d v="1899-12-30T13:20:37"/>
    <s v="Mar"/>
    <x v="250"/>
    <s v="INR"/>
    <n v="51840"/>
    <s v="E116"/>
    <s v="E120"/>
  </r>
  <r>
    <n v="253"/>
    <s v="2021U91446"/>
    <n v="2021253"/>
    <s v="CC960587"/>
    <s v="C206"/>
    <x v="164"/>
    <d v="1899-12-30T14:31:31"/>
    <s v="Mar"/>
    <x v="251"/>
    <s v="INR"/>
    <n v="38340"/>
    <s v="E111"/>
    <s v="E117"/>
  </r>
  <r>
    <n v="254"/>
    <s v="2021K71243"/>
    <n v="2021254"/>
    <s v="CC971074"/>
    <s v="C218"/>
    <x v="165"/>
    <d v="1899-12-30T14:08:48"/>
    <s v="Mar"/>
    <x v="252"/>
    <s v="INR"/>
    <n v="55440"/>
    <s v="E113"/>
    <s v="E119"/>
  </r>
  <r>
    <n v="255"/>
    <s v="2021S11451"/>
    <n v="2021255"/>
    <s v="CC392995"/>
    <s v="C239"/>
    <x v="166"/>
    <d v="1899-12-30T13:30:16"/>
    <s v="Mar"/>
    <x v="253"/>
    <s v="INR"/>
    <n v="49140"/>
    <s v="E114"/>
    <s v="E117"/>
  </r>
  <r>
    <n v="256"/>
    <s v="2021F71106"/>
    <n v="2021256"/>
    <s v="CC519070"/>
    <s v="C243"/>
    <x v="167"/>
    <d v="1899-12-30T14:26:04"/>
    <s v="Mar"/>
    <x v="254"/>
    <s v="INR"/>
    <n v="62100"/>
    <s v="E115"/>
    <s v="E118"/>
  </r>
  <r>
    <n v="257"/>
    <s v="2021E41460"/>
    <n v="2021257"/>
    <s v="CC351804"/>
    <s v="C215"/>
    <x v="168"/>
    <d v="1899-12-30T15:25:45"/>
    <s v="Mar"/>
    <x v="255"/>
    <s v="INR"/>
    <n v="83340"/>
    <s v="E112"/>
    <s v="E117"/>
  </r>
  <r>
    <n v="258"/>
    <s v="2021X51076"/>
    <n v="2021258"/>
    <s v="CC561355"/>
    <s v="C216"/>
    <x v="169"/>
    <d v="1899-12-30T16:50:13"/>
    <s v="Mar"/>
    <x v="256"/>
    <s v="INR"/>
    <n v="42660"/>
    <s v="E110"/>
    <s v="E121"/>
  </r>
  <r>
    <n v="259"/>
    <s v="2021I91390"/>
    <n v="2021259"/>
    <s v="CC971207"/>
    <s v="C207"/>
    <x v="169"/>
    <d v="1899-12-30T14:04:50"/>
    <s v="Mar"/>
    <x v="257"/>
    <s v="INR"/>
    <n v="65700"/>
    <s v="E110"/>
    <s v="E118"/>
  </r>
  <r>
    <n v="260"/>
    <s v="2122E41682"/>
    <n v="21221"/>
    <s v="CC244019"/>
    <s v="C235"/>
    <x v="170"/>
    <d v="1899-12-30T16:29:32"/>
    <s v="Apr"/>
    <x v="258"/>
    <s v="INR"/>
    <n v="1845000"/>
    <s v="E125"/>
    <s v="E126"/>
  </r>
  <r>
    <n v="261"/>
    <s v="2122W31073"/>
    <n v="21222"/>
    <s v="CC881381"/>
    <s v="C230"/>
    <x v="171"/>
    <d v="1899-12-30T17:07:06"/>
    <s v="Apr"/>
    <x v="259"/>
    <s v="INR"/>
    <n v="49680"/>
    <s v="E116"/>
    <s v="E118"/>
  </r>
  <r>
    <n v="262"/>
    <s v="2122J21075"/>
    <n v="21223"/>
    <s v="CC316029"/>
    <s v="C215"/>
    <x v="171"/>
    <d v="1899-12-30T10:51:36"/>
    <s v="Apr"/>
    <x v="260"/>
    <s v="INR"/>
    <n v="41760"/>
    <s v="E115"/>
    <s v="E117"/>
  </r>
  <r>
    <n v="263"/>
    <s v="2122Q81980"/>
    <n v="21224"/>
    <s v="CC926037"/>
    <s v="C227"/>
    <x v="172"/>
    <d v="1899-12-30T15:53:47"/>
    <s v="Apr"/>
    <x v="261"/>
    <s v="INR"/>
    <n v="88380"/>
    <s v="E112"/>
    <s v="E118"/>
  </r>
  <r>
    <n v="264"/>
    <s v="2122R91504"/>
    <n v="21225"/>
    <s v="CC748469"/>
    <s v="C238"/>
    <x v="173"/>
    <d v="1899-12-30T13:53:19"/>
    <s v="Apr"/>
    <x v="262"/>
    <s v="INR"/>
    <n v="36360"/>
    <s v="E110"/>
    <s v="E120"/>
  </r>
  <r>
    <n v="265"/>
    <s v="2122E61635"/>
    <n v="21226"/>
    <s v="CC373590"/>
    <s v="C201"/>
    <x v="174"/>
    <d v="1899-12-30T16:56:38"/>
    <s v="Apr"/>
    <x v="263"/>
    <s v="INR"/>
    <n v="45900"/>
    <s v="E112"/>
    <s v="E120"/>
  </r>
  <r>
    <n v="266"/>
    <s v="2122I21455"/>
    <n v="21227"/>
    <s v="CC757405"/>
    <s v="C235"/>
    <x v="175"/>
    <d v="1899-12-30T16:13:21"/>
    <s v="Apr"/>
    <x v="264"/>
    <s v="INR"/>
    <n v="41580"/>
    <s v="E113"/>
    <s v="E117"/>
  </r>
  <r>
    <n v="267"/>
    <s v="2122S41901"/>
    <n v="21228"/>
    <s v="CC810183"/>
    <s v="C212"/>
    <x v="175"/>
    <d v="1899-12-30T12:23:21"/>
    <s v="Apr"/>
    <x v="265"/>
    <s v="INR"/>
    <n v="51660"/>
    <s v="E110"/>
    <s v="E120"/>
  </r>
  <r>
    <n v="268"/>
    <s v="2122H61160"/>
    <n v="21229"/>
    <s v="CC306959"/>
    <s v="C206"/>
    <x v="176"/>
    <d v="1899-12-30T13:44:04"/>
    <s v="Apr"/>
    <x v="266"/>
    <s v="INR"/>
    <n v="80460"/>
    <s v="E113"/>
    <s v="E121"/>
  </r>
  <r>
    <n v="269"/>
    <s v="2122W21972"/>
    <n v="212210"/>
    <s v="CC220009"/>
    <s v="C214"/>
    <x v="176"/>
    <d v="1899-12-30T17:16:18"/>
    <s v="Apr"/>
    <x v="267"/>
    <s v="INR"/>
    <n v="79560"/>
    <s v="E110"/>
    <s v="E119"/>
  </r>
  <r>
    <n v="270"/>
    <s v="2122R71388"/>
    <n v="212211"/>
    <s v="CC522619"/>
    <s v="C207"/>
    <x v="177"/>
    <d v="1899-12-30T15:34:38"/>
    <s v="Apr"/>
    <x v="268"/>
    <s v="INR"/>
    <n v="57960"/>
    <s v="E112"/>
    <s v="E118"/>
  </r>
  <r>
    <n v="271"/>
    <s v="2122O41500"/>
    <n v="212212"/>
    <s v="CC486761"/>
    <s v="C236"/>
    <x v="177"/>
    <d v="1899-12-30T17:26:07"/>
    <s v="Apr"/>
    <x v="269"/>
    <s v="INR"/>
    <n v="36180"/>
    <s v="E111"/>
    <s v="E120"/>
  </r>
  <r>
    <n v="272"/>
    <s v="2122R61882"/>
    <n v="212213"/>
    <s v="CC891736"/>
    <s v="C235"/>
    <x v="177"/>
    <d v="1899-12-30T13:00:14"/>
    <s v="Apr"/>
    <x v="270"/>
    <s v="INR"/>
    <n v="45540"/>
    <s v="E113"/>
    <s v="E119"/>
  </r>
  <r>
    <n v="273"/>
    <s v="2122N51414"/>
    <n v="212214"/>
    <s v="CC829313"/>
    <s v="C211"/>
    <x v="177"/>
    <d v="1899-12-30T12:41:27"/>
    <s v="Apr"/>
    <x v="271"/>
    <s v="INR"/>
    <n v="80820"/>
    <s v="E110"/>
    <s v="E118"/>
  </r>
  <r>
    <n v="274"/>
    <s v="2122Y71890"/>
    <n v="212215"/>
    <s v="CC592980"/>
    <s v="C207"/>
    <x v="178"/>
    <d v="1899-12-30T12:58:00"/>
    <s v="Apr"/>
    <x v="272"/>
    <s v="INR"/>
    <n v="72540"/>
    <s v="E112"/>
    <s v="E120"/>
  </r>
  <r>
    <n v="275"/>
    <s v="2122H91695"/>
    <n v="212216"/>
    <s v="CC432437"/>
    <s v="C240"/>
    <x v="179"/>
    <d v="1899-12-30T14:39:52"/>
    <s v="Apr"/>
    <x v="273"/>
    <s v="INR"/>
    <n v="51120"/>
    <s v="E116"/>
    <s v="E121"/>
  </r>
  <r>
    <n v="276"/>
    <s v="2122A71300"/>
    <n v="212217"/>
    <s v="CC299835"/>
    <s v="C236"/>
    <x v="179"/>
    <d v="1899-12-30T17:35:19"/>
    <s v="Apr"/>
    <x v="274"/>
    <s v="INR"/>
    <n v="71820"/>
    <s v="E111"/>
    <s v="E117"/>
  </r>
  <r>
    <n v="277"/>
    <s v="2122C41326"/>
    <n v="212218"/>
    <s v="CC665938"/>
    <s v="C248"/>
    <x v="180"/>
    <d v="1899-12-30T11:15:48"/>
    <s v="Apr"/>
    <x v="275"/>
    <s v="INR"/>
    <n v="50220"/>
    <s v="E116"/>
    <s v="E119"/>
  </r>
  <r>
    <n v="278"/>
    <s v="2122Y21532"/>
    <n v="212219"/>
    <s v="CC161282"/>
    <s v="C221"/>
    <x v="180"/>
    <d v="1899-12-30T10:42:51"/>
    <s v="Apr"/>
    <x v="276"/>
    <s v="INR"/>
    <n v="50580"/>
    <s v="E112"/>
    <s v="E118"/>
  </r>
  <r>
    <n v="279"/>
    <s v="2122W21540"/>
    <n v="212220"/>
    <s v="CC756683"/>
    <s v="C206"/>
    <x v="181"/>
    <d v="1899-12-30T17:24:49"/>
    <s v="Apr"/>
    <x v="277"/>
    <s v="INR"/>
    <n v="49680"/>
    <s v="E114"/>
    <s v="E119"/>
  </r>
  <r>
    <n v="280"/>
    <s v="2122P81088"/>
    <n v="212221"/>
    <s v="CC162344"/>
    <s v="C232"/>
    <x v="181"/>
    <d v="1899-12-30T11:55:20"/>
    <s v="Apr"/>
    <x v="278"/>
    <s v="INR"/>
    <n v="4140"/>
    <s v="E109"/>
    <s v="E116"/>
  </r>
  <r>
    <n v="281"/>
    <s v="2122D01344"/>
    <n v="212222"/>
    <s v="CC714981"/>
    <s v="C211"/>
    <x v="181"/>
    <d v="1899-12-30T11:49:13"/>
    <s v="Apr"/>
    <x v="279"/>
    <s v="INR"/>
    <n v="80820"/>
    <s v="E115"/>
    <s v="E120"/>
  </r>
  <r>
    <n v="282"/>
    <s v="2122G11410"/>
    <n v="212223"/>
    <s v="CC323347"/>
    <s v="C218"/>
    <x v="181"/>
    <d v="1899-12-30T17:00:54"/>
    <s v="Apr"/>
    <x v="280"/>
    <s v="INR"/>
    <n v="71100"/>
    <s v="E113"/>
    <s v="E118"/>
  </r>
  <r>
    <n v="283"/>
    <s v="2122M91677"/>
    <n v="212224"/>
    <s v="CC327526"/>
    <s v="C246"/>
    <x v="182"/>
    <d v="1899-12-30T11:07:44"/>
    <s v="Apr"/>
    <x v="281"/>
    <s v="INR"/>
    <n v="77040"/>
    <s v="E111"/>
    <s v="E121"/>
  </r>
  <r>
    <n v="284"/>
    <s v="2122Y51906"/>
    <n v="212225"/>
    <s v="CC373965"/>
    <s v="C233"/>
    <x v="183"/>
    <d v="1899-12-30T12:02:48"/>
    <s v="Apr"/>
    <x v="282"/>
    <s v="INR"/>
    <n v="71100"/>
    <s v="E112"/>
    <s v="E121"/>
  </r>
  <r>
    <n v="285"/>
    <s v="2122H21009"/>
    <n v="212226"/>
    <s v="CC854841"/>
    <s v="C242"/>
    <x v="183"/>
    <d v="1899-12-30T13:49:41"/>
    <s v="Apr"/>
    <x v="283"/>
    <s v="INR"/>
    <n v="74160"/>
    <s v="E110"/>
    <s v="E117"/>
  </r>
  <r>
    <n v="286"/>
    <s v="2122T21938"/>
    <n v="212227"/>
    <s v="CC342728"/>
    <s v="C205"/>
    <x v="184"/>
    <d v="1899-12-30T16:09:38"/>
    <s v="Apr"/>
    <x v="284"/>
    <s v="INR"/>
    <n v="88020"/>
    <s v="E116"/>
    <s v="E117"/>
  </r>
  <r>
    <n v="287"/>
    <s v="2122V91827"/>
    <n v="212228"/>
    <s v="CC382291"/>
    <s v="C238"/>
    <x v="185"/>
    <d v="1899-12-30T13:48:02"/>
    <s v="Apr"/>
    <x v="285"/>
    <s v="INR"/>
    <n v="49140"/>
    <s v="E116"/>
    <s v="E119"/>
  </r>
  <r>
    <n v="288"/>
    <s v="2122F81122"/>
    <n v="212229"/>
    <s v="CC388791"/>
    <s v="C226"/>
    <x v="185"/>
    <d v="1899-12-30T16:35:35"/>
    <s v="Apr"/>
    <x v="286"/>
    <s v="INR"/>
    <n v="59940"/>
    <s v="E116"/>
    <s v="E121"/>
  </r>
  <r>
    <n v="289"/>
    <s v="2122K71403"/>
    <n v="212230"/>
    <s v="CC719146"/>
    <s v="C234"/>
    <x v="185"/>
    <d v="1899-12-30T17:23:12"/>
    <s v="Apr"/>
    <x v="287"/>
    <s v="INR"/>
    <n v="59040"/>
    <s v="E112"/>
    <s v="E121"/>
  </r>
  <r>
    <n v="290"/>
    <s v="2122O11519"/>
    <n v="212231"/>
    <s v="CC154932"/>
    <s v="C209"/>
    <x v="186"/>
    <d v="1899-12-30T15:03:42"/>
    <s v="Apr"/>
    <x v="288"/>
    <s v="INR"/>
    <n v="38160"/>
    <s v="E110"/>
    <s v="E117"/>
  </r>
  <r>
    <n v="291"/>
    <s v="2122W31052"/>
    <n v="212232"/>
    <s v="CC991683"/>
    <s v="C216"/>
    <x v="187"/>
    <d v="1899-12-30T15:27:09"/>
    <s v="Apr"/>
    <x v="289"/>
    <s v="INR"/>
    <n v="40860"/>
    <s v="E116"/>
    <s v="E117"/>
  </r>
  <r>
    <n v="292"/>
    <s v="2122S31761"/>
    <n v="212233"/>
    <s v="CC737026"/>
    <s v="C213"/>
    <x v="188"/>
    <d v="1899-12-30T11:37:48"/>
    <s v="Apr"/>
    <x v="290"/>
    <s v="INR"/>
    <n v="49500"/>
    <s v="E112"/>
    <s v="E118"/>
  </r>
  <r>
    <n v="293"/>
    <s v="2122A71503"/>
    <n v="212234"/>
    <s v="CC740841"/>
    <s v="C206"/>
    <x v="188"/>
    <d v="1899-12-30T10:14:03"/>
    <s v="Apr"/>
    <x v="291"/>
    <s v="INR"/>
    <n v="44820"/>
    <s v="E116"/>
    <s v="E121"/>
  </r>
  <r>
    <n v="294"/>
    <s v="2122L81527"/>
    <n v="212235"/>
    <s v="CC786502"/>
    <s v="C210"/>
    <x v="189"/>
    <d v="1899-12-30T14:52:08"/>
    <s v="May"/>
    <x v="292"/>
    <s v="INR"/>
    <n v="89280"/>
    <s v="E112"/>
    <s v="E119"/>
  </r>
  <r>
    <n v="295"/>
    <s v="2122Q51651"/>
    <n v="212236"/>
    <s v="CC753187"/>
    <s v="C219"/>
    <x v="190"/>
    <d v="1899-12-30T12:04:55"/>
    <s v="May"/>
    <x v="293"/>
    <s v="INR"/>
    <n v="46260"/>
    <s v="E110"/>
    <s v="E121"/>
  </r>
  <r>
    <n v="296"/>
    <s v="2122J41238"/>
    <n v="212237"/>
    <s v="CC826713"/>
    <s v="C204"/>
    <x v="190"/>
    <d v="1899-12-30T16:22:27"/>
    <s v="May"/>
    <x v="294"/>
    <s v="INR"/>
    <n v="42840"/>
    <s v="E114"/>
    <s v="E118"/>
  </r>
  <r>
    <n v="297"/>
    <s v="2122C31086"/>
    <n v="212238"/>
    <s v="CC945706"/>
    <s v="C245"/>
    <x v="191"/>
    <d v="1899-12-30T17:26:39"/>
    <s v="May"/>
    <x v="295"/>
    <s v="INR"/>
    <n v="72180"/>
    <s v="E114"/>
    <s v="E118"/>
  </r>
  <r>
    <n v="298"/>
    <s v="2122X11877"/>
    <n v="212239"/>
    <s v="CC279086"/>
    <s v="C219"/>
    <x v="191"/>
    <d v="1899-12-30T14:57:53"/>
    <s v="May"/>
    <x v="296"/>
    <s v="INR"/>
    <n v="58860"/>
    <s v="E113"/>
    <s v="E121"/>
  </r>
  <r>
    <n v="299"/>
    <s v="2122P61734"/>
    <n v="212240"/>
    <s v="CC572393"/>
    <s v="C220"/>
    <x v="192"/>
    <d v="1899-12-30T11:47:06"/>
    <s v="May"/>
    <x v="297"/>
    <s v="INR"/>
    <n v="57600"/>
    <s v="E110"/>
    <s v="E120"/>
  </r>
  <r>
    <n v="300"/>
    <s v="2122H31456"/>
    <n v="212241"/>
    <s v="CC199480"/>
    <s v="C211"/>
    <x v="192"/>
    <d v="1899-12-30T17:38:35"/>
    <s v="May"/>
    <x v="298"/>
    <s v="INR"/>
    <n v="4500"/>
    <s v="E102"/>
    <s v="E116"/>
  </r>
  <r>
    <n v="301"/>
    <s v="2122U51176"/>
    <n v="212242"/>
    <s v="CC915591"/>
    <s v="C223"/>
    <x v="193"/>
    <d v="1899-12-30T13:58:22"/>
    <s v="May"/>
    <x v="299"/>
    <s v="INR"/>
    <n v="88560"/>
    <s v="E115"/>
    <s v="E120"/>
  </r>
  <r>
    <n v="302"/>
    <s v="2122R81752"/>
    <n v="212243"/>
    <s v="CC714760"/>
    <s v="C239"/>
    <x v="194"/>
    <d v="1899-12-30T11:54:24"/>
    <s v="May"/>
    <x v="300"/>
    <s v="INR"/>
    <n v="770040"/>
    <s v="E123"/>
    <s v="E125"/>
  </r>
  <r>
    <n v="303"/>
    <s v="2122J71071"/>
    <n v="212244"/>
    <s v="CC779996"/>
    <s v="C225"/>
    <x v="195"/>
    <d v="1899-12-30T11:31:57"/>
    <s v="May"/>
    <x v="301"/>
    <s v="INR"/>
    <n v="7200"/>
    <s v="E106"/>
    <s v="E110"/>
  </r>
  <r>
    <n v="304"/>
    <s v="2122P71588"/>
    <n v="212245"/>
    <s v="CC712750"/>
    <s v="C247"/>
    <x v="195"/>
    <d v="1899-12-30T10:54:29"/>
    <s v="May"/>
    <x v="302"/>
    <s v="INR"/>
    <n v="88020"/>
    <s v="E111"/>
    <s v="E120"/>
  </r>
  <r>
    <n v="305"/>
    <s v="2122E11194"/>
    <n v="212246"/>
    <s v="CC936408"/>
    <s v="C206"/>
    <x v="196"/>
    <d v="1899-12-30T10:23:44"/>
    <s v="May"/>
    <x v="303"/>
    <s v="INR"/>
    <n v="5940"/>
    <s v="E107"/>
    <s v="E110"/>
  </r>
  <r>
    <n v="306"/>
    <s v="2122E92000"/>
    <n v="212247"/>
    <s v="CC913421"/>
    <s v="C210"/>
    <x v="197"/>
    <d v="1899-12-30T16:37:13"/>
    <s v="May"/>
    <x v="304"/>
    <s v="INR"/>
    <n v="5580"/>
    <s v="E105"/>
    <s v="E115"/>
  </r>
  <r>
    <n v="307"/>
    <s v="2122A51332"/>
    <n v="212248"/>
    <s v="CC694145"/>
    <s v="C243"/>
    <x v="198"/>
    <d v="1899-12-30T11:58:45"/>
    <s v="May"/>
    <x v="305"/>
    <s v="INR"/>
    <n v="5040"/>
    <s v="E108"/>
    <s v="E112"/>
  </r>
  <r>
    <n v="308"/>
    <s v="2122N21290"/>
    <n v="212249"/>
    <s v="CC812055"/>
    <s v="C210"/>
    <x v="198"/>
    <d v="1899-12-30T17:14:16"/>
    <s v="May"/>
    <x v="306"/>
    <s v="INR"/>
    <n v="87480"/>
    <s v="E111"/>
    <s v="E119"/>
  </r>
  <r>
    <n v="309"/>
    <s v="2122H61356"/>
    <n v="212250"/>
    <s v="CC533198"/>
    <s v="C202"/>
    <x v="199"/>
    <d v="1899-12-30T14:47:20"/>
    <s v="May"/>
    <x v="307"/>
    <s v="INR"/>
    <n v="82260"/>
    <s v="E115"/>
    <s v="E119"/>
  </r>
  <r>
    <n v="310"/>
    <s v="2122G71828"/>
    <n v="212251"/>
    <s v="CC403177"/>
    <s v="C202"/>
    <x v="200"/>
    <d v="1899-12-30T15:12:05"/>
    <s v="May"/>
    <x v="308"/>
    <s v="INR"/>
    <n v="5400"/>
    <s v="E109"/>
    <s v="E112"/>
  </r>
  <r>
    <n v="311"/>
    <s v="2122Z81727"/>
    <n v="212252"/>
    <s v="CC834403"/>
    <s v="C225"/>
    <x v="200"/>
    <d v="1899-12-30T10:11:05"/>
    <s v="May"/>
    <x v="309"/>
    <s v="INR"/>
    <n v="88560"/>
    <s v="E111"/>
    <s v="E117"/>
  </r>
  <r>
    <n v="312"/>
    <s v="2122C71512"/>
    <n v="212253"/>
    <s v="CC464231"/>
    <s v="C239"/>
    <x v="201"/>
    <d v="1899-12-30T12:31:43"/>
    <s v="May"/>
    <x v="310"/>
    <s v="INR"/>
    <n v="891000"/>
    <s v="E125"/>
    <s v="E126"/>
  </r>
  <r>
    <n v="313"/>
    <s v="2122I51463"/>
    <n v="212254"/>
    <s v="CC228462"/>
    <s v="C247"/>
    <x v="202"/>
    <d v="1899-12-30T17:24:41"/>
    <s v="May"/>
    <x v="311"/>
    <s v="INR"/>
    <n v="75600"/>
    <s v="E116"/>
    <s v="E118"/>
  </r>
  <r>
    <n v="314"/>
    <s v="2122E81958"/>
    <n v="212255"/>
    <s v="CC329189"/>
    <s v="C247"/>
    <x v="202"/>
    <d v="1899-12-30T13:49:58"/>
    <s v="May"/>
    <x v="312"/>
    <s v="INR"/>
    <n v="84600"/>
    <s v="E116"/>
    <s v="E120"/>
  </r>
  <r>
    <n v="315"/>
    <s v="2122U21721"/>
    <n v="212256"/>
    <s v="CC219614"/>
    <s v="C221"/>
    <x v="203"/>
    <d v="1899-12-30T11:13:18"/>
    <s v="Apr"/>
    <x v="313"/>
    <s v="INR"/>
    <n v="88380"/>
    <s v="E113"/>
    <s v="E117"/>
  </r>
  <r>
    <n v="316"/>
    <s v="2122A91382"/>
    <n v="212257"/>
    <s v="CC360973"/>
    <s v="C214"/>
    <x v="203"/>
    <d v="1899-12-30T16:59:54"/>
    <s v="May"/>
    <x v="314"/>
    <s v="INR"/>
    <n v="5760"/>
    <s v="E108"/>
    <s v="E114"/>
  </r>
  <r>
    <n v="317"/>
    <s v="2122F51501"/>
    <n v="212258"/>
    <s v="CC996672"/>
    <s v="C227"/>
    <x v="204"/>
    <d v="1899-12-30T11:07:50"/>
    <s v="May"/>
    <x v="315"/>
    <s v="INR"/>
    <n v="5760"/>
    <s v="E108"/>
    <s v="E116"/>
  </r>
  <r>
    <n v="318"/>
    <s v="2122I71828"/>
    <n v="212259"/>
    <s v="CC402764"/>
    <s v="C246"/>
    <x v="204"/>
    <d v="1899-12-30T13:18:34"/>
    <s v="May"/>
    <x v="316"/>
    <s v="INR"/>
    <n v="5580"/>
    <s v="E109"/>
    <s v="E113"/>
  </r>
  <r>
    <n v="319"/>
    <s v="2122P31207"/>
    <n v="212260"/>
    <s v="CC822579"/>
    <s v="C226"/>
    <x v="204"/>
    <d v="1899-12-30T12:59:38"/>
    <s v="May"/>
    <x v="317"/>
    <s v="INR"/>
    <n v="5580"/>
    <s v="E100"/>
    <s v="E114"/>
  </r>
  <r>
    <n v="320"/>
    <s v="2122S11948"/>
    <n v="212261"/>
    <s v="CC551324"/>
    <s v="C240"/>
    <x v="205"/>
    <d v="1899-12-30T10:37:15"/>
    <s v="May"/>
    <x v="318"/>
    <s v="INR"/>
    <n v="730800"/>
    <s v="E123"/>
    <s v="E125"/>
  </r>
  <r>
    <n v="321"/>
    <s v="2122T61344"/>
    <n v="212262"/>
    <s v="CC117699"/>
    <s v="C240"/>
    <x v="206"/>
    <d v="1899-12-30T19:35:18"/>
    <s v="May"/>
    <x v="319"/>
    <s v="INR"/>
    <n v="840780"/>
    <s v="E125"/>
    <s v="E126"/>
  </r>
  <r>
    <n v="322"/>
    <s v="2122K41100"/>
    <n v="212263"/>
    <s v="CC345184"/>
    <s v="C212"/>
    <x v="206"/>
    <d v="1899-12-30T10:54:50"/>
    <s v="May"/>
    <x v="320"/>
    <s v="INR"/>
    <n v="5760"/>
    <s v="E106"/>
    <s v="E116"/>
  </r>
  <r>
    <n v="323"/>
    <s v="2122Y01059"/>
    <n v="212264"/>
    <s v="CC328264"/>
    <s v="C220"/>
    <x v="206"/>
    <d v="1899-12-30T10:32:01"/>
    <s v="May"/>
    <x v="321"/>
    <s v="INR"/>
    <n v="5220"/>
    <s v="E101"/>
    <s v="E112"/>
  </r>
  <r>
    <n v="324"/>
    <s v="2122C91143"/>
    <n v="212265"/>
    <s v="CC616697"/>
    <s v="C230"/>
    <x v="207"/>
    <d v="1899-12-30T12:15:54"/>
    <s v="May"/>
    <x v="322"/>
    <s v="INR"/>
    <n v="6120"/>
    <s v="E102"/>
    <s v="E116"/>
  </r>
  <r>
    <n v="325"/>
    <s v="2122Z91814"/>
    <n v="212266"/>
    <s v="CC296237"/>
    <s v="C247"/>
    <x v="207"/>
    <d v="1899-12-30T17:22:02"/>
    <s v="May"/>
    <x v="124"/>
    <s v="INR"/>
    <n v="5400"/>
    <s v="E102"/>
    <s v="E115"/>
  </r>
  <r>
    <n v="326"/>
    <s v="2122Y31120"/>
    <n v="212267"/>
    <s v="CC431429"/>
    <s v="C200"/>
    <x v="208"/>
    <d v="1899-12-30T10:58:48"/>
    <s v="May"/>
    <x v="323"/>
    <s v="INR"/>
    <n v="68940"/>
    <s v="E111"/>
    <s v="E119"/>
  </r>
  <r>
    <n v="327"/>
    <s v="2122W11173"/>
    <n v="212268"/>
    <s v="CC793013"/>
    <s v="C207"/>
    <x v="208"/>
    <d v="1899-12-30T13:17:00"/>
    <s v="May"/>
    <x v="324"/>
    <s v="INR"/>
    <n v="87300"/>
    <s v="E110"/>
    <s v="E121"/>
  </r>
  <r>
    <n v="328"/>
    <s v="2122K21518"/>
    <n v="212269"/>
    <s v="CC609741"/>
    <s v="C236"/>
    <x v="209"/>
    <d v="1899-12-30T19:45:36"/>
    <s v="May"/>
    <x v="325"/>
    <s v="INR"/>
    <n v="829800"/>
    <s v="E125"/>
    <s v="E126"/>
  </r>
  <r>
    <n v="329"/>
    <s v="2122O11507"/>
    <n v="212270"/>
    <s v="CC724728"/>
    <s v="C218"/>
    <x v="210"/>
    <d v="1899-12-30T13:18:29"/>
    <s v="May"/>
    <x v="326"/>
    <s v="INR"/>
    <n v="54360"/>
    <s v="E113"/>
    <s v="E121"/>
  </r>
  <r>
    <n v="330"/>
    <s v="2122F91688"/>
    <n v="212271"/>
    <s v="CC328767"/>
    <s v="C223"/>
    <x v="210"/>
    <d v="1899-12-30T10:37:14"/>
    <s v="May"/>
    <x v="327"/>
    <s v="INR"/>
    <n v="45720"/>
    <s v="E112"/>
    <s v="E117"/>
  </r>
  <r>
    <n v="331"/>
    <s v="2122W01822"/>
    <n v="212272"/>
    <s v="CC288213"/>
    <s v="C244"/>
    <x v="211"/>
    <d v="1899-12-30T11:39:48"/>
    <s v="Jun"/>
    <x v="328"/>
    <s v="INR"/>
    <n v="66420"/>
    <s v="E116"/>
    <s v="E117"/>
  </r>
  <r>
    <n v="332"/>
    <s v="2122P41977"/>
    <n v="212273"/>
    <s v="CC701641"/>
    <s v="C229"/>
    <x v="211"/>
    <d v="1899-12-30T14:45:29"/>
    <s v="Jun"/>
    <x v="329"/>
    <s v="INR"/>
    <n v="88740"/>
    <s v="E111"/>
    <s v="E117"/>
  </r>
  <r>
    <n v="333"/>
    <s v="2122N31667"/>
    <n v="212274"/>
    <s v="CC311492"/>
    <s v="C217"/>
    <x v="212"/>
    <d v="1899-12-30T15:53:46"/>
    <s v="Jun"/>
    <x v="330"/>
    <s v="INR"/>
    <n v="73080"/>
    <s v="E116"/>
    <s v="E121"/>
  </r>
  <r>
    <n v="334"/>
    <s v="2122D01537"/>
    <n v="212275"/>
    <s v="CC709724"/>
    <s v="C205"/>
    <x v="212"/>
    <d v="1899-12-30T10:28:34"/>
    <s v="Jun"/>
    <x v="331"/>
    <s v="INR"/>
    <n v="47160"/>
    <s v="E116"/>
    <s v="E119"/>
  </r>
  <r>
    <n v="335"/>
    <s v="2122D91262"/>
    <n v="212276"/>
    <s v="CC889005"/>
    <s v="C236"/>
    <x v="213"/>
    <d v="1899-12-30T13:42:19"/>
    <s v="Jun"/>
    <x v="332"/>
    <s v="INR"/>
    <n v="734400"/>
    <s v="E124"/>
    <s v="E125"/>
  </r>
  <r>
    <n v="336"/>
    <s v="2122L61433"/>
    <n v="212277"/>
    <s v="CC248245"/>
    <s v="C220"/>
    <x v="214"/>
    <d v="1899-12-30T12:30:19"/>
    <s v="Jun"/>
    <x v="333"/>
    <s v="INR"/>
    <n v="88020"/>
    <s v="E116"/>
    <s v="E121"/>
  </r>
  <r>
    <n v="337"/>
    <s v="2122A51824"/>
    <n v="212278"/>
    <s v="CC462512"/>
    <s v="C223"/>
    <x v="215"/>
    <d v="1899-12-30T12:58:18"/>
    <s v="Jun"/>
    <x v="334"/>
    <s v="INR"/>
    <n v="46800"/>
    <s v="E115"/>
    <s v="E121"/>
  </r>
  <r>
    <n v="338"/>
    <s v="2122C91935"/>
    <n v="212279"/>
    <s v="CC382059"/>
    <s v="C234"/>
    <x v="216"/>
    <d v="1899-12-30T16:50:48"/>
    <s v="Jun"/>
    <x v="335"/>
    <s v="INR"/>
    <n v="406800"/>
    <s v="E124"/>
    <s v="E125"/>
  </r>
  <r>
    <n v="339"/>
    <s v="2122G01509"/>
    <n v="212280"/>
    <s v="CC571554"/>
    <s v="C230"/>
    <x v="217"/>
    <d v="1899-12-30T11:56:30"/>
    <s v="Jun"/>
    <x v="336"/>
    <s v="INR"/>
    <n v="63720"/>
    <s v="E112"/>
    <s v="E117"/>
  </r>
  <r>
    <n v="340"/>
    <s v="2122M81287"/>
    <n v="212281"/>
    <s v="CC438230"/>
    <s v="C247"/>
    <x v="218"/>
    <d v="1899-12-30T10:33:58"/>
    <s v="May"/>
    <x v="337"/>
    <s v="INR"/>
    <n v="61920"/>
    <s v="E110"/>
    <s v="E121"/>
  </r>
  <r>
    <n v="341"/>
    <s v="2122X11995"/>
    <n v="212282"/>
    <s v="CC157174"/>
    <s v="C231"/>
    <x v="218"/>
    <d v="1899-12-30T11:38:10"/>
    <s v="Jun"/>
    <x v="338"/>
    <s v="INR"/>
    <n v="47880"/>
    <s v="E113"/>
    <s v="E119"/>
  </r>
  <r>
    <n v="342"/>
    <s v="2122P01373"/>
    <n v="212283"/>
    <s v="CC667613"/>
    <s v="C204"/>
    <x v="219"/>
    <d v="1899-12-30T11:59:18"/>
    <s v="Jun"/>
    <x v="339"/>
    <s v="INR"/>
    <n v="80280"/>
    <s v="E116"/>
    <s v="E117"/>
  </r>
  <r>
    <n v="343"/>
    <s v="2122D11524"/>
    <n v="212284"/>
    <s v="CC986776"/>
    <s v="C230"/>
    <x v="220"/>
    <d v="1899-12-30T17:01:33"/>
    <s v="May"/>
    <x v="340"/>
    <s v="INR"/>
    <n v="52380"/>
    <s v="E113"/>
    <s v="E117"/>
  </r>
  <r>
    <n v="344"/>
    <s v="2122K31734"/>
    <n v="212285"/>
    <s v="CC917205"/>
    <s v="C203"/>
    <x v="221"/>
    <d v="1899-12-30T11:36:12"/>
    <s v="Jun"/>
    <x v="341"/>
    <s v="INR"/>
    <n v="81540"/>
    <s v="E113"/>
    <s v="E117"/>
  </r>
  <r>
    <n v="345"/>
    <s v="2122W51264"/>
    <n v="212286"/>
    <s v="CC744505"/>
    <s v="C204"/>
    <x v="222"/>
    <d v="1899-12-30T10:50:30"/>
    <s v="Jun"/>
    <x v="342"/>
    <s v="INR"/>
    <n v="81180"/>
    <s v="E110"/>
    <s v="E120"/>
  </r>
  <r>
    <n v="346"/>
    <s v="2122E81308"/>
    <n v="212287"/>
    <s v="CC368408"/>
    <s v="C215"/>
    <x v="222"/>
    <d v="1899-12-30T11:34:13"/>
    <s v="Jun"/>
    <x v="343"/>
    <s v="INR"/>
    <n v="45360"/>
    <s v="E111"/>
    <s v="E118"/>
  </r>
  <r>
    <n v="347"/>
    <s v="2122M11324"/>
    <n v="212288"/>
    <s v="CC351025"/>
    <s v="C229"/>
    <x v="223"/>
    <d v="1899-12-30T15:35:20"/>
    <s v="Jun"/>
    <x v="344"/>
    <s v="INR"/>
    <n v="82260"/>
    <s v="E113"/>
    <s v="E117"/>
  </r>
  <r>
    <n v="348"/>
    <s v="2122Q71449"/>
    <n v="212289"/>
    <s v="CC843843"/>
    <s v="C220"/>
    <x v="223"/>
    <d v="1899-12-30T17:52:51"/>
    <s v="Jun"/>
    <x v="345"/>
    <s v="INR"/>
    <n v="59760"/>
    <s v="E113"/>
    <s v="E117"/>
  </r>
  <r>
    <n v="349"/>
    <s v="2122J41040"/>
    <n v="212290"/>
    <s v="CC758767"/>
    <s v="C240"/>
    <x v="224"/>
    <d v="1899-12-30T19:32:42"/>
    <s v="Jun"/>
    <x v="346"/>
    <s v="INR"/>
    <n v="779400"/>
    <s v="E123"/>
    <s v="E125"/>
  </r>
  <r>
    <n v="350"/>
    <s v="2122M71189"/>
    <n v="212291"/>
    <s v="CC845878"/>
    <s v="C229"/>
    <x v="225"/>
    <d v="1899-12-30T12:32:27"/>
    <s v="Jun"/>
    <x v="347"/>
    <s v="INR"/>
    <n v="66600"/>
    <s v="E113"/>
    <s v="E117"/>
  </r>
  <r>
    <n v="351"/>
    <s v="2122O01612"/>
    <n v="212292"/>
    <s v="CC397746"/>
    <s v="C223"/>
    <x v="226"/>
    <d v="1899-12-30T10:13:01"/>
    <s v="Jun"/>
    <x v="348"/>
    <s v="INR"/>
    <n v="38880"/>
    <s v="E110"/>
    <s v="E120"/>
  </r>
  <r>
    <n v="352"/>
    <s v="2122K21667"/>
    <n v="212293"/>
    <s v="CC611971"/>
    <s v="C241"/>
    <x v="226"/>
    <d v="1899-12-30T13:22:07"/>
    <s v="Jun"/>
    <x v="349"/>
    <s v="INR"/>
    <n v="54540"/>
    <s v="E110"/>
    <s v="E119"/>
  </r>
  <r>
    <n v="353"/>
    <s v="2122R41764"/>
    <n v="212294"/>
    <s v="CC958168"/>
    <s v="C236"/>
    <x v="227"/>
    <d v="1899-12-30T11:46:31"/>
    <s v="Jul"/>
    <x v="350"/>
    <s v="INR"/>
    <n v="841140"/>
    <s v="E125"/>
    <s v="E126"/>
  </r>
  <r>
    <n v="354"/>
    <s v="2122X11966"/>
    <n v="212295"/>
    <s v="CC760438"/>
    <s v="C243"/>
    <x v="228"/>
    <d v="1899-12-30T16:39:50"/>
    <s v="Jul"/>
    <x v="351"/>
    <s v="INR"/>
    <n v="40140"/>
    <s v="E111"/>
    <s v="E121"/>
  </r>
  <r>
    <n v="355"/>
    <s v="2122R41436"/>
    <n v="212296"/>
    <s v="CC113941"/>
    <s v="C229"/>
    <x v="229"/>
    <d v="1899-12-30T11:26:32"/>
    <s v="Jul"/>
    <x v="352"/>
    <s v="INR"/>
    <n v="878040"/>
    <s v="E125"/>
    <s v="E126"/>
  </r>
  <r>
    <n v="356"/>
    <s v="2122X51421"/>
    <n v="212297"/>
    <s v="CC414518"/>
    <s v="C210"/>
    <x v="229"/>
    <d v="1899-12-30T12:28:21"/>
    <s v="Jul"/>
    <x v="353"/>
    <s v="INR"/>
    <n v="896400"/>
    <s v="E125"/>
    <s v="E126"/>
  </r>
  <r>
    <n v="357"/>
    <s v="2122K41582"/>
    <n v="212298"/>
    <s v="CC855150"/>
    <s v="C243"/>
    <x v="229"/>
    <d v="1899-12-30T15:15:08"/>
    <s v="Jul"/>
    <x v="354"/>
    <s v="INR"/>
    <n v="60300"/>
    <s v="E112"/>
    <s v="E120"/>
  </r>
  <r>
    <n v="358"/>
    <s v="2122R71561"/>
    <n v="212299"/>
    <s v="CC688525"/>
    <s v="C223"/>
    <x v="230"/>
    <d v="1899-12-30T13:51:31"/>
    <s v="Jul"/>
    <x v="355"/>
    <s v="INR"/>
    <n v="60480"/>
    <s v="E110"/>
    <s v="E117"/>
  </r>
  <r>
    <n v="359"/>
    <s v="2122Y51297"/>
    <n v="2122100"/>
    <s v="CC909635"/>
    <s v="C208"/>
    <x v="230"/>
    <d v="1899-12-30T10:57:19"/>
    <s v="Jul"/>
    <x v="356"/>
    <s v="INR"/>
    <n v="56340"/>
    <s v="E111"/>
    <s v="E121"/>
  </r>
  <r>
    <n v="360"/>
    <s v="2122A21810"/>
    <n v="2122101"/>
    <s v="CC462535"/>
    <s v="C218"/>
    <x v="231"/>
    <d v="1899-12-30T17:46:03"/>
    <s v="Jul"/>
    <x v="357"/>
    <s v="INR"/>
    <n v="46440"/>
    <s v="E116"/>
    <s v="E119"/>
  </r>
  <r>
    <n v="361"/>
    <s v="2122K81299"/>
    <n v="2122102"/>
    <s v="CC730025"/>
    <s v="C245"/>
    <x v="232"/>
    <d v="1899-12-30T12:50:19"/>
    <s v="Jul"/>
    <x v="358"/>
    <s v="INR"/>
    <n v="878040"/>
    <s v="E125"/>
    <s v="E126"/>
  </r>
  <r>
    <n v="362"/>
    <s v="2122E81303"/>
    <n v="2122103"/>
    <s v="CC295581"/>
    <s v="C248"/>
    <x v="232"/>
    <d v="1899-12-30T16:27:49"/>
    <s v="Jul"/>
    <x v="359"/>
    <s v="INR"/>
    <n v="812880"/>
    <s v="E125"/>
    <s v="E126"/>
  </r>
  <r>
    <n v="363"/>
    <s v="2122O71438"/>
    <n v="2122104"/>
    <s v="CC504719"/>
    <s v="C240"/>
    <x v="233"/>
    <d v="1899-12-30T12:06:17"/>
    <s v="Jul"/>
    <x v="360"/>
    <s v="INR"/>
    <n v="730440"/>
    <s v="E123"/>
    <s v="E125"/>
  </r>
  <r>
    <n v="364"/>
    <s v="2122Y51662"/>
    <n v="2122105"/>
    <s v="CC122844"/>
    <s v="C242"/>
    <x v="232"/>
    <d v="1899-12-30T10:09:49"/>
    <s v="Jul"/>
    <x v="361"/>
    <s v="INR"/>
    <n v="75420"/>
    <s v="E112"/>
    <s v="E117"/>
  </r>
  <r>
    <n v="365"/>
    <s v="2122U21295"/>
    <n v="2122106"/>
    <s v="CC955812"/>
    <s v="C208"/>
    <x v="234"/>
    <d v="1899-12-30T11:56:09"/>
    <s v="Jun"/>
    <x v="362"/>
    <s v="INR"/>
    <n v="44100"/>
    <s v="E112"/>
    <s v="E119"/>
  </r>
  <r>
    <n v="366"/>
    <s v="2122H51580"/>
    <n v="2122107"/>
    <s v="CC124053"/>
    <s v="C226"/>
    <x v="234"/>
    <d v="1899-12-30T11:49:36"/>
    <s v="Jul"/>
    <x v="363"/>
    <s v="INR"/>
    <n v="45540"/>
    <s v="E110"/>
    <s v="E117"/>
  </r>
  <r>
    <n v="367"/>
    <s v="2122F21054"/>
    <n v="2122108"/>
    <s v="CC905493"/>
    <s v="C228"/>
    <x v="234"/>
    <d v="1899-12-30T14:58:18"/>
    <s v="Jul"/>
    <x v="364"/>
    <s v="INR"/>
    <n v="61560"/>
    <s v="E112"/>
    <s v="E120"/>
  </r>
  <r>
    <n v="368"/>
    <s v="2122R91732"/>
    <n v="2122109"/>
    <s v="CC775724"/>
    <s v="C234"/>
    <x v="234"/>
    <d v="1899-12-30T13:13:03"/>
    <s v="Jun"/>
    <x v="365"/>
    <s v="INR"/>
    <n v="81900"/>
    <s v="E110"/>
    <s v="E118"/>
  </r>
  <r>
    <n v="369"/>
    <s v="2122S21537"/>
    <n v="2122110"/>
    <s v="CC705770"/>
    <s v="C223"/>
    <x v="235"/>
    <d v="1899-12-30T14:11:38"/>
    <s v="Jul"/>
    <x v="366"/>
    <s v="INR"/>
    <n v="56340"/>
    <s v="E116"/>
    <s v="E120"/>
  </r>
  <r>
    <n v="370"/>
    <s v="2122T11612"/>
    <n v="2122111"/>
    <s v="CC923656"/>
    <s v="C222"/>
    <x v="236"/>
    <d v="1899-12-30T15:04:40"/>
    <s v="Jul"/>
    <x v="367"/>
    <s v="INR"/>
    <n v="72360"/>
    <s v="E111"/>
    <s v="E120"/>
  </r>
  <r>
    <n v="371"/>
    <s v="2122H01575"/>
    <n v="2122112"/>
    <s v="CC427384"/>
    <s v="C221"/>
    <x v="237"/>
    <d v="1899-12-30T12:16:36"/>
    <s v="Jul"/>
    <x v="368"/>
    <s v="INR"/>
    <n v="57060"/>
    <s v="E111"/>
    <s v="E119"/>
  </r>
  <r>
    <n v="372"/>
    <s v="2122O91217"/>
    <n v="2122113"/>
    <s v="CC605545"/>
    <s v="C217"/>
    <x v="237"/>
    <d v="1899-12-30T13:01:22"/>
    <s v="Jul"/>
    <x v="369"/>
    <s v="INR"/>
    <n v="61740"/>
    <s v="E114"/>
    <s v="E119"/>
  </r>
  <r>
    <n v="373"/>
    <s v="2122N81684"/>
    <n v="2122114"/>
    <s v="CC757772"/>
    <s v="C220"/>
    <x v="237"/>
    <d v="1899-12-30T12:32:17"/>
    <s v="Jul"/>
    <x v="370"/>
    <s v="INR"/>
    <n v="85140"/>
    <s v="E115"/>
    <s v="E120"/>
  </r>
  <r>
    <n v="374"/>
    <s v="2122T11572"/>
    <n v="2122115"/>
    <s v="CC776809"/>
    <s v="C223"/>
    <x v="237"/>
    <d v="1899-12-30T16:58:02"/>
    <s v="Jul"/>
    <x v="371"/>
    <s v="INR"/>
    <n v="55260"/>
    <s v="E112"/>
    <s v="E117"/>
  </r>
  <r>
    <n v="375"/>
    <s v="2122N41639"/>
    <n v="2122116"/>
    <s v="CC481370"/>
    <s v="C247"/>
    <x v="237"/>
    <d v="1899-12-30T15:27:42"/>
    <s v="Jul"/>
    <x v="372"/>
    <s v="INR"/>
    <n v="60300"/>
    <s v="E110"/>
    <s v="E117"/>
  </r>
  <r>
    <n v="376"/>
    <s v="2122T31362"/>
    <n v="2122117"/>
    <s v="CC156411"/>
    <s v="C222"/>
    <x v="238"/>
    <d v="1899-12-30T16:31:28"/>
    <s v="Jul"/>
    <x v="373"/>
    <s v="INR"/>
    <n v="42120"/>
    <s v="E115"/>
    <s v="E121"/>
  </r>
  <r>
    <n v="377"/>
    <s v="2122I01269"/>
    <n v="2122118"/>
    <s v="CC535979"/>
    <s v="C222"/>
    <x v="239"/>
    <d v="1899-12-30T14:53:51"/>
    <s v="Jul"/>
    <x v="374"/>
    <s v="INR"/>
    <n v="899100"/>
    <s v="E125"/>
    <s v="E126"/>
  </r>
  <r>
    <n v="378"/>
    <s v="2122J91871"/>
    <n v="2122119"/>
    <s v="CC129392"/>
    <s v="C232"/>
    <x v="239"/>
    <d v="1899-12-30T15:10:19"/>
    <s v="Jul"/>
    <x v="375"/>
    <s v="INR"/>
    <n v="38160"/>
    <s v="E110"/>
    <s v="E118"/>
  </r>
  <r>
    <n v="379"/>
    <s v="2122E11145"/>
    <n v="2122120"/>
    <s v="CC483508"/>
    <s v="C240"/>
    <x v="240"/>
    <d v="1899-12-30T12:04:55"/>
    <s v="Jul"/>
    <x v="376"/>
    <s v="INR"/>
    <n v="757800"/>
    <s v="E124"/>
    <s v="E125"/>
  </r>
  <r>
    <n v="380"/>
    <s v="2122B11824"/>
    <n v="2122121"/>
    <s v="CC402552"/>
    <s v="C224"/>
    <x v="241"/>
    <d v="1899-12-30T13:34:13"/>
    <s v="Jul"/>
    <x v="377"/>
    <s v="INR"/>
    <n v="44280"/>
    <s v="E116"/>
    <s v="E118"/>
  </r>
  <r>
    <n v="381"/>
    <s v="2122L61350"/>
    <n v="2122122"/>
    <s v="CC861125"/>
    <s v="C216"/>
    <x v="242"/>
    <d v="1899-12-30T16:04:11"/>
    <s v="Jul"/>
    <x v="378"/>
    <s v="INR"/>
    <n v="40860"/>
    <s v="E110"/>
    <s v="E121"/>
  </r>
  <r>
    <n v="382"/>
    <s v="2122V51057"/>
    <n v="2122123"/>
    <s v="CC665733"/>
    <s v="C218"/>
    <x v="242"/>
    <d v="1899-12-30T15:39:30"/>
    <s v="Jul"/>
    <x v="379"/>
    <s v="INR"/>
    <n v="71460"/>
    <s v="E112"/>
    <s v="E121"/>
  </r>
  <r>
    <n v="383"/>
    <s v="2122A01733"/>
    <n v="2122124"/>
    <s v="CC732825"/>
    <s v="C225"/>
    <x v="243"/>
    <d v="1899-12-30T15:02:16"/>
    <s v="Jul"/>
    <x v="380"/>
    <s v="INR"/>
    <n v="63360"/>
    <s v="E110"/>
    <s v="E119"/>
  </r>
  <r>
    <n v="384"/>
    <s v="2122H01711"/>
    <n v="2122125"/>
    <s v="CC701593"/>
    <s v="C248"/>
    <x v="244"/>
    <d v="1899-12-30T16:34:48"/>
    <s v="Jul"/>
    <x v="381"/>
    <s v="INR"/>
    <n v="53460"/>
    <s v="E110"/>
    <s v="E117"/>
  </r>
  <r>
    <n v="385"/>
    <s v="2122P91585"/>
    <n v="2122126"/>
    <s v="CC538768"/>
    <s v="C212"/>
    <x v="244"/>
    <d v="1899-12-30T14:26:27"/>
    <s v="Jul"/>
    <x v="382"/>
    <s v="INR"/>
    <n v="815580"/>
    <s v="E125"/>
    <s v="E126"/>
  </r>
  <r>
    <n v="386"/>
    <s v="2122F01599"/>
    <n v="2122127"/>
    <s v="CC258004"/>
    <s v="C204"/>
    <x v="244"/>
    <d v="1899-12-30T11:58:50"/>
    <s v="Jul"/>
    <x v="383"/>
    <s v="INR"/>
    <n v="84780"/>
    <s v="E113"/>
    <s v="E117"/>
  </r>
  <r>
    <n v="387"/>
    <s v="2122E31833"/>
    <n v="2122128"/>
    <s v="CC102948"/>
    <s v="C242"/>
    <x v="245"/>
    <d v="1899-12-30T10:55:04"/>
    <s v="Jul"/>
    <x v="384"/>
    <s v="INR"/>
    <n v="760860"/>
    <s v="E124"/>
    <s v="E125"/>
  </r>
  <r>
    <n v="388"/>
    <s v="2122j61071"/>
    <n v="2122129"/>
    <s v="CC833477"/>
    <s v="C227"/>
    <x v="246"/>
    <d v="1899-12-30T10:28:16"/>
    <s v="Jul"/>
    <x v="385"/>
    <s v="INR"/>
    <n v="831600"/>
    <s v="E125"/>
    <s v="E126"/>
  </r>
  <r>
    <n v="389"/>
    <s v="2122K51946"/>
    <n v="2122130"/>
    <s v="CC669865"/>
    <s v="C216"/>
    <x v="247"/>
    <d v="1899-12-30T16:21:23"/>
    <s v="Aug"/>
    <x v="386"/>
    <s v="INR"/>
    <n v="55080"/>
    <s v="E116"/>
    <s v="E120"/>
  </r>
  <r>
    <n v="390"/>
    <s v="2122L71265"/>
    <n v="2122131"/>
    <s v="CC687030"/>
    <s v="C219"/>
    <x v="247"/>
    <d v="1899-12-30T11:37:35"/>
    <s v="Aug"/>
    <x v="387"/>
    <s v="INR"/>
    <n v="76140"/>
    <s v="E111"/>
    <s v="E119"/>
  </r>
  <r>
    <n v="391"/>
    <s v="2122P71661"/>
    <n v="2122132"/>
    <s v="CC159657"/>
    <s v="C207"/>
    <x v="247"/>
    <d v="1899-12-30T11:40:08"/>
    <s v="Aug"/>
    <x v="388"/>
    <s v="INR"/>
    <n v="49680"/>
    <s v="E116"/>
    <s v="E119"/>
  </r>
  <r>
    <n v="392"/>
    <s v="2122C41426"/>
    <n v="2122133"/>
    <s v="CC837422"/>
    <s v="C215"/>
    <x v="247"/>
    <d v="1899-12-30T13:48:16"/>
    <s v="Aug"/>
    <x v="389"/>
    <s v="INR"/>
    <n v="48600"/>
    <s v="E114"/>
    <s v="E119"/>
  </r>
  <r>
    <n v="393"/>
    <s v="2122C41965"/>
    <n v="2122134"/>
    <s v="CC974419"/>
    <s v="C241"/>
    <x v="248"/>
    <d v="1899-12-30T13:52:17"/>
    <s v="Aug"/>
    <x v="390"/>
    <s v="INR"/>
    <n v="57060"/>
    <s v="E114"/>
    <s v="E119"/>
  </r>
  <r>
    <n v="394"/>
    <s v="2122Q91600"/>
    <n v="2122135"/>
    <s v="CC158828"/>
    <s v="C240"/>
    <x v="249"/>
    <d v="1899-12-30T19:23:10"/>
    <s v="Aug"/>
    <x v="391"/>
    <s v="INR"/>
    <n v="764820"/>
    <s v="E123"/>
    <s v="E125"/>
  </r>
  <r>
    <n v="395"/>
    <s v="2122N41091"/>
    <n v="2122136"/>
    <s v="CC733634"/>
    <s v="C235"/>
    <x v="250"/>
    <d v="1899-12-30T16:46:05"/>
    <s v="Aug"/>
    <x v="392"/>
    <s v="INR"/>
    <n v="60660"/>
    <s v="E114"/>
    <s v="E120"/>
  </r>
  <r>
    <n v="396"/>
    <s v="2122J71298"/>
    <n v="2122137"/>
    <s v="CC612045"/>
    <s v="C216"/>
    <x v="250"/>
    <d v="1899-12-30T16:49:19"/>
    <s v="Aug"/>
    <x v="393"/>
    <s v="INR"/>
    <n v="61560"/>
    <s v="E116"/>
    <s v="E117"/>
  </r>
  <r>
    <n v="397"/>
    <s v="2122R51511"/>
    <n v="2122138"/>
    <s v="CC196780"/>
    <s v="C234"/>
    <x v="251"/>
    <d v="1899-12-30T16:21:03"/>
    <s v="Aug"/>
    <x v="394"/>
    <s v="INR"/>
    <n v="7020"/>
    <s v="E100"/>
    <s v="E115"/>
  </r>
  <r>
    <n v="398"/>
    <s v="2122I21394"/>
    <n v="2122139"/>
    <s v="CC345385"/>
    <s v="C206"/>
    <x v="251"/>
    <d v="1899-12-30T14:02:18"/>
    <s v="Aug"/>
    <x v="395"/>
    <s v="INR"/>
    <n v="3780"/>
    <s v="E105"/>
    <s v="E114"/>
  </r>
  <r>
    <n v="399"/>
    <s v="2122S81625"/>
    <n v="2122140"/>
    <s v="CC140319"/>
    <s v="C228"/>
    <x v="252"/>
    <d v="1899-12-30T16:47:28"/>
    <s v="Aug"/>
    <x v="396"/>
    <s v="INR"/>
    <n v="6300"/>
    <s v="E102"/>
    <s v="E116"/>
  </r>
  <r>
    <n v="400"/>
    <s v="2122H31439"/>
    <n v="2122141"/>
    <s v="CC721275"/>
    <s v="C241"/>
    <x v="252"/>
    <d v="1899-12-30T11:50:38"/>
    <s v="Aug"/>
    <x v="397"/>
    <s v="INR"/>
    <n v="5400"/>
    <s v="E100"/>
    <s v="E112"/>
  </r>
  <r>
    <n v="401"/>
    <s v="2122Z91491"/>
    <n v="2122142"/>
    <s v="CC188057"/>
    <s v="C207"/>
    <x v="249"/>
    <d v="1899-12-30T10:48:37"/>
    <s v="Aug"/>
    <x v="398"/>
    <s v="INR"/>
    <n v="5580"/>
    <s v="E101"/>
    <s v="E110"/>
  </r>
  <r>
    <n v="402"/>
    <s v="2122P61430"/>
    <n v="2122143"/>
    <s v="CC967396"/>
    <s v="C222"/>
    <x v="253"/>
    <d v="1899-12-30T13:38:31"/>
    <s v="Aug"/>
    <x v="399"/>
    <s v="INR"/>
    <n v="6660"/>
    <s v="E108"/>
    <s v="E114"/>
  </r>
  <r>
    <n v="403"/>
    <s v="2122X71228"/>
    <n v="2122144"/>
    <s v="CC544567"/>
    <s v="C206"/>
    <x v="254"/>
    <d v="1899-12-30T11:17:44"/>
    <s v="Aug"/>
    <x v="400"/>
    <s v="INR"/>
    <n v="5940"/>
    <s v="E109"/>
    <s v="E116"/>
  </r>
  <r>
    <n v="404"/>
    <s v="2122A41190"/>
    <n v="2122145"/>
    <s v="CC463984"/>
    <s v="C218"/>
    <x v="254"/>
    <d v="1899-12-30T14:03:32"/>
    <s v="Aug"/>
    <x v="401"/>
    <s v="INR"/>
    <n v="7020"/>
    <s v="E105"/>
    <s v="E113"/>
  </r>
  <r>
    <n v="405"/>
    <s v="2122E31771"/>
    <n v="2122146"/>
    <s v="CC210486"/>
    <s v="C217"/>
    <x v="254"/>
    <d v="1899-12-30T10:52:10"/>
    <s v="Aug"/>
    <x v="402"/>
    <s v="INR"/>
    <n v="5220"/>
    <s v="E109"/>
    <s v="E110"/>
  </r>
  <r>
    <n v="406"/>
    <s v="2122J21302"/>
    <n v="2122147"/>
    <s v="CC562343"/>
    <s v="C216"/>
    <x v="255"/>
    <d v="1899-12-30T12:45:47"/>
    <s v="Jun"/>
    <x v="403"/>
    <s v="INR"/>
    <n v="88920"/>
    <s v="E116"/>
    <s v="E121"/>
  </r>
  <r>
    <n v="407"/>
    <s v="2122U71686"/>
    <n v="2122148"/>
    <s v="CC859081"/>
    <s v="C239"/>
    <x v="256"/>
    <d v="1899-12-30T11:16:20"/>
    <s v="Aug"/>
    <x v="404"/>
    <s v="INR"/>
    <n v="886500"/>
    <s v="E125"/>
    <s v="E126"/>
  </r>
  <r>
    <n v="408"/>
    <s v="2122S11655"/>
    <n v="2122149"/>
    <s v="CC823880"/>
    <s v="C212"/>
    <x v="255"/>
    <d v="1899-12-30T12:44:06"/>
    <s v="Aug"/>
    <x v="405"/>
    <s v="INR"/>
    <n v="5580"/>
    <s v="E109"/>
    <s v="E111"/>
  </r>
  <r>
    <n v="409"/>
    <s v="2122X71658"/>
    <n v="2122150"/>
    <s v="CC162983"/>
    <s v="C234"/>
    <x v="257"/>
    <d v="1899-12-30T16:14:22"/>
    <s v="Aug"/>
    <x v="406"/>
    <s v="INR"/>
    <n v="76140"/>
    <s v="E114"/>
    <s v="E120"/>
  </r>
  <r>
    <n v="410"/>
    <s v="2122V81417"/>
    <n v="2122151"/>
    <s v="CC681538"/>
    <s v="C232"/>
    <x v="257"/>
    <d v="1899-12-30T12:35:20"/>
    <s v="Aug"/>
    <x v="407"/>
    <s v="INR"/>
    <n v="5400"/>
    <s v="E101"/>
    <s v="E115"/>
  </r>
  <r>
    <n v="411"/>
    <s v="2122A81307"/>
    <n v="2122152"/>
    <s v="CC237623"/>
    <s v="C223"/>
    <x v="257"/>
    <d v="1899-12-30T12:53:39"/>
    <s v="Aug"/>
    <x v="408"/>
    <s v="INR"/>
    <n v="82800"/>
    <s v="E115"/>
    <s v="E121"/>
  </r>
  <r>
    <n v="412"/>
    <s v="2122V01001"/>
    <n v="2122153"/>
    <s v="CC547030"/>
    <s v="C228"/>
    <x v="258"/>
    <d v="1899-12-30T13:22:57"/>
    <s v="Aug"/>
    <x v="409"/>
    <s v="INR"/>
    <n v="7020"/>
    <s v="E104"/>
    <s v="E112"/>
  </r>
  <r>
    <n v="413"/>
    <s v="2122T51691"/>
    <n v="2122154"/>
    <s v="CC298816"/>
    <s v="C244"/>
    <x v="258"/>
    <d v="1899-12-30T13:58:33"/>
    <s v="Aug"/>
    <x v="410"/>
    <s v="INR"/>
    <n v="5040"/>
    <s v="E101"/>
    <s v="E114"/>
  </r>
  <r>
    <n v="414"/>
    <s v="2122R21294"/>
    <n v="2122155"/>
    <s v="CC694544"/>
    <s v="C216"/>
    <x v="259"/>
    <d v="1899-12-30T11:06:22"/>
    <s v="Aug"/>
    <x v="411"/>
    <s v="INR"/>
    <n v="2414700"/>
    <s v="E125"/>
    <s v="E126"/>
  </r>
  <r>
    <n v="415"/>
    <s v="2122F51085"/>
    <n v="2122156"/>
    <s v="CC406497"/>
    <s v="C232"/>
    <x v="259"/>
    <d v="1899-12-30T15:51:23"/>
    <s v="Aug"/>
    <x v="412"/>
    <s v="INR"/>
    <n v="1255320"/>
    <s v="E125"/>
    <s v="E126"/>
  </r>
  <r>
    <n v="416"/>
    <s v="2122E51505"/>
    <n v="2122157"/>
    <s v="CC878457"/>
    <s v="C224"/>
    <x v="260"/>
    <d v="1899-12-30T11:29:11"/>
    <s v="Aug"/>
    <x v="413"/>
    <s v="INR"/>
    <n v="48960"/>
    <s v="E110"/>
    <s v="E118"/>
  </r>
  <r>
    <n v="417"/>
    <s v="2122T81850"/>
    <n v="2122158"/>
    <s v="CC120821"/>
    <s v="C209"/>
    <x v="261"/>
    <d v="1899-12-30T11:41:04"/>
    <s v="Aug"/>
    <x v="414"/>
    <s v="INR"/>
    <n v="82980"/>
    <s v="E115"/>
    <s v="E119"/>
  </r>
  <r>
    <n v="418"/>
    <s v="2122M11446"/>
    <n v="2122159"/>
    <s v="CC988090"/>
    <s v="C221"/>
    <x v="261"/>
    <d v="1899-12-30T16:21:52"/>
    <s v="Aug"/>
    <x v="415"/>
    <s v="INR"/>
    <n v="53100"/>
    <s v="E115"/>
    <s v="E120"/>
  </r>
  <r>
    <n v="419"/>
    <s v="2122Q11447"/>
    <n v="2122160"/>
    <s v="CC910656"/>
    <s v="C220"/>
    <x v="261"/>
    <d v="1899-12-30T10:44:50"/>
    <s v="Aug"/>
    <x v="416"/>
    <s v="INR"/>
    <n v="720000"/>
    <s v="E123"/>
    <s v="E125"/>
  </r>
  <r>
    <n v="420"/>
    <s v="2122G51832"/>
    <n v="2122161"/>
    <s v="CC843051"/>
    <s v="C201"/>
    <x v="262"/>
    <d v="1899-12-30T14:57:19"/>
    <s v="Aug"/>
    <x v="417"/>
    <s v="INR"/>
    <n v="50760"/>
    <s v="E116"/>
    <s v="E119"/>
  </r>
  <r>
    <n v="421"/>
    <s v="2122P01616"/>
    <n v="2122162"/>
    <s v="CC345294"/>
    <s v="C245"/>
    <x v="263"/>
    <d v="1899-12-30T12:32:45"/>
    <s v="Aug"/>
    <x v="418"/>
    <s v="INR"/>
    <n v="39780"/>
    <s v="E116"/>
    <s v="E120"/>
  </r>
  <r>
    <n v="422"/>
    <s v="2122N91580"/>
    <n v="2122163"/>
    <s v="CC816936"/>
    <s v="C237"/>
    <x v="264"/>
    <d v="1899-12-30T19:47:18"/>
    <s v="Aug"/>
    <x v="419"/>
    <s v="INR"/>
    <n v="851040"/>
    <s v="E125"/>
    <s v="E126"/>
  </r>
  <r>
    <n v="423"/>
    <s v="2122F61573"/>
    <n v="2122164"/>
    <s v="CC860498"/>
    <s v="C225"/>
    <x v="265"/>
    <d v="1899-12-30T14:25:55"/>
    <s v="Aug"/>
    <x v="420"/>
    <s v="INR"/>
    <n v="39060"/>
    <s v="E115"/>
    <s v="E119"/>
  </r>
  <r>
    <n v="424"/>
    <s v="2122H91571"/>
    <n v="2122165"/>
    <s v="CC571576"/>
    <s v="C207"/>
    <x v="265"/>
    <d v="1899-12-30T14:37:22"/>
    <s v="Aug"/>
    <x v="421"/>
    <s v="INR"/>
    <n v="67860"/>
    <s v="E116"/>
    <s v="E117"/>
  </r>
  <r>
    <n v="425"/>
    <s v="2122L91760"/>
    <n v="2122166"/>
    <s v="CC208170"/>
    <s v="C233"/>
    <x v="266"/>
    <d v="1899-12-30T10:36:41"/>
    <s v="Aug"/>
    <x v="422"/>
    <s v="INR"/>
    <n v="84060"/>
    <s v="E111"/>
    <s v="E119"/>
  </r>
  <r>
    <n v="426"/>
    <s v="2122P21233"/>
    <n v="2122167"/>
    <s v="CC432116"/>
    <s v="C223"/>
    <x v="267"/>
    <d v="1899-12-30T16:48:09"/>
    <s v="Jul"/>
    <x v="423"/>
    <s v="INR"/>
    <n v="55260"/>
    <s v="E116"/>
    <s v="E117"/>
  </r>
  <r>
    <n v="427"/>
    <s v="2122G81159"/>
    <n v="2122168"/>
    <s v="CC483264"/>
    <s v="C246"/>
    <x v="268"/>
    <d v="1899-12-30T13:36:01"/>
    <s v="Aug"/>
    <x v="424"/>
    <s v="INR"/>
    <n v="88920"/>
    <s v="E115"/>
    <s v="E117"/>
  </r>
  <r>
    <n v="428"/>
    <s v="2122Q71751"/>
    <n v="2122169"/>
    <s v="CC597321"/>
    <s v="C248"/>
    <x v="268"/>
    <d v="1899-12-30T11:48:16"/>
    <s v="Aug"/>
    <x v="425"/>
    <s v="INR"/>
    <n v="44460"/>
    <s v="E114"/>
    <s v="E120"/>
  </r>
  <r>
    <n v="429"/>
    <s v="2122I61666"/>
    <n v="2122170"/>
    <s v="CC649415"/>
    <s v="C205"/>
    <x v="269"/>
    <d v="1899-12-30T13:53:30"/>
    <s v="Sep"/>
    <x v="426"/>
    <s v="INR"/>
    <n v="80280"/>
    <s v="E115"/>
    <s v="E118"/>
  </r>
  <r>
    <n v="430"/>
    <s v="2122W31596"/>
    <n v="2122171"/>
    <s v="CC206586"/>
    <s v="C238"/>
    <x v="270"/>
    <d v="1899-12-30T19:40:04"/>
    <s v="Sep"/>
    <x v="427"/>
    <s v="INR"/>
    <n v="809100"/>
    <s v="E124"/>
    <s v="E125"/>
  </r>
  <r>
    <n v="431"/>
    <s v="2122J71793"/>
    <n v="2122172"/>
    <s v="CC980696"/>
    <s v="C200"/>
    <x v="271"/>
    <d v="1899-12-30T10:41:48"/>
    <s v="Sep"/>
    <x v="428"/>
    <s v="INR"/>
    <n v="67860"/>
    <s v="E115"/>
    <s v="E118"/>
  </r>
  <r>
    <n v="432"/>
    <s v="2122H31632"/>
    <n v="2122173"/>
    <s v="CC277275"/>
    <s v="C248"/>
    <x v="272"/>
    <d v="1899-12-30T11:23:17"/>
    <s v="Sep"/>
    <x v="429"/>
    <s v="INR"/>
    <n v="66420"/>
    <s v="E111"/>
    <s v="E118"/>
  </r>
  <r>
    <n v="433"/>
    <s v="2122Q21787"/>
    <n v="2122174"/>
    <s v="CC404319"/>
    <s v="C237"/>
    <x v="273"/>
    <d v="1899-12-30T19:45:19"/>
    <s v="Sep"/>
    <x v="430"/>
    <s v="INR"/>
    <n v="836280"/>
    <s v="E125"/>
    <s v="E126"/>
  </r>
  <r>
    <n v="434"/>
    <s v="2122X31193"/>
    <n v="2122175"/>
    <s v="CC412329"/>
    <s v="C237"/>
    <x v="274"/>
    <d v="1899-12-30T19:53:55"/>
    <s v="Sep"/>
    <x v="431"/>
    <s v="INR"/>
    <n v="761580"/>
    <s v="E124"/>
    <s v="E125"/>
  </r>
  <r>
    <n v="435"/>
    <s v="2122E81653"/>
    <n v="2122176"/>
    <s v="CC909238"/>
    <s v="C217"/>
    <x v="275"/>
    <d v="1899-12-30T11:48:54"/>
    <s v="Sep"/>
    <x v="432"/>
    <s v="INR"/>
    <n v="62100"/>
    <s v="E116"/>
    <s v="E121"/>
  </r>
  <r>
    <n v="436"/>
    <s v="2122M31759"/>
    <n v="2122177"/>
    <s v="CC120381"/>
    <s v="C227"/>
    <x v="274"/>
    <d v="1899-12-30T13:51:36"/>
    <s v="Sep"/>
    <x v="433"/>
    <s v="INR"/>
    <n v="61380"/>
    <s v="E112"/>
    <s v="E120"/>
  </r>
  <r>
    <n v="437"/>
    <s v="2122O31910"/>
    <n v="2122178"/>
    <s v="CC756388"/>
    <s v="C219"/>
    <x v="276"/>
    <d v="1899-12-30T17:53:57"/>
    <s v="Sep"/>
    <x v="434"/>
    <s v="INR"/>
    <n v="82800"/>
    <s v="E111"/>
    <s v="E121"/>
  </r>
  <r>
    <n v="438"/>
    <s v="2122O21380"/>
    <n v="2122179"/>
    <s v="CC448654"/>
    <s v="C210"/>
    <x v="277"/>
    <d v="1899-12-30T10:32:17"/>
    <s v="Sep"/>
    <x v="435"/>
    <s v="INR"/>
    <n v="48240"/>
    <s v="E111"/>
    <s v="E117"/>
  </r>
  <r>
    <n v="439"/>
    <s v="2122B11327"/>
    <n v="2122180"/>
    <s v="CC759851"/>
    <s v="C235"/>
    <x v="278"/>
    <d v="1899-12-30T13:03:01"/>
    <s v="Sep"/>
    <x v="436"/>
    <s v="INR"/>
    <n v="69300"/>
    <s v="E111"/>
    <s v="E117"/>
  </r>
  <r>
    <n v="440"/>
    <s v="2122H61816"/>
    <n v="2122181"/>
    <s v="CC945796"/>
    <s v="C211"/>
    <x v="279"/>
    <d v="1899-12-30T15:03:24"/>
    <s v="Sep"/>
    <x v="437"/>
    <s v="INR"/>
    <n v="47160"/>
    <s v="E110"/>
    <s v="E117"/>
  </r>
  <r>
    <n v="441"/>
    <s v="2122V61573"/>
    <n v="2122182"/>
    <s v="CC167058"/>
    <s v="C220"/>
    <x v="279"/>
    <d v="1899-12-30T16:10:55"/>
    <s v="Sep"/>
    <x v="438"/>
    <s v="INR"/>
    <n v="57060"/>
    <s v="E116"/>
    <s v="E118"/>
  </r>
  <r>
    <n v="442"/>
    <s v="2122X41270"/>
    <n v="2122183"/>
    <s v="CC426487"/>
    <s v="C243"/>
    <x v="280"/>
    <d v="1899-12-30T17:36:44"/>
    <s v="Oct"/>
    <x v="439"/>
    <s v="INR"/>
    <n v="84780"/>
    <s v="E113"/>
    <s v="E117"/>
  </r>
  <r>
    <n v="443"/>
    <s v="2122N81731"/>
    <n v="2122184"/>
    <s v="CC770793"/>
    <s v="C201"/>
    <x v="281"/>
    <d v="1899-12-30T17:00:00"/>
    <s v="Oct"/>
    <x v="440"/>
    <s v="INR"/>
    <n v="52200"/>
    <s v="E111"/>
    <s v="E119"/>
  </r>
  <r>
    <n v="444"/>
    <s v="2122S51948"/>
    <n v="2122185"/>
    <s v="CC309870"/>
    <s v="C209"/>
    <x v="281"/>
    <d v="1899-12-30T13:04:58"/>
    <s v="Oct"/>
    <x v="441"/>
    <s v="INR"/>
    <n v="54000"/>
    <s v="E113"/>
    <s v="E120"/>
  </r>
  <r>
    <n v="445"/>
    <s v="2122I01680"/>
    <n v="2122186"/>
    <s v="CC202660"/>
    <s v="C225"/>
    <x v="282"/>
    <d v="1899-12-30T10:50:01"/>
    <s v="Oct"/>
    <x v="442"/>
    <s v="INR"/>
    <n v="42300"/>
    <s v="E112"/>
    <s v="E119"/>
  </r>
  <r>
    <n v="446"/>
    <s v="2122j61624"/>
    <n v="2122187"/>
    <s v="CC927496"/>
    <s v="C205"/>
    <x v="283"/>
    <d v="1899-12-30T11:10:43"/>
    <s v="Oct"/>
    <x v="443"/>
    <s v="INR"/>
    <n v="86760"/>
    <s v="E111"/>
    <s v="E120"/>
  </r>
  <r>
    <n v="447"/>
    <s v="2122P01599"/>
    <n v="2122188"/>
    <s v="CC652766"/>
    <s v="C232"/>
    <x v="284"/>
    <d v="1899-12-30T16:55:32"/>
    <s v="Oct"/>
    <x v="444"/>
    <s v="INR"/>
    <n v="45540"/>
    <s v="E114"/>
    <s v="E121"/>
  </r>
  <r>
    <n v="448"/>
    <s v="2122H91641"/>
    <n v="2122189"/>
    <s v="CC410282"/>
    <s v="C233"/>
    <x v="284"/>
    <d v="1899-12-30T10:18:12"/>
    <s v="Sep"/>
    <x v="445"/>
    <s v="INR"/>
    <n v="62100"/>
    <s v="E115"/>
    <s v="E120"/>
  </r>
  <r>
    <n v="449"/>
    <s v="2122U31051"/>
    <n v="2122190"/>
    <s v="CC220785"/>
    <s v="C248"/>
    <x v="285"/>
    <d v="1899-12-30T11:15:08"/>
    <s v="Oct"/>
    <x v="446"/>
    <s v="INR"/>
    <n v="80100"/>
    <s v="E116"/>
    <s v="E121"/>
  </r>
  <r>
    <n v="450"/>
    <s v="2122Y11202"/>
    <n v="2122191"/>
    <s v="CC171939"/>
    <s v="C212"/>
    <x v="286"/>
    <d v="1899-12-30T14:03:49"/>
    <s v="Oct"/>
    <x v="447"/>
    <s v="INR"/>
    <n v="68580"/>
    <s v="E113"/>
    <s v="E118"/>
  </r>
  <r>
    <n v="451"/>
    <s v="2122U21743"/>
    <n v="2122192"/>
    <s v="CC402401"/>
    <s v="C233"/>
    <x v="286"/>
    <d v="1899-12-30T12:43:50"/>
    <s v="Oct"/>
    <x v="448"/>
    <s v="INR"/>
    <n v="82080"/>
    <s v="E114"/>
    <s v="E118"/>
  </r>
  <r>
    <n v="452"/>
    <s v="2122K31194"/>
    <n v="2122193"/>
    <s v="CC553014"/>
    <s v="C230"/>
    <x v="287"/>
    <d v="1899-12-30T17:06:07"/>
    <s v="Oct"/>
    <x v="449"/>
    <s v="INR"/>
    <n v="54180"/>
    <s v="E110"/>
    <s v="E120"/>
  </r>
  <r>
    <n v="453"/>
    <s v="2122J11325"/>
    <n v="2122194"/>
    <s v="CC332846"/>
    <s v="C247"/>
    <x v="288"/>
    <d v="1899-12-30T13:45:33"/>
    <s v="Oct"/>
    <x v="450"/>
    <s v="INR"/>
    <n v="36900"/>
    <s v="E113"/>
    <s v="E121"/>
  </r>
  <r>
    <n v="454"/>
    <s v="2122Z91298"/>
    <n v="2122195"/>
    <s v="CC358419"/>
    <s v="C202"/>
    <x v="288"/>
    <d v="1899-12-30T10:20:39"/>
    <s v="Oct"/>
    <x v="451"/>
    <s v="INR"/>
    <n v="55440"/>
    <s v="E116"/>
    <s v="E117"/>
  </r>
  <r>
    <n v="455"/>
    <s v="2122X71648"/>
    <n v="2122196"/>
    <s v="CC585198"/>
    <s v="C209"/>
    <x v="289"/>
    <d v="1899-12-30T10:55:32"/>
    <s v="Oct"/>
    <x v="452"/>
    <s v="INR"/>
    <n v="73080"/>
    <s v="E110"/>
    <s v="E118"/>
  </r>
  <r>
    <n v="456"/>
    <s v="2122I01855"/>
    <n v="2122197"/>
    <s v="CC993639"/>
    <s v="C222"/>
    <x v="289"/>
    <d v="1899-12-30T12:54:36"/>
    <s v="Oct"/>
    <x v="453"/>
    <s v="INR"/>
    <n v="78840"/>
    <s v="E110"/>
    <s v="E118"/>
  </r>
  <r>
    <n v="457"/>
    <s v="2122H01013"/>
    <n v="2122198"/>
    <s v="CC890404"/>
    <s v="C210"/>
    <x v="289"/>
    <d v="1899-12-30T15:20:57"/>
    <s v="Sep"/>
    <x v="454"/>
    <s v="INR"/>
    <n v="60300"/>
    <s v="E110"/>
    <s v="E118"/>
  </r>
  <r>
    <n v="458"/>
    <s v="2122T51891"/>
    <n v="2122199"/>
    <s v="CC215924"/>
    <s v="C227"/>
    <x v="290"/>
    <d v="1899-12-30T15:22:18"/>
    <s v="Oct"/>
    <x v="455"/>
    <s v="INR"/>
    <n v="81540"/>
    <s v="E115"/>
    <s v="E120"/>
  </r>
  <r>
    <n v="459"/>
    <s v="2122K51689"/>
    <n v="2122200"/>
    <s v="CC971575"/>
    <s v="C228"/>
    <x v="290"/>
    <d v="1899-12-30T16:02:16"/>
    <s v="Oct"/>
    <x v="456"/>
    <s v="INR"/>
    <n v="88020"/>
    <s v="E114"/>
    <s v="E120"/>
  </r>
  <r>
    <n v="460"/>
    <s v="2122J21387"/>
    <n v="2122201"/>
    <s v="CC589485"/>
    <s v="C223"/>
    <x v="291"/>
    <d v="1899-12-30T17:56:21"/>
    <s v="Oct"/>
    <x v="457"/>
    <s v="INR"/>
    <n v="74700"/>
    <s v="E113"/>
    <s v="E117"/>
  </r>
  <r>
    <n v="461"/>
    <s v="2122F11390"/>
    <n v="2122202"/>
    <s v="CC222731"/>
    <s v="C224"/>
    <x v="291"/>
    <d v="1899-12-30T12:44:19"/>
    <s v="Oct"/>
    <x v="458"/>
    <s v="INR"/>
    <n v="66960"/>
    <s v="E110"/>
    <s v="E117"/>
  </r>
  <r>
    <n v="462"/>
    <s v="2122R81540"/>
    <n v="2122203"/>
    <s v="CC338239"/>
    <s v="C233"/>
    <x v="291"/>
    <d v="1899-12-30T13:29:05"/>
    <s v="Oct"/>
    <x v="459"/>
    <s v="INR"/>
    <n v="58500"/>
    <s v="E113"/>
    <s v="E120"/>
  </r>
  <r>
    <n v="463"/>
    <s v="2122H21048"/>
    <n v="2122204"/>
    <s v="CC394986"/>
    <s v="C213"/>
    <x v="292"/>
    <d v="1899-12-30T10:59:35"/>
    <s v="Oct"/>
    <x v="460"/>
    <s v="INR"/>
    <n v="63720"/>
    <s v="E114"/>
    <s v="E120"/>
  </r>
  <r>
    <n v="464"/>
    <s v="2122U01744"/>
    <n v="2122205"/>
    <s v="CC820923"/>
    <s v="C245"/>
    <x v="293"/>
    <d v="1899-12-30T15:16:46"/>
    <s v="Oct"/>
    <x v="461"/>
    <s v="INR"/>
    <n v="75060"/>
    <s v="E111"/>
    <s v="E117"/>
  </r>
  <r>
    <n v="465"/>
    <s v="2122F11203"/>
    <n v="2122206"/>
    <s v="CC774762"/>
    <s v="C224"/>
    <x v="294"/>
    <d v="1899-12-30T16:14:11"/>
    <s v="Oct"/>
    <x v="462"/>
    <s v="INR"/>
    <n v="63720"/>
    <s v="E110"/>
    <s v="E121"/>
  </r>
  <r>
    <n v="466"/>
    <s v="2122O31918"/>
    <n v="2122207"/>
    <s v="CC704438"/>
    <s v="C231"/>
    <x v="295"/>
    <d v="1899-12-30T10:57:08"/>
    <s v="Nov"/>
    <x v="463"/>
    <s v="INR"/>
    <n v="88020"/>
    <s v="E111"/>
    <s v="E120"/>
  </r>
  <r>
    <n v="467"/>
    <s v="2122U81415"/>
    <n v="2122208"/>
    <s v="CC294370"/>
    <s v="C226"/>
    <x v="296"/>
    <d v="1899-12-30T15:12:54"/>
    <s v="Nov"/>
    <x v="464"/>
    <s v="INR"/>
    <n v="86040"/>
    <s v="E114"/>
    <s v="E117"/>
  </r>
  <r>
    <n v="468"/>
    <s v="2122T51475"/>
    <n v="2122209"/>
    <s v="CC508805"/>
    <s v="C236"/>
    <x v="296"/>
    <d v="1899-12-30T19:54:02"/>
    <s v="Nov"/>
    <x v="465"/>
    <s v="INR"/>
    <n v="866700"/>
    <s v="E125"/>
    <s v="E126"/>
  </r>
  <r>
    <n v="469"/>
    <s v="2122Y71672"/>
    <n v="2122210"/>
    <s v="CC931961"/>
    <s v="C207"/>
    <x v="297"/>
    <d v="1899-12-30T15:27:04"/>
    <s v="Nov"/>
    <x v="466"/>
    <s v="INR"/>
    <n v="56340"/>
    <s v="E113"/>
    <s v="E121"/>
  </r>
  <r>
    <n v="470"/>
    <s v="2122j61318"/>
    <n v="2122211"/>
    <s v="CC223399"/>
    <s v="C231"/>
    <x v="298"/>
    <d v="1899-12-30T12:11:16"/>
    <s v="Nov"/>
    <x v="467"/>
    <s v="INR"/>
    <n v="63900"/>
    <s v="E110"/>
    <s v="E118"/>
  </r>
  <r>
    <n v="471"/>
    <s v="2122L01942"/>
    <n v="2122212"/>
    <s v="CC199052"/>
    <s v="C246"/>
    <x v="298"/>
    <d v="1899-12-30T13:31:27"/>
    <s v="Nov"/>
    <x v="468"/>
    <s v="INR"/>
    <n v="80640"/>
    <s v="E111"/>
    <s v="E120"/>
  </r>
  <r>
    <n v="472"/>
    <s v="2122Y91398"/>
    <n v="2122213"/>
    <s v="CC986010"/>
    <s v="C239"/>
    <x v="299"/>
    <d v="1899-12-30T13:05:03"/>
    <s v="Nov"/>
    <x v="469"/>
    <s v="INR"/>
    <n v="769500"/>
    <s v="E123"/>
    <s v="E125"/>
  </r>
  <r>
    <n v="473"/>
    <s v="2122I11621"/>
    <n v="2122214"/>
    <s v="CC114003"/>
    <s v="C218"/>
    <x v="298"/>
    <d v="1899-12-30T17:00:41"/>
    <s v="Nov"/>
    <x v="470"/>
    <s v="INR"/>
    <n v="76140"/>
    <s v="E112"/>
    <s v="E120"/>
  </r>
  <r>
    <n v="474"/>
    <s v="2122S81658"/>
    <n v="2122215"/>
    <s v="CC886642"/>
    <s v="C209"/>
    <x v="300"/>
    <d v="1899-12-30T11:56:06"/>
    <s v="Nov"/>
    <x v="471"/>
    <s v="INR"/>
    <n v="71640"/>
    <s v="E111"/>
    <s v="E117"/>
  </r>
  <r>
    <n v="475"/>
    <s v="2122R41318"/>
    <n v="2122216"/>
    <s v="CC164169"/>
    <s v="C215"/>
    <x v="301"/>
    <d v="1899-12-30T15:22:57"/>
    <s v="Nov"/>
    <x v="472"/>
    <s v="INR"/>
    <n v="82800"/>
    <s v="E113"/>
    <s v="E117"/>
  </r>
  <r>
    <n v="476"/>
    <s v="2122W41943"/>
    <n v="2122217"/>
    <s v="CC214748"/>
    <s v="C238"/>
    <x v="302"/>
    <d v="1899-12-30T11:36:59"/>
    <s v="Nov"/>
    <x v="473"/>
    <s v="INR"/>
    <n v="799200"/>
    <s v="E123"/>
    <s v="E125"/>
  </r>
  <r>
    <n v="477"/>
    <s v="2122A01575"/>
    <n v="2122218"/>
    <s v="CC969173"/>
    <s v="C233"/>
    <x v="303"/>
    <d v="1899-12-30T11:28:43"/>
    <s v="Nov"/>
    <x v="474"/>
    <s v="INR"/>
    <n v="85140"/>
    <s v="E111"/>
    <s v="E121"/>
  </r>
  <r>
    <n v="478"/>
    <s v="2122M61002"/>
    <n v="2122219"/>
    <s v="CC356315"/>
    <s v="C222"/>
    <x v="303"/>
    <d v="1899-12-30T14:21:35"/>
    <s v="Nov"/>
    <x v="475"/>
    <s v="INR"/>
    <n v="73260"/>
    <s v="E110"/>
    <s v="E117"/>
  </r>
  <r>
    <n v="479"/>
    <s v="2122P81586"/>
    <n v="2122220"/>
    <s v="CC610632"/>
    <s v="C228"/>
    <x v="304"/>
    <d v="1899-12-30T13:51:47"/>
    <s v="Nov"/>
    <x v="476"/>
    <s v="INR"/>
    <n v="59580"/>
    <s v="E113"/>
    <s v="E117"/>
  </r>
  <r>
    <n v="480"/>
    <s v="2122C01362"/>
    <n v="2122221"/>
    <s v="CC213253"/>
    <s v="C218"/>
    <x v="305"/>
    <d v="1899-12-30T15:15:33"/>
    <s v="Nov"/>
    <x v="477"/>
    <s v="INR"/>
    <n v="39780"/>
    <s v="E115"/>
    <s v="E119"/>
  </r>
  <r>
    <n v="481"/>
    <s v="2122V41231"/>
    <n v="2122222"/>
    <s v="CC840595"/>
    <s v="C231"/>
    <x v="306"/>
    <d v="1899-12-30T16:34:02"/>
    <s v="Nov"/>
    <x v="478"/>
    <s v="INR"/>
    <n v="2199960"/>
    <s v="E125"/>
    <s v="E126"/>
  </r>
  <r>
    <n v="482"/>
    <s v="2122E51863"/>
    <n v="2122223"/>
    <s v="CC285789"/>
    <s v="C213"/>
    <x v="307"/>
    <d v="1899-12-30T16:15:24"/>
    <s v="Oct"/>
    <x v="479"/>
    <s v="INR"/>
    <n v="51120"/>
    <s v="E114"/>
    <s v="E119"/>
  </r>
  <r>
    <n v="483"/>
    <s v="2122V91192"/>
    <n v="2122224"/>
    <s v="CC130624"/>
    <s v="C224"/>
    <x v="307"/>
    <d v="1899-12-30T11:37:15"/>
    <s v="Nov"/>
    <x v="480"/>
    <s v="INR"/>
    <n v="54000"/>
    <s v="E110"/>
    <s v="E121"/>
  </r>
  <r>
    <n v="484"/>
    <s v="2122M41710"/>
    <n v="2122225"/>
    <s v="CC703229"/>
    <s v="C244"/>
    <x v="308"/>
    <d v="1899-12-30T14:48:43"/>
    <s v="Nov"/>
    <x v="481"/>
    <s v="INR"/>
    <n v="65880"/>
    <s v="E111"/>
    <s v="E120"/>
  </r>
  <r>
    <n v="485"/>
    <s v="2122N31993"/>
    <n v="2122226"/>
    <s v="CC678203"/>
    <s v="C224"/>
    <x v="308"/>
    <d v="1899-12-30T11:16:43"/>
    <s v="Nov"/>
    <x v="482"/>
    <s v="INR"/>
    <n v="4500"/>
    <s v="E105"/>
    <s v="E114"/>
  </r>
  <r>
    <n v="486"/>
    <s v="2122N01743"/>
    <n v="2122227"/>
    <s v="CC910213"/>
    <s v="C206"/>
    <x v="309"/>
    <d v="1899-12-30T16:10:32"/>
    <s v="Oct"/>
    <x v="483"/>
    <s v="INR"/>
    <n v="6660"/>
    <s v="E106"/>
    <s v="E116"/>
  </r>
  <r>
    <n v="487"/>
    <s v="2122H91547"/>
    <n v="2122228"/>
    <s v="CC659077"/>
    <s v="C241"/>
    <x v="309"/>
    <d v="1899-12-30T10:11:49"/>
    <s v="Oct"/>
    <x v="484"/>
    <s v="INR"/>
    <n v="3960"/>
    <s v="E107"/>
    <s v="E116"/>
  </r>
  <r>
    <n v="488"/>
    <s v="2122J71497"/>
    <n v="2122229"/>
    <s v="CC684587"/>
    <s v="C206"/>
    <x v="310"/>
    <d v="1899-12-30T13:42:29"/>
    <s v="Nov"/>
    <x v="485"/>
    <s v="INR"/>
    <n v="4500"/>
    <s v="E106"/>
    <s v="E110"/>
  </r>
  <r>
    <n v="489"/>
    <s v="2122J01844"/>
    <n v="2122230"/>
    <s v="CC700229"/>
    <s v="C209"/>
    <x v="310"/>
    <d v="1899-12-30T11:02:31"/>
    <s v="Nov"/>
    <x v="486"/>
    <s v="INR"/>
    <n v="79920"/>
    <s v="E115"/>
    <s v="E117"/>
  </r>
  <r>
    <n v="490"/>
    <s v="2122Q91445"/>
    <n v="2122231"/>
    <s v="CC584823"/>
    <s v="C203"/>
    <x v="311"/>
    <d v="1899-12-30T11:41:02"/>
    <s v="Dec"/>
    <x v="487"/>
    <s v="INR"/>
    <n v="388260"/>
    <s v="E122"/>
    <s v="E125"/>
  </r>
  <r>
    <n v="491"/>
    <s v="2122B21203"/>
    <n v="2122232"/>
    <s v="CC378274"/>
    <s v="C202"/>
    <x v="312"/>
    <d v="1899-12-30T14:28:55"/>
    <s v="Dec"/>
    <x v="488"/>
    <s v="INR"/>
    <n v="2340"/>
    <s v="E102"/>
    <s v="E110"/>
  </r>
  <r>
    <n v="492"/>
    <s v="2122P31983"/>
    <n v="2122233"/>
    <s v="CC624674"/>
    <s v="C238"/>
    <x v="313"/>
    <d v="1899-12-30T12:47:06"/>
    <s v="Dec"/>
    <x v="489"/>
    <s v="INR"/>
    <n v="728820"/>
    <s v="E124"/>
    <s v="E125"/>
  </r>
  <r>
    <n v="493"/>
    <s v="2122Q51522"/>
    <n v="2122234"/>
    <s v="CC732491"/>
    <s v="C207"/>
    <x v="314"/>
    <d v="1899-12-30T15:31:54"/>
    <s v="Dec"/>
    <x v="490"/>
    <s v="INR"/>
    <n v="85680"/>
    <s v="E115"/>
    <s v="E118"/>
  </r>
  <r>
    <n v="494"/>
    <s v="2122O31887"/>
    <n v="2122235"/>
    <s v="CC192808"/>
    <s v="C222"/>
    <x v="315"/>
    <d v="1899-12-30T17:07:17"/>
    <s v="Dec"/>
    <x v="491"/>
    <s v="INR"/>
    <n v="3960"/>
    <s v="E107"/>
    <s v="E110"/>
  </r>
  <r>
    <n v="495"/>
    <s v="2122S41743"/>
    <n v="2122236"/>
    <s v="CC910737"/>
    <s v="C205"/>
    <x v="316"/>
    <d v="1899-12-30T17:55:08"/>
    <s v="Dec"/>
    <x v="492"/>
    <s v="INR"/>
    <n v="41220"/>
    <s v="E116"/>
    <s v="E119"/>
  </r>
  <r>
    <n v="496"/>
    <s v="2122N01952"/>
    <n v="2122237"/>
    <s v="CC160324"/>
    <s v="C244"/>
    <x v="316"/>
    <d v="1899-12-30T15:05:55"/>
    <s v="Dec"/>
    <x v="493"/>
    <s v="INR"/>
    <n v="43920"/>
    <s v="E112"/>
    <s v="E118"/>
  </r>
  <r>
    <n v="497"/>
    <s v="2122B91484"/>
    <n v="2122238"/>
    <s v="CC428042"/>
    <s v="C201"/>
    <x v="317"/>
    <d v="1899-12-30T11:07:56"/>
    <s v="Dec"/>
    <x v="494"/>
    <s v="INR"/>
    <n v="46080"/>
    <s v="E114"/>
    <s v="E120"/>
  </r>
  <r>
    <n v="498"/>
    <s v="2122W31175"/>
    <n v="2122239"/>
    <s v="CC736688"/>
    <s v="C225"/>
    <x v="318"/>
    <d v="1899-12-30T11:57:00"/>
    <s v="Dec"/>
    <x v="495"/>
    <s v="INR"/>
    <n v="70380"/>
    <s v="E112"/>
    <s v="E121"/>
  </r>
  <r>
    <n v="499"/>
    <s v="2122L21946"/>
    <n v="2122240"/>
    <s v="CC394417"/>
    <s v="C240"/>
    <x v="319"/>
    <d v="1899-12-30T11:15:51"/>
    <s v="Dec"/>
    <x v="496"/>
    <s v="INR"/>
    <n v="803340"/>
    <s v="E123"/>
    <s v="E125"/>
  </r>
  <r>
    <n v="500"/>
    <s v="2122I51208"/>
    <n v="2122241"/>
    <s v="CC886051"/>
    <s v="C219"/>
    <x v="320"/>
    <d v="1899-12-30T11:53:56"/>
    <s v="Dec"/>
    <x v="497"/>
    <s v="INR"/>
    <n v="80100"/>
    <s v="E115"/>
    <s v="E118"/>
  </r>
  <r>
    <n v="501"/>
    <s v="2122U91401"/>
    <n v="2122242"/>
    <s v="CC315583"/>
    <s v="C244"/>
    <x v="320"/>
    <d v="1899-12-30T15:09:52"/>
    <s v="Dec"/>
    <x v="498"/>
    <s v="INR"/>
    <n v="50940"/>
    <s v="E113"/>
    <s v="E117"/>
  </r>
  <r>
    <n v="502"/>
    <s v="2122H51226"/>
    <n v="2122243"/>
    <s v="CC764970"/>
    <s v="C215"/>
    <x v="320"/>
    <d v="1899-12-30T13:31:37"/>
    <s v="Dec"/>
    <x v="499"/>
    <s v="INR"/>
    <n v="79920"/>
    <s v="E115"/>
    <s v="E119"/>
  </r>
  <r>
    <n v="503"/>
    <s v="2122O11932"/>
    <n v="2122244"/>
    <s v="CC903133"/>
    <s v="C223"/>
    <x v="320"/>
    <d v="1899-12-30T15:21:40"/>
    <s v="Dec"/>
    <x v="500"/>
    <s v="INR"/>
    <n v="66960"/>
    <s v="E113"/>
    <s v="E121"/>
  </r>
  <r>
    <n v="504"/>
    <s v="2122Z01541"/>
    <n v="2122245"/>
    <s v="CC457164"/>
    <s v="C231"/>
    <x v="320"/>
    <d v="1899-12-30T10:57:55"/>
    <s v="Dec"/>
    <x v="501"/>
    <s v="INR"/>
    <n v="38700"/>
    <s v="E111"/>
    <s v="E120"/>
  </r>
  <r>
    <n v="505"/>
    <s v="2122A41391"/>
    <n v="2122246"/>
    <s v="CC287338"/>
    <s v="C206"/>
    <x v="321"/>
    <d v="1899-12-30T14:29:01"/>
    <s v="Dec"/>
    <x v="502"/>
    <s v="INR"/>
    <n v="41400"/>
    <s v="E115"/>
    <s v="E119"/>
  </r>
  <r>
    <n v="506"/>
    <s v="2122C31602"/>
    <n v="2122247"/>
    <s v="CC357536"/>
    <s v="C243"/>
    <x v="321"/>
    <d v="1899-12-30T10:33:43"/>
    <s v="Dec"/>
    <x v="503"/>
    <s v="INR"/>
    <n v="77760"/>
    <s v="E111"/>
    <s v="E117"/>
  </r>
  <r>
    <n v="507"/>
    <s v="2122B51116"/>
    <n v="2122248"/>
    <s v="CC578320"/>
    <s v="C202"/>
    <x v="321"/>
    <d v="1899-12-30T15:41:54"/>
    <s v="Dec"/>
    <x v="504"/>
    <s v="INR"/>
    <n v="1134000"/>
    <s v="E125"/>
    <s v="E126"/>
  </r>
  <r>
    <n v="508"/>
    <s v="2122T71144"/>
    <n v="2122249"/>
    <s v="CC862577"/>
    <s v="C238"/>
    <x v="320"/>
    <d v="1899-12-30T19:42:24"/>
    <s v="Dec"/>
    <x v="505"/>
    <s v="INR"/>
    <n v="885060"/>
    <s v="E125"/>
    <s v="E126"/>
  </r>
  <r>
    <n v="509"/>
    <s v="2122Z51636"/>
    <n v="2122250"/>
    <s v="CC893648"/>
    <s v="C218"/>
    <x v="322"/>
    <d v="1899-12-30T15:07:05"/>
    <s v="Dec"/>
    <x v="506"/>
    <s v="INR"/>
    <n v="87660"/>
    <s v="E111"/>
    <s v="E119"/>
  </r>
  <r>
    <n v="510"/>
    <s v="2122T71032"/>
    <n v="2122251"/>
    <s v="CC613425"/>
    <s v="C245"/>
    <x v="323"/>
    <d v="1899-12-30T11:07:38"/>
    <s v="Dec"/>
    <x v="507"/>
    <s v="INR"/>
    <n v="74700"/>
    <s v="E115"/>
    <s v="E119"/>
  </r>
  <r>
    <n v="511"/>
    <s v="2122W81919"/>
    <n v="2122252"/>
    <s v="CC259737"/>
    <s v="C212"/>
    <x v="324"/>
    <d v="1899-12-30T16:30:08"/>
    <s v="Dec"/>
    <x v="508"/>
    <s v="INR"/>
    <n v="89100"/>
    <s v="E112"/>
    <s v="E119"/>
  </r>
  <r>
    <n v="512"/>
    <s v="2122X01732"/>
    <n v="2122253"/>
    <s v="CC415777"/>
    <s v="C210"/>
    <x v="325"/>
    <d v="1899-12-30T11:33:54"/>
    <s v="Dec"/>
    <x v="509"/>
    <s v="INR"/>
    <n v="49140"/>
    <s v="E111"/>
    <s v="E121"/>
  </r>
  <r>
    <n v="513"/>
    <s v="2122W01507"/>
    <n v="2122254"/>
    <s v="CC622234"/>
    <s v="C206"/>
    <x v="325"/>
    <d v="1899-12-30T16:07:56"/>
    <s v="Dec"/>
    <x v="510"/>
    <s v="INR"/>
    <n v="77220"/>
    <s v="E113"/>
    <s v="E121"/>
  </r>
  <r>
    <n v="514"/>
    <s v="2122W41847"/>
    <n v="2122255"/>
    <s v="CC763477"/>
    <s v="C238"/>
    <x v="326"/>
    <d v="1899-12-30T13:04:36"/>
    <s v="Dec"/>
    <x v="511"/>
    <s v="INR"/>
    <n v="885960"/>
    <s v="E125"/>
    <s v="E126"/>
  </r>
  <r>
    <n v="515"/>
    <s v="2122O71884"/>
    <n v="2122256"/>
    <s v="CC998662"/>
    <s v="C240"/>
    <x v="324"/>
    <d v="1899-12-30T19:17:28"/>
    <s v="Dec"/>
    <x v="512"/>
    <s v="INR"/>
    <n v="868140"/>
    <s v="E125"/>
    <s v="E126"/>
  </r>
  <r>
    <n v="516"/>
    <s v="2122P31669"/>
    <n v="2122257"/>
    <s v="CC501883"/>
    <s v="C232"/>
    <x v="327"/>
    <d v="1899-12-30T16:12:42"/>
    <s v="Dec"/>
    <x v="513"/>
    <s v="INR"/>
    <n v="37080"/>
    <s v="E111"/>
    <s v="E119"/>
  </r>
  <r>
    <n v="517"/>
    <s v="2122E31923"/>
    <n v="2122258"/>
    <s v="CC199085"/>
    <s v="C248"/>
    <x v="328"/>
    <d v="1899-12-30T16:29:48"/>
    <s v="Dec"/>
    <x v="514"/>
    <s v="INR"/>
    <n v="77760"/>
    <s v="E116"/>
    <s v="E118"/>
  </r>
  <r>
    <n v="518"/>
    <s v="2122G51676"/>
    <n v="2122259"/>
    <s v="CC145391"/>
    <s v="C242"/>
    <x v="328"/>
    <d v="1899-12-30T15:31:38"/>
    <s v="Dec"/>
    <x v="515"/>
    <s v="INR"/>
    <n v="69120"/>
    <s v="E114"/>
    <s v="E118"/>
  </r>
  <r>
    <n v="519"/>
    <s v="2122K71852"/>
    <n v="2122260"/>
    <s v="CC981705"/>
    <s v="C248"/>
    <x v="329"/>
    <d v="1899-12-30T17:33:03"/>
    <s v="Dec"/>
    <x v="516"/>
    <s v="INR"/>
    <n v="44640"/>
    <s v="E116"/>
    <s v="E120"/>
  </r>
  <r>
    <n v="520"/>
    <s v="2122X31075"/>
    <n v="2122261"/>
    <s v="CC970677"/>
    <s v="C226"/>
    <x v="330"/>
    <d v="1899-12-30T10:29:47"/>
    <s v="Dec"/>
    <x v="517"/>
    <s v="INR"/>
    <n v="50580"/>
    <s v="E111"/>
    <s v="E120"/>
  </r>
  <r>
    <n v="521"/>
    <s v="2122B71557"/>
    <n v="2122262"/>
    <s v="CC274148"/>
    <s v="C218"/>
    <x v="330"/>
    <d v="1899-12-30T17:15:11"/>
    <s v="Dec"/>
    <x v="518"/>
    <s v="INR"/>
    <n v="90000"/>
    <s v="E117"/>
    <s v="E122"/>
  </r>
  <r>
    <n v="522"/>
    <s v="2122I51297"/>
    <n v="2122263"/>
    <s v="CC504295"/>
    <s v="C205"/>
    <x v="331"/>
    <d v="1899-12-30T11:45:46"/>
    <s v="Dec"/>
    <x v="519"/>
    <s v="INR"/>
    <n v="87480"/>
    <s v="E116"/>
    <s v="E120"/>
  </r>
  <r>
    <n v="523"/>
    <s v="2122D11360"/>
    <n v="2122264"/>
    <s v="CC338380"/>
    <s v="C222"/>
    <x v="331"/>
    <d v="1899-12-30T10:14:02"/>
    <s v="Dec"/>
    <x v="520"/>
    <s v="INR"/>
    <n v="80460"/>
    <s v="E110"/>
    <s v="E119"/>
  </r>
  <r>
    <n v="524"/>
    <s v="2122K21209"/>
    <n v="2122265"/>
    <s v="CC805139"/>
    <s v="C237"/>
    <x v="332"/>
    <d v="1899-12-30T11:57:21"/>
    <s v="Jan"/>
    <x v="521"/>
    <s v="INR"/>
    <n v="785340"/>
    <s v="E123"/>
    <s v="E125"/>
  </r>
  <r>
    <n v="525"/>
    <s v="2122L61097"/>
    <n v="2122266"/>
    <s v="CC382146"/>
    <s v="C207"/>
    <x v="333"/>
    <d v="1899-12-30T12:38:47"/>
    <s v="Jan"/>
    <x v="522"/>
    <s v="INR"/>
    <n v="37620"/>
    <s v="E111"/>
    <s v="E118"/>
  </r>
  <r>
    <n v="526"/>
    <s v="2122G61001"/>
    <n v="2122267"/>
    <s v="CC746242"/>
    <s v="C233"/>
    <x v="334"/>
    <d v="1899-12-30T12:29:16"/>
    <s v="Jan"/>
    <x v="523"/>
    <s v="INR"/>
    <n v="37260"/>
    <s v="E113"/>
    <s v="E118"/>
  </r>
  <r>
    <n v="527"/>
    <s v="2122X61950"/>
    <n v="2122268"/>
    <s v="CC143410"/>
    <s v="C209"/>
    <x v="335"/>
    <d v="1899-12-30T11:43:17"/>
    <s v="Jan"/>
    <x v="524"/>
    <s v="INR"/>
    <n v="60840"/>
    <s v="E111"/>
    <s v="E119"/>
  </r>
  <r>
    <n v="528"/>
    <s v="2122C81722"/>
    <n v="2122269"/>
    <s v="CC465295"/>
    <s v="C247"/>
    <x v="335"/>
    <d v="1899-12-30T16:18:41"/>
    <s v="Jan"/>
    <x v="525"/>
    <s v="INR"/>
    <n v="66960"/>
    <s v="E110"/>
    <s v="E118"/>
  </r>
  <r>
    <n v="529"/>
    <s v="2122G31114"/>
    <n v="2122270"/>
    <s v="CC999327"/>
    <s v="C229"/>
    <x v="335"/>
    <d v="1899-12-30T17:33:04"/>
    <s v="Jan"/>
    <x v="526"/>
    <s v="INR"/>
    <n v="82980"/>
    <s v="E115"/>
    <s v="E121"/>
  </r>
  <r>
    <n v="530"/>
    <s v="2122D91427"/>
    <n v="2122271"/>
    <s v="CC254989"/>
    <s v="C212"/>
    <x v="336"/>
    <d v="1899-12-30T16:38:13"/>
    <s v="Jan"/>
    <x v="527"/>
    <s v="INR"/>
    <n v="63360"/>
    <s v="E111"/>
    <s v="E119"/>
  </r>
  <r>
    <n v="531"/>
    <s v="2122Q21513"/>
    <n v="2122272"/>
    <s v="CC934820"/>
    <s v="C222"/>
    <x v="336"/>
    <d v="1899-12-30T13:56:24"/>
    <s v="Jan"/>
    <x v="528"/>
    <s v="INR"/>
    <n v="54360"/>
    <s v="E114"/>
    <s v="E120"/>
  </r>
  <r>
    <n v="532"/>
    <s v="2122F51875"/>
    <n v="2122273"/>
    <s v="CC738544"/>
    <s v="C213"/>
    <x v="337"/>
    <d v="1899-12-30T11:30:19"/>
    <s v="Jan"/>
    <x v="529"/>
    <s v="INR"/>
    <n v="88380"/>
    <s v="E113"/>
    <s v="E117"/>
  </r>
  <r>
    <n v="533"/>
    <s v="2122V01680"/>
    <n v="2122274"/>
    <s v="CC442974"/>
    <s v="C244"/>
    <x v="337"/>
    <d v="1899-12-30T13:30:51"/>
    <s v="Jan"/>
    <x v="530"/>
    <s v="INR"/>
    <n v="54900"/>
    <s v="E116"/>
    <s v="E118"/>
  </r>
  <r>
    <n v="534"/>
    <s v="2122U61368"/>
    <n v="2122275"/>
    <s v="CC332796"/>
    <s v="C236"/>
    <x v="338"/>
    <d v="1899-12-30T12:26:19"/>
    <s v="Jan"/>
    <x v="531"/>
    <s v="INR"/>
    <n v="872100"/>
    <s v="E125"/>
    <s v="E126"/>
  </r>
  <r>
    <n v="535"/>
    <s v="2122P01743"/>
    <n v="2122276"/>
    <s v="CC248150"/>
    <s v="C227"/>
    <x v="339"/>
    <d v="1899-12-30T12:34:49"/>
    <s v="Jan"/>
    <x v="532"/>
    <s v="INR"/>
    <n v="77760"/>
    <s v="E115"/>
    <s v="E119"/>
  </r>
  <r>
    <n v="536"/>
    <s v="2122I81670"/>
    <n v="2122277"/>
    <s v="CC695273"/>
    <s v="C244"/>
    <x v="340"/>
    <d v="1899-12-30T13:21:52"/>
    <s v="Jan"/>
    <x v="533"/>
    <s v="INR"/>
    <n v="39600"/>
    <s v="E115"/>
    <s v="E120"/>
  </r>
  <r>
    <n v="537"/>
    <s v="2122V31173"/>
    <n v="2122278"/>
    <s v="CC795926"/>
    <s v="C242"/>
    <x v="341"/>
    <d v="1899-12-30T16:06:14"/>
    <s v="Jan"/>
    <x v="534"/>
    <s v="INR"/>
    <n v="6120"/>
    <s v="E106"/>
    <s v="E115"/>
  </r>
  <r>
    <n v="538"/>
    <s v="2122S62000"/>
    <n v="2122279"/>
    <s v="CC885617"/>
    <s v="C204"/>
    <x v="342"/>
    <d v="1899-12-30T13:44:43"/>
    <s v="Jan"/>
    <x v="535"/>
    <s v="INR"/>
    <n v="82980"/>
    <s v="E112"/>
    <s v="E118"/>
  </r>
  <r>
    <n v="539"/>
    <s v="2122K71713"/>
    <n v="2122280"/>
    <s v="CC551461"/>
    <s v="C230"/>
    <x v="342"/>
    <d v="1899-12-30T17:56:57"/>
    <s v="Jan"/>
    <x v="536"/>
    <s v="INR"/>
    <n v="6300"/>
    <s v="E104"/>
    <s v="E113"/>
  </r>
  <r>
    <n v="540"/>
    <s v="2122W81761"/>
    <n v="2122281"/>
    <s v="CC672893"/>
    <s v="C239"/>
    <x v="343"/>
    <d v="1899-12-30T19:25:00"/>
    <s v="Jan"/>
    <x v="537"/>
    <s v="INR"/>
    <n v="836820"/>
    <s v="E125"/>
    <s v="E126"/>
  </r>
  <r>
    <n v="541"/>
    <s v="2122P81589"/>
    <n v="2122282"/>
    <s v="CC730447"/>
    <s v="C230"/>
    <x v="344"/>
    <d v="1899-12-30T15:20:01"/>
    <s v="Jan"/>
    <x v="538"/>
    <s v="INR"/>
    <n v="4140"/>
    <s v="E107"/>
    <s v="E111"/>
  </r>
  <r>
    <n v="542"/>
    <s v="2122H61759"/>
    <n v="2122283"/>
    <s v="CC245152"/>
    <s v="C217"/>
    <x v="345"/>
    <d v="1899-12-30T12:37:37"/>
    <s v="Jan"/>
    <x v="539"/>
    <s v="INR"/>
    <n v="76860"/>
    <s v="E114"/>
    <s v="E121"/>
  </r>
  <r>
    <n v="543"/>
    <s v="2122D61097"/>
    <n v="2122284"/>
    <s v="CC893209"/>
    <s v="C218"/>
    <x v="345"/>
    <d v="1899-12-30T17:01:17"/>
    <s v="Jan"/>
    <x v="540"/>
    <s v="INR"/>
    <n v="5040"/>
    <s v="E109"/>
    <s v="E111"/>
  </r>
  <r>
    <n v="544"/>
    <s v="2122Z91735"/>
    <n v="2122285"/>
    <s v="CC962087"/>
    <s v="C213"/>
    <x v="345"/>
    <d v="1899-12-30T10:42:24"/>
    <s v="Jan"/>
    <x v="541"/>
    <s v="INR"/>
    <n v="1112220"/>
    <s v="E125"/>
    <s v="E126"/>
  </r>
  <r>
    <n v="545"/>
    <s v="2122N11891"/>
    <n v="2122286"/>
    <s v="CC542097"/>
    <s v="C245"/>
    <x v="343"/>
    <d v="1899-12-30T11:54:52"/>
    <s v="Jan"/>
    <x v="542"/>
    <s v="INR"/>
    <n v="7020"/>
    <s v="E101"/>
    <s v="E114"/>
  </r>
  <r>
    <n v="546"/>
    <s v="2122F11571"/>
    <n v="2122287"/>
    <s v="CC951164"/>
    <s v="C230"/>
    <x v="343"/>
    <d v="1899-12-30T12:13:42"/>
    <s v="Jan"/>
    <x v="543"/>
    <s v="INR"/>
    <n v="84240"/>
    <s v="E113"/>
    <s v="E120"/>
  </r>
  <r>
    <n v="547"/>
    <s v="2122T01886"/>
    <n v="2122288"/>
    <s v="CC495320"/>
    <s v="C203"/>
    <x v="346"/>
    <d v="1899-12-30T11:51:08"/>
    <s v="Jan"/>
    <x v="544"/>
    <s v="INR"/>
    <n v="6660"/>
    <s v="E109"/>
    <s v="E115"/>
  </r>
  <r>
    <n v="548"/>
    <s v="2122Q61371"/>
    <n v="2122289"/>
    <s v="CC108757"/>
    <s v="C241"/>
    <x v="347"/>
    <d v="1899-12-30T11:39:04"/>
    <s v="Jan"/>
    <x v="545"/>
    <s v="INR"/>
    <n v="850320"/>
    <s v="E125"/>
    <s v="E126"/>
  </r>
  <r>
    <n v="549"/>
    <s v="2122K81278"/>
    <n v="2122290"/>
    <s v="CC876017"/>
    <s v="C218"/>
    <x v="347"/>
    <d v="1899-12-30T17:42:15"/>
    <s v="Jan"/>
    <x v="546"/>
    <s v="INR"/>
    <n v="5940"/>
    <s v="E101"/>
    <s v="E112"/>
  </r>
  <r>
    <n v="550"/>
    <s v="2122V31640"/>
    <n v="2122291"/>
    <s v="CC658147"/>
    <s v="C212"/>
    <x v="348"/>
    <d v="1899-12-30T14:16:38"/>
    <s v="Jan"/>
    <x v="547"/>
    <s v="INR"/>
    <n v="7020"/>
    <s v="E108"/>
    <s v="E116"/>
  </r>
  <r>
    <n v="551"/>
    <s v="2122Q61526"/>
    <n v="2122292"/>
    <s v="CC800130"/>
    <s v="C212"/>
    <x v="349"/>
    <d v="1899-12-30T15:16:47"/>
    <s v="Jan"/>
    <x v="548"/>
    <s v="INR"/>
    <n v="67140"/>
    <s v="E110"/>
    <s v="E119"/>
  </r>
  <r>
    <n v="552"/>
    <s v="2122L41908"/>
    <n v="2122293"/>
    <s v="CC875178"/>
    <s v="C233"/>
    <x v="350"/>
    <d v="1899-12-30T12:10:08"/>
    <s v="Jan"/>
    <x v="549"/>
    <s v="INR"/>
    <n v="46080"/>
    <s v="E110"/>
    <s v="E119"/>
  </r>
  <r>
    <n v="553"/>
    <s v="2122N11632"/>
    <n v="2122294"/>
    <s v="CC979929"/>
    <s v="C204"/>
    <x v="351"/>
    <d v="1899-12-30T17:41:55"/>
    <s v="Jan"/>
    <x v="246"/>
    <s v="INR"/>
    <n v="85320"/>
    <s v="E111"/>
    <s v="E121"/>
  </r>
  <r>
    <n v="554"/>
    <s v="2122I71629"/>
    <n v="2122295"/>
    <s v="CC992885"/>
    <s v="C224"/>
    <x v="352"/>
    <d v="1899-12-30T12:44:44"/>
    <s v="Jan"/>
    <x v="550"/>
    <s v="INR"/>
    <n v="84240"/>
    <s v="E112"/>
    <s v="E121"/>
  </r>
  <r>
    <n v="555"/>
    <s v="2122U31007"/>
    <n v="2122296"/>
    <s v="CC987022"/>
    <s v="C221"/>
    <x v="352"/>
    <d v="1899-12-30T10:25:57"/>
    <s v="Jan"/>
    <x v="551"/>
    <s v="INR"/>
    <n v="66960"/>
    <s v="E110"/>
    <s v="E119"/>
  </r>
  <r>
    <n v="556"/>
    <s v="2122J01967"/>
    <n v="2122297"/>
    <s v="CC407460"/>
    <s v="C247"/>
    <x v="353"/>
    <d v="1899-12-30T12:17:26"/>
    <s v="Feb"/>
    <x v="552"/>
    <s v="INR"/>
    <n v="55260"/>
    <s v="E110"/>
    <s v="E117"/>
  </r>
  <r>
    <n v="557"/>
    <s v="2122J61173"/>
    <n v="2122298"/>
    <s v="CC555392"/>
    <s v="C229"/>
    <x v="353"/>
    <d v="1899-12-30T16:26:33"/>
    <s v="Feb"/>
    <x v="553"/>
    <s v="INR"/>
    <n v="59760"/>
    <s v="E111"/>
    <s v="E121"/>
  </r>
  <r>
    <n v="558"/>
    <s v="2122T81846"/>
    <n v="2122299"/>
    <s v="CC715776"/>
    <s v="C217"/>
    <x v="354"/>
    <d v="1899-12-30T15:50:25"/>
    <s v="Feb"/>
    <x v="554"/>
    <s v="INR"/>
    <n v="70020"/>
    <s v="E111"/>
    <s v="E119"/>
  </r>
  <r>
    <n v="559"/>
    <s v="2122O71090"/>
    <n v="2122300"/>
    <s v="CC889578"/>
    <s v="C237"/>
    <x v="355"/>
    <d v="1899-12-30T17:44:59"/>
    <s v="Feb"/>
    <x v="555"/>
    <s v="INR"/>
    <n v="88560"/>
    <s v="E112"/>
    <s v="E120"/>
  </r>
  <r>
    <n v="560"/>
    <s v="2122N21219"/>
    <n v="2122301"/>
    <s v="CC438197"/>
    <s v="C209"/>
    <x v="355"/>
    <d v="1899-12-30T14:05:28"/>
    <s v="Feb"/>
    <x v="556"/>
    <s v="INR"/>
    <n v="59220"/>
    <s v="E114"/>
    <s v="E121"/>
  </r>
  <r>
    <n v="561"/>
    <s v="2122I61648"/>
    <n v="2122302"/>
    <s v="CC358877"/>
    <s v="C224"/>
    <x v="356"/>
    <d v="1899-12-30T15:01:33"/>
    <s v="Feb"/>
    <x v="557"/>
    <s v="INR"/>
    <n v="38340"/>
    <s v="E112"/>
    <s v="E119"/>
  </r>
  <r>
    <n v="562"/>
    <s v="2122B21220"/>
    <n v="2122303"/>
    <s v="CC832673"/>
    <s v="C226"/>
    <x v="356"/>
    <d v="1899-12-30T15:03:24"/>
    <s v="Feb"/>
    <x v="558"/>
    <s v="INR"/>
    <n v="70200"/>
    <s v="E115"/>
    <s v="E119"/>
  </r>
  <r>
    <n v="563"/>
    <s v="2122Z71163"/>
    <n v="2122304"/>
    <s v="CC801174"/>
    <s v="C215"/>
    <x v="357"/>
    <d v="1899-12-30T14:46:19"/>
    <s v="Feb"/>
    <x v="559"/>
    <s v="INR"/>
    <n v="67140"/>
    <s v="E111"/>
    <s v="E118"/>
  </r>
  <r>
    <n v="564"/>
    <s v="2122S01090"/>
    <n v="2122305"/>
    <s v="CC808662"/>
    <s v="C240"/>
    <x v="358"/>
    <d v="1899-12-30T10:52:15"/>
    <s v="Feb"/>
    <x v="560"/>
    <s v="INR"/>
    <n v="7200"/>
    <s v="E103"/>
    <s v="E115"/>
  </r>
  <r>
    <n v="565"/>
    <s v="2122Z81103"/>
    <n v="2122306"/>
    <s v="CC511907"/>
    <s v="C200"/>
    <x v="359"/>
    <d v="1899-12-30T15:04:57"/>
    <s v="Feb"/>
    <x v="561"/>
    <s v="INR"/>
    <n v="6480"/>
    <s v="E106"/>
    <s v="E116"/>
  </r>
  <r>
    <n v="566"/>
    <s v="2122R31053"/>
    <n v="2122307"/>
    <s v="CC519270"/>
    <s v="C216"/>
    <x v="359"/>
    <d v="1899-12-30T14:08:48"/>
    <s v="Feb"/>
    <x v="562"/>
    <s v="INR"/>
    <n v="6480"/>
    <s v="E107"/>
    <s v="E113"/>
  </r>
  <r>
    <n v="567"/>
    <s v="2122F71740"/>
    <n v="2122308"/>
    <s v="CC544672"/>
    <s v="C236"/>
    <x v="360"/>
    <d v="1899-12-30T17:26:39"/>
    <s v="Feb"/>
    <x v="563"/>
    <s v="INR"/>
    <n v="8640"/>
    <s v="E109"/>
    <s v="E113"/>
  </r>
  <r>
    <n v="568"/>
    <s v="2122F71004"/>
    <n v="2122309"/>
    <s v="CC979809"/>
    <s v="C234"/>
    <x v="361"/>
    <d v="1899-12-30T17:38:37"/>
    <s v="Jan"/>
    <x v="564"/>
    <s v="INR"/>
    <n v="6480"/>
    <s v="E103"/>
    <s v="E110"/>
  </r>
  <r>
    <n v="569"/>
    <s v="2122H61434"/>
    <n v="2122310"/>
    <s v="CC472118"/>
    <s v="C248"/>
    <x v="361"/>
    <d v="1899-12-30T12:26:15"/>
    <s v="Feb"/>
    <x v="565"/>
    <s v="INR"/>
    <n v="4860"/>
    <s v="E100"/>
    <s v="E116"/>
  </r>
  <r>
    <n v="570"/>
    <s v="2122V92000"/>
    <n v="2122311"/>
    <s v="CC452480"/>
    <s v="C201"/>
    <x v="362"/>
    <d v="1899-12-30T13:42:30"/>
    <s v="Feb"/>
    <x v="566"/>
    <s v="INR"/>
    <n v="4680"/>
    <s v="E108"/>
    <s v="E116"/>
  </r>
  <r>
    <n v="571"/>
    <s v="2122O81518"/>
    <n v="2122312"/>
    <s v="CC972557"/>
    <s v="C243"/>
    <x v="363"/>
    <d v="1899-12-30T11:40:41"/>
    <s v="Feb"/>
    <x v="567"/>
    <s v="INR"/>
    <n v="4320"/>
    <s v="E103"/>
    <s v="E112"/>
  </r>
  <r>
    <n v="572"/>
    <s v="2122U51882"/>
    <n v="2122313"/>
    <s v="CC193628"/>
    <s v="C227"/>
    <x v="363"/>
    <d v="1899-12-30T14:16:22"/>
    <s v="Feb"/>
    <x v="568"/>
    <s v="INR"/>
    <n v="7020"/>
    <s v="E101"/>
    <s v="E114"/>
  </r>
  <r>
    <n v="573"/>
    <s v="2122D81263"/>
    <n v="2122314"/>
    <s v="CC315155"/>
    <s v="C204"/>
    <x v="364"/>
    <d v="1899-12-30T10:37:08"/>
    <s v="Jan"/>
    <x v="569"/>
    <s v="INR"/>
    <n v="5220"/>
    <s v="E107"/>
    <s v="E114"/>
  </r>
  <r>
    <n v="574"/>
    <s v="2122M11982"/>
    <n v="2122315"/>
    <s v="CC817711"/>
    <s v="C231"/>
    <x v="365"/>
    <d v="1899-12-30T14:23:11"/>
    <s v="Feb"/>
    <x v="570"/>
    <s v="INR"/>
    <n v="59040"/>
    <s v="E110"/>
    <s v="E120"/>
  </r>
  <r>
    <n v="575"/>
    <s v="2122D81367"/>
    <n v="2122316"/>
    <s v="CC904214"/>
    <s v="C245"/>
    <x v="365"/>
    <d v="1899-12-30T10:00:34"/>
    <s v="Feb"/>
    <x v="571"/>
    <s v="INR"/>
    <n v="805140"/>
    <s v="E122"/>
    <s v="E125"/>
  </r>
  <r>
    <n v="576"/>
    <s v="2122G21024"/>
    <n v="2122317"/>
    <s v="CC610840"/>
    <s v="C220"/>
    <x v="366"/>
    <d v="1899-12-30T17:59:40"/>
    <s v="Feb"/>
    <x v="572"/>
    <s v="INR"/>
    <n v="40320"/>
    <s v="E110"/>
    <s v="E119"/>
  </r>
  <r>
    <n v="577"/>
    <s v="2122J21867"/>
    <n v="2122318"/>
    <s v="CC305363"/>
    <s v="C247"/>
    <x v="366"/>
    <d v="1899-12-30T11:52:07"/>
    <s v="Feb"/>
    <x v="573"/>
    <s v="INR"/>
    <n v="51480"/>
    <s v="E113"/>
    <s v="E120"/>
  </r>
  <r>
    <n v="578"/>
    <s v="2122M91789"/>
    <n v="2122319"/>
    <s v="CC472345"/>
    <s v="C222"/>
    <x v="367"/>
    <d v="1899-12-30T16:18:43"/>
    <s v="Feb"/>
    <x v="574"/>
    <s v="INR"/>
    <n v="7920"/>
    <s v="E109"/>
    <s v="E110"/>
  </r>
  <r>
    <n v="579"/>
    <s v="2122W21441"/>
    <n v="2122320"/>
    <s v="CC444291"/>
    <s v="C237"/>
    <x v="368"/>
    <d v="1899-12-30T12:06:19"/>
    <s v="Jan"/>
    <x v="575"/>
    <s v="INR"/>
    <n v="65340"/>
    <s v="E113"/>
    <s v="E117"/>
  </r>
  <r>
    <n v="580"/>
    <s v="2122Y11228"/>
    <n v="2122321"/>
    <s v="CC913406"/>
    <s v="C212"/>
    <x v="368"/>
    <d v="1899-12-30T17:41:02"/>
    <s v="Feb"/>
    <x v="576"/>
    <s v="INR"/>
    <n v="66780"/>
    <s v="E110"/>
    <s v="E118"/>
  </r>
  <r>
    <n v="581"/>
    <s v="2122X31510"/>
    <n v="2122322"/>
    <s v="CC887540"/>
    <s v="C245"/>
    <x v="368"/>
    <d v="1899-12-30T12:36:15"/>
    <s v="Feb"/>
    <x v="577"/>
    <s v="INR"/>
    <n v="491940"/>
    <s v="E123"/>
    <s v="E125"/>
  </r>
  <r>
    <n v="582"/>
    <s v="2122Z41398"/>
    <n v="2122323"/>
    <s v="CC250641"/>
    <s v="C245"/>
    <x v="368"/>
    <d v="1899-12-30T12:48:06"/>
    <s v="Feb"/>
    <x v="578"/>
    <s v="INR"/>
    <n v="45000"/>
    <s v="E111"/>
    <s v="E120"/>
  </r>
  <r>
    <n v="583"/>
    <s v="2122G11593"/>
    <n v="2122324"/>
    <s v="CC383194"/>
    <s v="C220"/>
    <x v="368"/>
    <d v="1899-12-30T12:26:52"/>
    <s v="Feb"/>
    <x v="579"/>
    <s v="INR"/>
    <n v="83340"/>
    <s v="E116"/>
    <s v="E117"/>
  </r>
  <r>
    <n v="584"/>
    <s v="2122X31771"/>
    <n v="2122325"/>
    <s v="CC265814"/>
    <s v="C227"/>
    <x v="369"/>
    <d v="1899-12-30T11:51:29"/>
    <s v="Mar"/>
    <x v="580"/>
    <s v="INR"/>
    <n v="56340"/>
    <s v="E116"/>
    <s v="E119"/>
  </r>
  <r>
    <n v="585"/>
    <s v="2122O21911"/>
    <n v="2122326"/>
    <s v="CC500468"/>
    <s v="C231"/>
    <x v="370"/>
    <d v="1899-12-30T15:03:40"/>
    <s v="Mar"/>
    <x v="581"/>
    <s v="INR"/>
    <n v="71640"/>
    <s v="E115"/>
    <s v="E118"/>
  </r>
  <r>
    <n v="586"/>
    <s v="2122S71061"/>
    <n v="2122327"/>
    <s v="CC388908"/>
    <s v="C215"/>
    <x v="371"/>
    <d v="1899-12-30T12:35:01"/>
    <s v="Mar"/>
    <x v="582"/>
    <s v="INR"/>
    <n v="63540"/>
    <s v="E113"/>
    <s v="E117"/>
  </r>
  <r>
    <n v="587"/>
    <s v="2122G31364"/>
    <n v="2122328"/>
    <s v="CC554784"/>
    <s v="C213"/>
    <x v="372"/>
    <d v="1899-12-30T15:52:51"/>
    <s v="Mar"/>
    <x v="583"/>
    <s v="INR"/>
    <n v="59940"/>
    <s v="E110"/>
    <s v="E120"/>
  </r>
  <r>
    <n v="588"/>
    <s v="2122T21468"/>
    <n v="2122329"/>
    <s v="CC717904"/>
    <s v="C222"/>
    <x v="373"/>
    <d v="1899-12-30T17:55:23"/>
    <s v="Mar"/>
    <x v="584"/>
    <s v="INR"/>
    <n v="57060"/>
    <s v="E114"/>
    <s v="E120"/>
  </r>
  <r>
    <n v="589"/>
    <s v="2122H41555"/>
    <n v="2122330"/>
    <s v="CC574535"/>
    <s v="C245"/>
    <x v="373"/>
    <d v="1899-12-30T12:16:24"/>
    <s v="Mar"/>
    <x v="585"/>
    <s v="INR"/>
    <n v="43380"/>
    <s v="E114"/>
    <s v="E119"/>
  </r>
  <r>
    <n v="590"/>
    <s v="2122C71145"/>
    <n v="2122331"/>
    <s v="CC238390"/>
    <s v="C217"/>
    <x v="374"/>
    <d v="1899-12-30T16:46:50"/>
    <s v="Mar"/>
    <x v="586"/>
    <s v="INR"/>
    <n v="37980"/>
    <s v="E115"/>
    <s v="E120"/>
  </r>
  <r>
    <n v="591"/>
    <s v="2122L21212"/>
    <n v="2122332"/>
    <s v="CC498363"/>
    <s v="C213"/>
    <x v="374"/>
    <d v="1899-12-30T15:02:30"/>
    <s v="Mar"/>
    <x v="587"/>
    <s v="INR"/>
    <n v="66600"/>
    <s v="E116"/>
    <s v="E120"/>
  </r>
  <r>
    <n v="592"/>
    <s v="2122H51497"/>
    <n v="2122333"/>
    <s v="CC116382"/>
    <s v="C204"/>
    <x v="374"/>
    <d v="1899-12-30T14:20:52"/>
    <s v="Mar"/>
    <x v="588"/>
    <s v="INR"/>
    <n v="61200"/>
    <s v="E112"/>
    <s v="E117"/>
  </r>
  <r>
    <n v="593"/>
    <s v="2122E11668"/>
    <n v="2122334"/>
    <s v="CC620411"/>
    <s v="C211"/>
    <x v="374"/>
    <d v="1899-12-30T15:31:09"/>
    <s v="Mar"/>
    <x v="589"/>
    <s v="INR"/>
    <n v="5040"/>
    <s v="E106"/>
    <s v="E113"/>
  </r>
  <r>
    <n v="594"/>
    <s v="2122L11016"/>
    <n v="2122335"/>
    <s v="CC869452"/>
    <s v="C245"/>
    <x v="374"/>
    <d v="1899-12-30T13:38:06"/>
    <s v="Mar"/>
    <x v="590"/>
    <s v="INR"/>
    <n v="61020"/>
    <s v="E111"/>
    <s v="E120"/>
  </r>
  <r>
    <n v="595"/>
    <s v="2122Q21657"/>
    <n v="2122336"/>
    <s v="CC356778"/>
    <s v="C222"/>
    <x v="375"/>
    <d v="1899-12-30T16:31:07"/>
    <s v="Mar"/>
    <x v="591"/>
    <s v="INR"/>
    <n v="57780"/>
    <s v="E116"/>
    <s v="E117"/>
  </r>
  <r>
    <n v="596"/>
    <s v="2122H11405"/>
    <n v="2122337"/>
    <s v="CC419255"/>
    <s v="C245"/>
    <x v="376"/>
    <d v="1899-12-30T15:43:49"/>
    <s v="Mar"/>
    <x v="592"/>
    <s v="INR"/>
    <n v="6480"/>
    <s v="E107"/>
    <s v="E112"/>
  </r>
  <r>
    <n v="597"/>
    <s v="2122E91010"/>
    <n v="2122338"/>
    <s v="CC316789"/>
    <s v="C218"/>
    <x v="377"/>
    <d v="1899-12-30T16:26:02"/>
    <s v="Mar"/>
    <x v="593"/>
    <s v="INR"/>
    <n v="56520"/>
    <s v="E112"/>
    <s v="E118"/>
  </r>
  <r>
    <n v="598"/>
    <s v="2122W51561"/>
    <n v="2122339"/>
    <s v="CC726894"/>
    <s v="C237"/>
    <x v="378"/>
    <d v="1899-12-30T12:01:51"/>
    <s v="Mar"/>
    <x v="594"/>
    <s v="INR"/>
    <n v="81720"/>
    <s v="E115"/>
    <s v="E118"/>
  </r>
  <r>
    <n v="599"/>
    <s v="2122I21665"/>
    <n v="2122340"/>
    <s v="CC360747"/>
    <s v="C203"/>
    <x v="378"/>
    <d v="1899-12-30T11:55:58"/>
    <s v="Mar"/>
    <x v="595"/>
    <s v="INR"/>
    <n v="5760"/>
    <s v="E107"/>
    <s v="E112"/>
  </r>
  <r>
    <n v="600"/>
    <s v="2122J01328"/>
    <n v="2122341"/>
    <s v="CC650227"/>
    <s v="C214"/>
    <x v="378"/>
    <d v="1899-12-30T10:48:02"/>
    <s v="Mar"/>
    <x v="596"/>
    <s v="INR"/>
    <n v="89280"/>
    <s v="E114"/>
    <s v="E1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00">
  <r>
    <x v="0"/>
    <n v="483830"/>
    <x v="0"/>
    <x v="0"/>
  </r>
  <r>
    <x v="1"/>
    <n v="462100"/>
    <x v="0"/>
    <x v="0"/>
  </r>
  <r>
    <x v="1"/>
    <n v="372600"/>
    <x v="0"/>
    <x v="0"/>
  </r>
  <r>
    <x v="2"/>
    <n v="34370"/>
    <x v="0"/>
    <x v="0"/>
  </r>
  <r>
    <x v="2"/>
    <n v="24190"/>
    <x v="0"/>
    <x v="0"/>
  </r>
  <r>
    <x v="2"/>
    <n v="4841510"/>
    <x v="1"/>
    <x v="0"/>
  </r>
  <r>
    <x v="2"/>
    <n v="469180"/>
    <x v="0"/>
    <x v="0"/>
  </r>
  <r>
    <x v="3"/>
    <n v="480710"/>
    <x v="0"/>
    <x v="0"/>
  </r>
  <r>
    <x v="4"/>
    <n v="343170"/>
    <x v="0"/>
    <x v="0"/>
  </r>
  <r>
    <x v="5"/>
    <n v="474940"/>
    <x v="0"/>
    <x v="0"/>
  </r>
  <r>
    <x v="6"/>
    <n v="50900"/>
    <x v="0"/>
    <x v="0"/>
  </r>
  <r>
    <x v="7"/>
    <n v="335080"/>
    <x v="0"/>
    <x v="0"/>
  </r>
  <r>
    <x v="8"/>
    <n v="501490"/>
    <x v="0"/>
    <x v="0"/>
  </r>
  <r>
    <x v="9"/>
    <n v="209260"/>
    <x v="0"/>
    <x v="0"/>
  </r>
  <r>
    <x v="9"/>
    <n v="317130"/>
    <x v="0"/>
    <x v="0"/>
  </r>
  <r>
    <x v="10"/>
    <n v="42850"/>
    <x v="0"/>
    <x v="0"/>
  </r>
  <r>
    <x v="11"/>
    <n v="477910"/>
    <x v="0"/>
    <x v="0"/>
  </r>
  <r>
    <x v="12"/>
    <n v="345580"/>
    <x v="0"/>
    <x v="0"/>
  </r>
  <r>
    <x v="13"/>
    <n v="337140"/>
    <x v="0"/>
    <x v="0"/>
  </r>
  <r>
    <x v="14"/>
    <n v="477620"/>
    <x v="0"/>
    <x v="0"/>
  </r>
  <r>
    <x v="15"/>
    <n v="453890"/>
    <x v="0"/>
    <x v="0"/>
  </r>
  <r>
    <x v="16"/>
    <n v="230560"/>
    <x v="0"/>
    <x v="0"/>
  </r>
  <r>
    <x v="16"/>
    <n v="207690"/>
    <x v="0"/>
    <x v="0"/>
  </r>
  <r>
    <x v="16"/>
    <n v="498780"/>
    <x v="0"/>
    <x v="0"/>
  </r>
  <r>
    <x v="17"/>
    <n v="265850"/>
    <x v="0"/>
    <x v="0"/>
  </r>
  <r>
    <x v="18"/>
    <n v="23290"/>
    <x v="0"/>
    <x v="0"/>
  </r>
  <r>
    <x v="19"/>
    <n v="432790"/>
    <x v="0"/>
    <x v="0"/>
  </r>
  <r>
    <x v="19"/>
    <n v="4762260"/>
    <x v="1"/>
    <x v="0"/>
  </r>
  <r>
    <x v="20"/>
    <n v="311700"/>
    <x v="0"/>
    <x v="0"/>
  </r>
  <r>
    <x v="21"/>
    <n v="209420"/>
    <x v="0"/>
    <x v="0"/>
  </r>
  <r>
    <x v="21"/>
    <n v="225520"/>
    <x v="0"/>
    <x v="0"/>
  </r>
  <r>
    <x v="21"/>
    <n v="480420"/>
    <x v="0"/>
    <x v="0"/>
  </r>
  <r>
    <x v="22"/>
    <n v="349080"/>
    <x v="0"/>
    <x v="0"/>
  </r>
  <r>
    <x v="23"/>
    <n v="309420"/>
    <x v="0"/>
    <x v="0"/>
  </r>
  <r>
    <x v="24"/>
    <n v="431890"/>
    <x v="0"/>
    <x v="0"/>
  </r>
  <r>
    <x v="25"/>
    <n v="21840"/>
    <x v="0"/>
    <x v="0"/>
  </r>
  <r>
    <x v="25"/>
    <n v="27450"/>
    <x v="0"/>
    <x v="0"/>
  </r>
  <r>
    <x v="26"/>
    <n v="440720"/>
    <x v="0"/>
    <x v="0"/>
  </r>
  <r>
    <x v="26"/>
    <n v="294900"/>
    <x v="0"/>
    <x v="0"/>
  </r>
  <r>
    <x v="27"/>
    <n v="5778120"/>
    <x v="2"/>
    <x v="0"/>
  </r>
  <r>
    <x v="28"/>
    <n v="401950"/>
    <x v="0"/>
    <x v="0"/>
  </r>
  <r>
    <x v="29"/>
    <n v="429800"/>
    <x v="0"/>
    <x v="0"/>
  </r>
  <r>
    <x v="29"/>
    <n v="463750"/>
    <x v="0"/>
    <x v="0"/>
  </r>
  <r>
    <x v="29"/>
    <n v="302650"/>
    <x v="0"/>
    <x v="0"/>
  </r>
  <r>
    <x v="30"/>
    <n v="427510"/>
    <x v="0"/>
    <x v="0"/>
  </r>
  <r>
    <x v="31"/>
    <n v="386240"/>
    <x v="0"/>
    <x v="0"/>
  </r>
  <r>
    <x v="31"/>
    <n v="206890"/>
    <x v="0"/>
    <x v="0"/>
  </r>
  <r>
    <x v="32"/>
    <n v="492690"/>
    <x v="0"/>
    <x v="0"/>
  </r>
  <r>
    <x v="33"/>
    <n v="482570"/>
    <x v="0"/>
    <x v="0"/>
  </r>
  <r>
    <x v="33"/>
    <n v="46890"/>
    <x v="0"/>
    <x v="0"/>
  </r>
  <r>
    <x v="34"/>
    <n v="484460"/>
    <x v="0"/>
    <x v="0"/>
  </r>
  <r>
    <x v="34"/>
    <n v="290140"/>
    <x v="0"/>
    <x v="0"/>
  </r>
  <r>
    <x v="35"/>
    <n v="482140"/>
    <x v="0"/>
    <x v="0"/>
  </r>
  <r>
    <x v="35"/>
    <n v="244360"/>
    <x v="0"/>
    <x v="0"/>
  </r>
  <r>
    <x v="36"/>
    <n v="261450"/>
    <x v="0"/>
    <x v="0"/>
  </r>
  <r>
    <x v="37"/>
    <n v="10223320"/>
    <x v="2"/>
    <x v="0"/>
  </r>
  <r>
    <x v="38"/>
    <n v="390450"/>
    <x v="0"/>
    <x v="0"/>
  </r>
  <r>
    <x v="39"/>
    <n v="202860"/>
    <x v="0"/>
    <x v="0"/>
  </r>
  <r>
    <x v="40"/>
    <n v="204100"/>
    <x v="0"/>
    <x v="0"/>
  </r>
  <r>
    <x v="41"/>
    <n v="265580"/>
    <x v="0"/>
    <x v="0"/>
  </r>
  <r>
    <x v="42"/>
    <n v="285470"/>
    <x v="0"/>
    <x v="0"/>
  </r>
  <r>
    <x v="42"/>
    <n v="205720"/>
    <x v="0"/>
    <x v="0"/>
  </r>
  <r>
    <x v="43"/>
    <n v="31860"/>
    <x v="0"/>
    <x v="0"/>
  </r>
  <r>
    <x v="43"/>
    <n v="258480"/>
    <x v="0"/>
    <x v="0"/>
  </r>
  <r>
    <x v="44"/>
    <n v="205220"/>
    <x v="0"/>
    <x v="0"/>
  </r>
  <r>
    <x v="45"/>
    <n v="434440"/>
    <x v="0"/>
    <x v="0"/>
  </r>
  <r>
    <x v="46"/>
    <n v="433740"/>
    <x v="0"/>
    <x v="0"/>
  </r>
  <r>
    <x v="47"/>
    <n v="484610"/>
    <x v="0"/>
    <x v="0"/>
  </r>
  <r>
    <x v="47"/>
    <n v="309040"/>
    <x v="0"/>
    <x v="0"/>
  </r>
  <r>
    <x v="48"/>
    <n v="350710"/>
    <x v="0"/>
    <x v="0"/>
  </r>
  <r>
    <x v="49"/>
    <n v="317450"/>
    <x v="0"/>
    <x v="0"/>
  </r>
  <r>
    <x v="50"/>
    <n v="4374900"/>
    <x v="1"/>
    <x v="0"/>
  </r>
  <r>
    <x v="51"/>
    <n v="379870"/>
    <x v="0"/>
    <x v="0"/>
  </r>
  <r>
    <x v="51"/>
    <n v="415470"/>
    <x v="0"/>
    <x v="0"/>
  </r>
  <r>
    <x v="51"/>
    <n v="451520"/>
    <x v="0"/>
    <x v="0"/>
  </r>
  <r>
    <x v="52"/>
    <n v="453330"/>
    <x v="0"/>
    <x v="0"/>
  </r>
  <r>
    <x v="53"/>
    <n v="343940"/>
    <x v="0"/>
    <x v="0"/>
  </r>
  <r>
    <x v="53"/>
    <n v="369380"/>
    <x v="0"/>
    <x v="0"/>
  </r>
  <r>
    <x v="54"/>
    <n v="242400"/>
    <x v="0"/>
    <x v="0"/>
  </r>
  <r>
    <x v="54"/>
    <n v="343980"/>
    <x v="0"/>
    <x v="0"/>
  </r>
  <r>
    <x v="55"/>
    <n v="337370"/>
    <x v="0"/>
    <x v="0"/>
  </r>
  <r>
    <x v="55"/>
    <n v="393430"/>
    <x v="0"/>
    <x v="0"/>
  </r>
  <r>
    <x v="55"/>
    <n v="404010"/>
    <x v="0"/>
    <x v="0"/>
  </r>
  <r>
    <x v="56"/>
    <n v="448370"/>
    <x v="0"/>
    <x v="0"/>
  </r>
  <r>
    <x v="56"/>
    <n v="426610"/>
    <x v="0"/>
    <x v="0"/>
  </r>
  <r>
    <x v="57"/>
    <n v="400810"/>
    <x v="0"/>
    <x v="0"/>
  </r>
  <r>
    <x v="58"/>
    <n v="234150"/>
    <x v="0"/>
    <x v="0"/>
  </r>
  <r>
    <x v="58"/>
    <n v="402860"/>
    <x v="0"/>
    <x v="0"/>
  </r>
  <r>
    <x v="59"/>
    <n v="408480"/>
    <x v="0"/>
    <x v="0"/>
  </r>
  <r>
    <x v="59"/>
    <n v="6075310"/>
    <x v="2"/>
    <x v="0"/>
  </r>
  <r>
    <x v="59"/>
    <n v="448330"/>
    <x v="0"/>
    <x v="0"/>
  </r>
  <r>
    <x v="60"/>
    <n v="381310"/>
    <x v="0"/>
    <x v="0"/>
  </r>
  <r>
    <x v="61"/>
    <n v="35360"/>
    <x v="0"/>
    <x v="0"/>
  </r>
  <r>
    <x v="62"/>
    <n v="336830"/>
    <x v="0"/>
    <x v="0"/>
  </r>
  <r>
    <x v="63"/>
    <n v="452640"/>
    <x v="0"/>
    <x v="0"/>
  </r>
  <r>
    <x v="64"/>
    <n v="363210"/>
    <x v="0"/>
    <x v="0"/>
  </r>
  <r>
    <x v="65"/>
    <n v="459610"/>
    <x v="0"/>
    <x v="0"/>
  </r>
  <r>
    <x v="66"/>
    <n v="468940"/>
    <x v="0"/>
    <x v="0"/>
  </r>
  <r>
    <x v="66"/>
    <n v="386980"/>
    <x v="0"/>
    <x v="0"/>
  </r>
  <r>
    <x v="67"/>
    <n v="384860"/>
    <x v="0"/>
    <x v="0"/>
  </r>
  <r>
    <x v="68"/>
    <n v="476490"/>
    <x v="0"/>
    <x v="0"/>
  </r>
  <r>
    <x v="69"/>
    <n v="221320"/>
    <x v="0"/>
    <x v="0"/>
  </r>
  <r>
    <x v="70"/>
    <n v="361170"/>
    <x v="0"/>
    <x v="0"/>
  </r>
  <r>
    <x v="71"/>
    <n v="468930"/>
    <x v="0"/>
    <x v="0"/>
  </r>
  <r>
    <x v="72"/>
    <n v="425960"/>
    <x v="0"/>
    <x v="0"/>
  </r>
  <r>
    <x v="72"/>
    <n v="489420"/>
    <x v="0"/>
    <x v="0"/>
  </r>
  <r>
    <x v="72"/>
    <n v="487730"/>
    <x v="0"/>
    <x v="0"/>
  </r>
  <r>
    <x v="73"/>
    <n v="5435440"/>
    <x v="2"/>
    <x v="0"/>
  </r>
  <r>
    <x v="74"/>
    <n v="228310"/>
    <x v="0"/>
    <x v="0"/>
  </r>
  <r>
    <x v="74"/>
    <n v="231130"/>
    <x v="0"/>
    <x v="0"/>
  </r>
  <r>
    <x v="74"/>
    <n v="309860"/>
    <x v="0"/>
    <x v="0"/>
  </r>
  <r>
    <x v="75"/>
    <n v="469290"/>
    <x v="0"/>
    <x v="0"/>
  </r>
  <r>
    <x v="75"/>
    <n v="485210"/>
    <x v="0"/>
    <x v="0"/>
  </r>
  <r>
    <x v="76"/>
    <n v="336440"/>
    <x v="0"/>
    <x v="0"/>
  </r>
  <r>
    <x v="77"/>
    <n v="230600"/>
    <x v="0"/>
    <x v="0"/>
  </r>
  <r>
    <x v="77"/>
    <n v="442130"/>
    <x v="0"/>
    <x v="0"/>
  </r>
  <r>
    <x v="78"/>
    <n v="347590"/>
    <x v="0"/>
    <x v="0"/>
  </r>
  <r>
    <x v="78"/>
    <n v="484270"/>
    <x v="0"/>
    <x v="0"/>
  </r>
  <r>
    <x v="78"/>
    <n v="371400"/>
    <x v="0"/>
    <x v="0"/>
  </r>
  <r>
    <x v="79"/>
    <n v="413860"/>
    <x v="0"/>
    <x v="0"/>
  </r>
  <r>
    <x v="80"/>
    <n v="496390"/>
    <x v="0"/>
    <x v="0"/>
  </r>
  <r>
    <x v="80"/>
    <n v="265640"/>
    <x v="0"/>
    <x v="0"/>
  </r>
  <r>
    <x v="81"/>
    <n v="287540"/>
    <x v="0"/>
    <x v="0"/>
  </r>
  <r>
    <x v="82"/>
    <n v="320190"/>
    <x v="0"/>
    <x v="0"/>
  </r>
  <r>
    <x v="83"/>
    <n v="31200"/>
    <x v="0"/>
    <x v="0"/>
  </r>
  <r>
    <x v="83"/>
    <n v="261830"/>
    <x v="0"/>
    <x v="0"/>
  </r>
  <r>
    <x v="84"/>
    <n v="409610"/>
    <x v="0"/>
    <x v="0"/>
  </r>
  <r>
    <x v="84"/>
    <n v="436450"/>
    <x v="0"/>
    <x v="0"/>
  </r>
  <r>
    <x v="85"/>
    <n v="396810"/>
    <x v="0"/>
    <x v="0"/>
  </r>
  <r>
    <x v="86"/>
    <n v="357630"/>
    <x v="0"/>
    <x v="0"/>
  </r>
  <r>
    <x v="87"/>
    <n v="257380"/>
    <x v="0"/>
    <x v="0"/>
  </r>
  <r>
    <x v="87"/>
    <n v="260190"/>
    <x v="0"/>
    <x v="0"/>
  </r>
  <r>
    <x v="88"/>
    <n v="425730"/>
    <x v="0"/>
    <x v="0"/>
  </r>
  <r>
    <x v="89"/>
    <n v="499520"/>
    <x v="0"/>
    <x v="0"/>
  </r>
  <r>
    <x v="90"/>
    <n v="344930"/>
    <x v="0"/>
    <x v="0"/>
  </r>
  <r>
    <x v="90"/>
    <n v="272690"/>
    <x v="0"/>
    <x v="0"/>
  </r>
  <r>
    <x v="91"/>
    <n v="253760"/>
    <x v="0"/>
    <x v="0"/>
  </r>
  <r>
    <x v="92"/>
    <n v="361660"/>
    <x v="0"/>
    <x v="0"/>
  </r>
  <r>
    <x v="93"/>
    <n v="325730"/>
    <x v="0"/>
    <x v="0"/>
  </r>
  <r>
    <x v="94"/>
    <n v="343420"/>
    <x v="0"/>
    <x v="0"/>
  </r>
  <r>
    <x v="94"/>
    <n v="413230"/>
    <x v="0"/>
    <x v="0"/>
  </r>
  <r>
    <x v="95"/>
    <n v="287450"/>
    <x v="0"/>
    <x v="0"/>
  </r>
  <r>
    <x v="95"/>
    <n v="465230"/>
    <x v="0"/>
    <x v="0"/>
  </r>
  <r>
    <x v="95"/>
    <n v="459200"/>
    <x v="0"/>
    <x v="0"/>
  </r>
  <r>
    <x v="95"/>
    <n v="363610"/>
    <x v="0"/>
    <x v="0"/>
  </r>
  <r>
    <x v="95"/>
    <n v="324490"/>
    <x v="0"/>
    <x v="0"/>
  </r>
  <r>
    <x v="96"/>
    <n v="477100"/>
    <x v="0"/>
    <x v="0"/>
  </r>
  <r>
    <x v="97"/>
    <n v="277730"/>
    <x v="0"/>
    <x v="0"/>
  </r>
  <r>
    <x v="97"/>
    <n v="338510"/>
    <x v="0"/>
    <x v="0"/>
  </r>
  <r>
    <x v="98"/>
    <n v="494440"/>
    <x v="0"/>
    <x v="0"/>
  </r>
  <r>
    <x v="99"/>
    <n v="354520"/>
    <x v="0"/>
    <x v="0"/>
  </r>
  <r>
    <x v="99"/>
    <n v="236430"/>
    <x v="0"/>
    <x v="0"/>
  </r>
  <r>
    <x v="99"/>
    <n v="269550"/>
    <x v="0"/>
    <x v="0"/>
  </r>
  <r>
    <x v="100"/>
    <n v="4699400"/>
    <x v="1"/>
    <x v="0"/>
  </r>
  <r>
    <x v="100"/>
    <n v="40290"/>
    <x v="0"/>
    <x v="0"/>
  </r>
  <r>
    <x v="101"/>
    <n v="427530"/>
    <x v="0"/>
    <x v="0"/>
  </r>
  <r>
    <x v="102"/>
    <n v="375010"/>
    <x v="0"/>
    <x v="0"/>
  </r>
  <r>
    <x v="103"/>
    <n v="233840"/>
    <x v="0"/>
    <x v="0"/>
  </r>
  <r>
    <x v="103"/>
    <n v="486560"/>
    <x v="0"/>
    <x v="0"/>
  </r>
  <r>
    <x v="104"/>
    <n v="394840"/>
    <x v="0"/>
    <x v="0"/>
  </r>
  <r>
    <x v="105"/>
    <n v="496620"/>
    <x v="0"/>
    <x v="0"/>
  </r>
  <r>
    <x v="105"/>
    <n v="423630"/>
    <x v="0"/>
    <x v="0"/>
  </r>
  <r>
    <x v="106"/>
    <n v="342230"/>
    <x v="0"/>
    <x v="0"/>
  </r>
  <r>
    <x v="107"/>
    <n v="313120"/>
    <x v="0"/>
    <x v="0"/>
  </r>
  <r>
    <x v="108"/>
    <n v="482500"/>
    <x v="0"/>
    <x v="0"/>
  </r>
  <r>
    <x v="109"/>
    <n v="228570"/>
    <x v="0"/>
    <x v="0"/>
  </r>
  <r>
    <x v="110"/>
    <n v="374680"/>
    <x v="0"/>
    <x v="0"/>
  </r>
  <r>
    <x v="110"/>
    <n v="270290"/>
    <x v="0"/>
    <x v="0"/>
  </r>
  <r>
    <x v="111"/>
    <n v="230290"/>
    <x v="0"/>
    <x v="0"/>
  </r>
  <r>
    <x v="111"/>
    <n v="204300"/>
    <x v="0"/>
    <x v="0"/>
  </r>
  <r>
    <x v="111"/>
    <n v="429430"/>
    <x v="0"/>
    <x v="0"/>
  </r>
  <r>
    <x v="112"/>
    <n v="208840"/>
    <x v="0"/>
    <x v="0"/>
  </r>
  <r>
    <x v="113"/>
    <n v="459190"/>
    <x v="0"/>
    <x v="0"/>
  </r>
  <r>
    <x v="113"/>
    <n v="356940"/>
    <x v="0"/>
    <x v="0"/>
  </r>
  <r>
    <x v="114"/>
    <n v="205260"/>
    <x v="0"/>
    <x v="0"/>
  </r>
  <r>
    <x v="114"/>
    <n v="397250"/>
    <x v="0"/>
    <x v="0"/>
  </r>
  <r>
    <x v="114"/>
    <n v="473010"/>
    <x v="0"/>
    <x v="0"/>
  </r>
  <r>
    <x v="115"/>
    <n v="497830"/>
    <x v="0"/>
    <x v="0"/>
  </r>
  <r>
    <x v="116"/>
    <n v="260110"/>
    <x v="0"/>
    <x v="0"/>
  </r>
  <r>
    <x v="117"/>
    <n v="270080"/>
    <x v="0"/>
    <x v="0"/>
  </r>
  <r>
    <x v="118"/>
    <n v="422330"/>
    <x v="0"/>
    <x v="0"/>
  </r>
  <r>
    <x v="119"/>
    <n v="252510"/>
    <x v="0"/>
    <x v="0"/>
  </r>
  <r>
    <x v="120"/>
    <n v="376120"/>
    <x v="0"/>
    <x v="0"/>
  </r>
  <r>
    <x v="120"/>
    <n v="367080"/>
    <x v="0"/>
    <x v="0"/>
  </r>
  <r>
    <x v="120"/>
    <n v="39110"/>
    <x v="0"/>
    <x v="0"/>
  </r>
  <r>
    <x v="121"/>
    <n v="246800"/>
    <x v="0"/>
    <x v="0"/>
  </r>
  <r>
    <x v="122"/>
    <n v="339230"/>
    <x v="0"/>
    <x v="0"/>
  </r>
  <r>
    <x v="122"/>
    <n v="359950"/>
    <x v="0"/>
    <x v="0"/>
  </r>
  <r>
    <x v="123"/>
    <n v="342950"/>
    <x v="0"/>
    <x v="0"/>
  </r>
  <r>
    <x v="123"/>
    <n v="406180"/>
    <x v="0"/>
    <x v="0"/>
  </r>
  <r>
    <x v="123"/>
    <n v="5702060"/>
    <x v="2"/>
    <x v="0"/>
  </r>
  <r>
    <x v="124"/>
    <n v="307890"/>
    <x v="0"/>
    <x v="0"/>
  </r>
  <r>
    <x v="124"/>
    <n v="391680"/>
    <x v="0"/>
    <x v="0"/>
  </r>
  <r>
    <x v="125"/>
    <n v="13558220"/>
    <x v="2"/>
    <x v="0"/>
  </r>
  <r>
    <x v="126"/>
    <n v="271590"/>
    <x v="0"/>
    <x v="0"/>
  </r>
  <r>
    <x v="127"/>
    <n v="334350"/>
    <x v="0"/>
    <x v="0"/>
  </r>
  <r>
    <x v="128"/>
    <n v="342230"/>
    <x v="0"/>
    <x v="0"/>
  </r>
  <r>
    <x v="128"/>
    <n v="352880"/>
    <x v="0"/>
    <x v="0"/>
  </r>
  <r>
    <x v="128"/>
    <n v="416270"/>
    <x v="0"/>
    <x v="0"/>
  </r>
  <r>
    <x v="128"/>
    <n v="430910"/>
    <x v="0"/>
    <x v="0"/>
  </r>
  <r>
    <x v="129"/>
    <n v="261940"/>
    <x v="0"/>
    <x v="0"/>
  </r>
  <r>
    <x v="129"/>
    <n v="221470"/>
    <x v="0"/>
    <x v="0"/>
  </r>
  <r>
    <x v="130"/>
    <n v="420990"/>
    <x v="0"/>
    <x v="0"/>
  </r>
  <r>
    <x v="131"/>
    <n v="2125810"/>
    <x v="0"/>
    <x v="0"/>
  </r>
  <r>
    <x v="132"/>
    <n v="460950"/>
    <x v="0"/>
    <x v="0"/>
  </r>
  <r>
    <x v="133"/>
    <n v="497450"/>
    <x v="0"/>
    <x v="0"/>
  </r>
  <r>
    <x v="133"/>
    <n v="325300"/>
    <x v="0"/>
    <x v="0"/>
  </r>
  <r>
    <x v="133"/>
    <n v="449520"/>
    <x v="0"/>
    <x v="0"/>
  </r>
  <r>
    <x v="134"/>
    <n v="237540"/>
    <x v="0"/>
    <x v="0"/>
  </r>
  <r>
    <x v="135"/>
    <n v="260730"/>
    <x v="0"/>
    <x v="0"/>
  </r>
  <r>
    <x v="136"/>
    <n v="369470"/>
    <x v="0"/>
    <x v="0"/>
  </r>
  <r>
    <x v="137"/>
    <n v="395500"/>
    <x v="0"/>
    <x v="0"/>
  </r>
  <r>
    <x v="137"/>
    <n v="374810"/>
    <x v="0"/>
    <x v="0"/>
  </r>
  <r>
    <x v="138"/>
    <n v="433570"/>
    <x v="0"/>
    <x v="0"/>
  </r>
  <r>
    <x v="139"/>
    <n v="302470"/>
    <x v="0"/>
    <x v="0"/>
  </r>
  <r>
    <x v="140"/>
    <n v="388980"/>
    <x v="0"/>
    <x v="0"/>
  </r>
  <r>
    <x v="140"/>
    <n v="21830"/>
    <x v="0"/>
    <x v="0"/>
  </r>
  <r>
    <x v="140"/>
    <n v="434470"/>
    <x v="0"/>
    <x v="0"/>
  </r>
  <r>
    <x v="141"/>
    <n v="359170"/>
    <x v="0"/>
    <x v="0"/>
  </r>
  <r>
    <x v="142"/>
    <n v="464740"/>
    <x v="0"/>
    <x v="0"/>
  </r>
  <r>
    <x v="143"/>
    <n v="343880"/>
    <x v="0"/>
    <x v="0"/>
  </r>
  <r>
    <x v="144"/>
    <n v="464470"/>
    <x v="0"/>
    <x v="0"/>
  </r>
  <r>
    <x v="145"/>
    <n v="207340"/>
    <x v="0"/>
    <x v="0"/>
  </r>
  <r>
    <x v="145"/>
    <n v="235030"/>
    <x v="0"/>
    <x v="0"/>
  </r>
  <r>
    <x v="145"/>
    <n v="289800"/>
    <x v="0"/>
    <x v="0"/>
  </r>
  <r>
    <x v="145"/>
    <n v="452530"/>
    <x v="0"/>
    <x v="0"/>
  </r>
  <r>
    <x v="146"/>
    <n v="461930"/>
    <x v="0"/>
    <x v="0"/>
  </r>
  <r>
    <x v="147"/>
    <n v="380650"/>
    <x v="0"/>
    <x v="0"/>
  </r>
  <r>
    <x v="148"/>
    <n v="362410"/>
    <x v="0"/>
    <x v="0"/>
  </r>
  <r>
    <x v="148"/>
    <n v="6899270"/>
    <x v="2"/>
    <x v="0"/>
  </r>
  <r>
    <x v="149"/>
    <n v="417340"/>
    <x v="0"/>
    <x v="0"/>
  </r>
  <r>
    <x v="150"/>
    <n v="214490"/>
    <x v="0"/>
    <x v="0"/>
  </r>
  <r>
    <x v="150"/>
    <n v="395980"/>
    <x v="0"/>
    <x v="0"/>
  </r>
  <r>
    <x v="151"/>
    <n v="278800"/>
    <x v="0"/>
    <x v="0"/>
  </r>
  <r>
    <x v="152"/>
    <n v="431320"/>
    <x v="0"/>
    <x v="0"/>
  </r>
  <r>
    <x v="153"/>
    <n v="216430"/>
    <x v="0"/>
    <x v="0"/>
  </r>
  <r>
    <x v="154"/>
    <n v="201920"/>
    <x v="0"/>
    <x v="0"/>
  </r>
  <r>
    <x v="154"/>
    <n v="383620"/>
    <x v="0"/>
    <x v="0"/>
  </r>
  <r>
    <x v="155"/>
    <n v="495540"/>
    <x v="0"/>
    <x v="0"/>
  </r>
  <r>
    <x v="156"/>
    <n v="285080"/>
    <x v="0"/>
    <x v="0"/>
  </r>
  <r>
    <x v="156"/>
    <n v="441790"/>
    <x v="0"/>
    <x v="0"/>
  </r>
  <r>
    <x v="157"/>
    <n v="339640"/>
    <x v="0"/>
    <x v="0"/>
  </r>
  <r>
    <x v="158"/>
    <n v="494660"/>
    <x v="0"/>
    <x v="0"/>
  </r>
  <r>
    <x v="158"/>
    <n v="463590"/>
    <x v="0"/>
    <x v="0"/>
  </r>
  <r>
    <x v="159"/>
    <n v="474470"/>
    <x v="0"/>
    <x v="0"/>
  </r>
  <r>
    <x v="160"/>
    <n v="236850"/>
    <x v="0"/>
    <x v="0"/>
  </r>
  <r>
    <x v="161"/>
    <n v="37380"/>
    <x v="0"/>
    <x v="0"/>
  </r>
  <r>
    <x v="162"/>
    <n v="474250"/>
    <x v="0"/>
    <x v="0"/>
  </r>
  <r>
    <x v="163"/>
    <n v="322680"/>
    <x v="0"/>
    <x v="0"/>
  </r>
  <r>
    <x v="163"/>
    <n v="245600"/>
    <x v="0"/>
    <x v="0"/>
  </r>
  <r>
    <x v="163"/>
    <n v="276510"/>
    <x v="0"/>
    <x v="0"/>
  </r>
  <r>
    <x v="164"/>
    <n v="290150"/>
    <x v="0"/>
    <x v="0"/>
  </r>
  <r>
    <x v="164"/>
    <n v="215830"/>
    <x v="0"/>
    <x v="0"/>
  </r>
  <r>
    <x v="165"/>
    <n v="310790"/>
    <x v="0"/>
    <x v="0"/>
  </r>
  <r>
    <x v="166"/>
    <n v="275200"/>
    <x v="0"/>
    <x v="0"/>
  </r>
  <r>
    <x v="167"/>
    <n v="347560"/>
    <x v="0"/>
    <x v="0"/>
  </r>
  <r>
    <x v="168"/>
    <n v="463330"/>
    <x v="0"/>
    <x v="0"/>
  </r>
  <r>
    <x v="169"/>
    <n v="237420"/>
    <x v="0"/>
    <x v="0"/>
  </r>
  <r>
    <x v="169"/>
    <n v="367870"/>
    <x v="0"/>
    <x v="0"/>
  </r>
  <r>
    <x v="170"/>
    <n v="10252420"/>
    <x v="2"/>
    <x v="1"/>
  </r>
  <r>
    <x v="171"/>
    <n v="277050"/>
    <x v="0"/>
    <x v="1"/>
  </r>
  <r>
    <x v="171"/>
    <n v="234800"/>
    <x v="0"/>
    <x v="1"/>
  </r>
  <r>
    <x v="172"/>
    <n v="491400"/>
    <x v="0"/>
    <x v="1"/>
  </r>
  <r>
    <x v="173"/>
    <n v="203540"/>
    <x v="0"/>
    <x v="1"/>
  </r>
  <r>
    <x v="174"/>
    <n v="255220"/>
    <x v="0"/>
    <x v="1"/>
  </r>
  <r>
    <x v="175"/>
    <n v="233510"/>
    <x v="0"/>
    <x v="1"/>
  </r>
  <r>
    <x v="175"/>
    <n v="287430"/>
    <x v="0"/>
    <x v="1"/>
  </r>
  <r>
    <x v="176"/>
    <n v="448190"/>
    <x v="0"/>
    <x v="1"/>
  </r>
  <r>
    <x v="176"/>
    <n v="443830"/>
    <x v="0"/>
    <x v="1"/>
  </r>
  <r>
    <x v="177"/>
    <n v="322290"/>
    <x v="0"/>
    <x v="1"/>
  </r>
  <r>
    <x v="177"/>
    <n v="202040"/>
    <x v="0"/>
    <x v="1"/>
  </r>
  <r>
    <x v="177"/>
    <n v="254090"/>
    <x v="0"/>
    <x v="1"/>
  </r>
  <r>
    <x v="177"/>
    <n v="449120"/>
    <x v="0"/>
    <x v="1"/>
  </r>
  <r>
    <x v="178"/>
    <n v="403890"/>
    <x v="0"/>
    <x v="1"/>
  </r>
  <r>
    <x v="179"/>
    <n v="284840"/>
    <x v="0"/>
    <x v="1"/>
  </r>
  <r>
    <x v="179"/>
    <n v="400460"/>
    <x v="0"/>
    <x v="1"/>
  </r>
  <r>
    <x v="180"/>
    <n v="281550"/>
    <x v="0"/>
    <x v="1"/>
  </r>
  <r>
    <x v="180"/>
    <n v="283210"/>
    <x v="0"/>
    <x v="1"/>
  </r>
  <r>
    <x v="181"/>
    <n v="277600"/>
    <x v="0"/>
    <x v="1"/>
  </r>
  <r>
    <x v="181"/>
    <n v="24700"/>
    <x v="0"/>
    <x v="1"/>
  </r>
  <r>
    <x v="181"/>
    <n v="449990"/>
    <x v="0"/>
    <x v="1"/>
  </r>
  <r>
    <x v="181"/>
    <n v="397160"/>
    <x v="0"/>
    <x v="1"/>
  </r>
  <r>
    <x v="182"/>
    <n v="428840"/>
    <x v="0"/>
    <x v="1"/>
  </r>
  <r>
    <x v="183"/>
    <n v="397150"/>
    <x v="0"/>
    <x v="1"/>
  </r>
  <r>
    <x v="183"/>
    <n v="413530"/>
    <x v="0"/>
    <x v="1"/>
  </r>
  <r>
    <x v="184"/>
    <n v="489190"/>
    <x v="0"/>
    <x v="1"/>
  </r>
  <r>
    <x v="185"/>
    <n v="274850"/>
    <x v="0"/>
    <x v="1"/>
  </r>
  <r>
    <x v="185"/>
    <n v="333930"/>
    <x v="0"/>
    <x v="1"/>
  </r>
  <r>
    <x v="185"/>
    <n v="330040"/>
    <x v="0"/>
    <x v="1"/>
  </r>
  <r>
    <x v="186"/>
    <n v="212740"/>
    <x v="0"/>
    <x v="1"/>
  </r>
  <r>
    <x v="187"/>
    <n v="229650"/>
    <x v="0"/>
    <x v="1"/>
  </r>
  <r>
    <x v="188"/>
    <n v="276090"/>
    <x v="0"/>
    <x v="1"/>
  </r>
  <r>
    <x v="188"/>
    <n v="250910"/>
    <x v="0"/>
    <x v="1"/>
  </r>
  <r>
    <x v="189"/>
    <n v="498030"/>
    <x v="0"/>
    <x v="1"/>
  </r>
  <r>
    <x v="190"/>
    <n v="258340"/>
    <x v="0"/>
    <x v="1"/>
  </r>
  <r>
    <x v="190"/>
    <n v="240520"/>
    <x v="0"/>
    <x v="1"/>
  </r>
  <r>
    <x v="191"/>
    <n v="403020"/>
    <x v="0"/>
    <x v="1"/>
  </r>
  <r>
    <x v="191"/>
    <n v="328460"/>
    <x v="0"/>
    <x v="1"/>
  </r>
  <r>
    <x v="192"/>
    <n v="321090"/>
    <x v="0"/>
    <x v="1"/>
  </r>
  <r>
    <x v="192"/>
    <n v="27380"/>
    <x v="0"/>
    <x v="1"/>
  </r>
  <r>
    <x v="193"/>
    <n v="494080"/>
    <x v="0"/>
    <x v="1"/>
  </r>
  <r>
    <x v="194"/>
    <n v="4279450"/>
    <x v="1"/>
    <x v="1"/>
  </r>
  <r>
    <x v="195"/>
    <n v="42630"/>
    <x v="0"/>
    <x v="1"/>
  </r>
  <r>
    <x v="195"/>
    <n v="491380"/>
    <x v="0"/>
    <x v="1"/>
  </r>
  <r>
    <x v="196"/>
    <n v="35080"/>
    <x v="0"/>
    <x v="1"/>
  </r>
  <r>
    <x v="197"/>
    <n v="33330"/>
    <x v="0"/>
    <x v="1"/>
  </r>
  <r>
    <x v="198"/>
    <n v="29410"/>
    <x v="0"/>
    <x v="1"/>
  </r>
  <r>
    <x v="198"/>
    <n v="488580"/>
    <x v="0"/>
    <x v="1"/>
  </r>
  <r>
    <x v="199"/>
    <n v="458040"/>
    <x v="0"/>
    <x v="1"/>
  </r>
  <r>
    <x v="200"/>
    <n v="31230"/>
    <x v="0"/>
    <x v="1"/>
  </r>
  <r>
    <x v="200"/>
    <n v="492890"/>
    <x v="0"/>
    <x v="1"/>
  </r>
  <r>
    <x v="201"/>
    <n v="4951880"/>
    <x v="1"/>
    <x v="1"/>
  </r>
  <r>
    <x v="202"/>
    <n v="422770"/>
    <x v="0"/>
    <x v="1"/>
  </r>
  <r>
    <x v="202"/>
    <n v="471550"/>
    <x v="0"/>
    <x v="1"/>
  </r>
  <r>
    <x v="203"/>
    <n v="493100"/>
    <x v="0"/>
    <x v="1"/>
  </r>
  <r>
    <x v="203"/>
    <n v="32770"/>
    <x v="0"/>
    <x v="1"/>
  </r>
  <r>
    <x v="204"/>
    <n v="33370"/>
    <x v="0"/>
    <x v="1"/>
  </r>
  <r>
    <x v="204"/>
    <n v="33290"/>
    <x v="0"/>
    <x v="1"/>
  </r>
  <r>
    <x v="204"/>
    <n v="31350"/>
    <x v="0"/>
    <x v="1"/>
  </r>
  <r>
    <x v="205"/>
    <n v="4062620"/>
    <x v="1"/>
    <x v="1"/>
  </r>
  <r>
    <x v="206"/>
    <n v="4672170"/>
    <x v="1"/>
    <x v="1"/>
  </r>
  <r>
    <x v="206"/>
    <n v="33750"/>
    <x v="0"/>
    <x v="1"/>
  </r>
  <r>
    <x v="206"/>
    <n v="31040"/>
    <x v="0"/>
    <x v="1"/>
  </r>
  <r>
    <x v="207"/>
    <n v="36470"/>
    <x v="0"/>
    <x v="1"/>
  </r>
  <r>
    <x v="207"/>
    <n v="31200"/>
    <x v="0"/>
    <x v="1"/>
  </r>
  <r>
    <x v="208"/>
    <n v="384050"/>
    <x v="0"/>
    <x v="1"/>
  </r>
  <r>
    <x v="208"/>
    <n v="487120"/>
    <x v="0"/>
    <x v="1"/>
  </r>
  <r>
    <x v="209"/>
    <n v="4611710"/>
    <x v="1"/>
    <x v="1"/>
  </r>
  <r>
    <x v="210"/>
    <n v="302270"/>
    <x v="0"/>
    <x v="1"/>
  </r>
  <r>
    <x v="210"/>
    <n v="255750"/>
    <x v="0"/>
    <x v="1"/>
  </r>
  <r>
    <x v="211"/>
    <n v="371830"/>
    <x v="0"/>
    <x v="1"/>
  </r>
  <r>
    <x v="211"/>
    <n v="493750"/>
    <x v="0"/>
    <x v="1"/>
  </r>
  <r>
    <x v="212"/>
    <n v="407360"/>
    <x v="0"/>
    <x v="1"/>
  </r>
  <r>
    <x v="212"/>
    <n v="262680"/>
    <x v="0"/>
    <x v="1"/>
  </r>
  <r>
    <x v="213"/>
    <n v="4080130"/>
    <x v="1"/>
    <x v="1"/>
  </r>
  <r>
    <x v="214"/>
    <n v="490650"/>
    <x v="0"/>
    <x v="1"/>
  </r>
  <r>
    <x v="215"/>
    <n v="262560"/>
    <x v="0"/>
    <x v="1"/>
  </r>
  <r>
    <x v="216"/>
    <n v="2262240"/>
    <x v="0"/>
    <x v="1"/>
  </r>
  <r>
    <x v="217"/>
    <n v="354620"/>
    <x v="0"/>
    <x v="1"/>
  </r>
  <r>
    <x v="218"/>
    <n v="346810"/>
    <x v="0"/>
    <x v="1"/>
  </r>
  <r>
    <x v="218"/>
    <n v="268040"/>
    <x v="0"/>
    <x v="1"/>
  </r>
  <r>
    <x v="219"/>
    <n v="447580"/>
    <x v="0"/>
    <x v="1"/>
  </r>
  <r>
    <x v="220"/>
    <n v="293240"/>
    <x v="0"/>
    <x v="1"/>
  </r>
  <r>
    <x v="221"/>
    <n v="455400"/>
    <x v="0"/>
    <x v="1"/>
  </r>
  <r>
    <x v="222"/>
    <n v="451620"/>
    <x v="0"/>
    <x v="1"/>
  </r>
  <r>
    <x v="222"/>
    <n v="253470"/>
    <x v="0"/>
    <x v="1"/>
  </r>
  <r>
    <x v="223"/>
    <n v="459760"/>
    <x v="0"/>
    <x v="1"/>
  </r>
  <r>
    <x v="223"/>
    <n v="334490"/>
    <x v="0"/>
    <x v="1"/>
  </r>
  <r>
    <x v="224"/>
    <n v="4330520"/>
    <x v="1"/>
    <x v="1"/>
  </r>
  <r>
    <x v="225"/>
    <n v="372550"/>
    <x v="0"/>
    <x v="1"/>
  </r>
  <r>
    <x v="226"/>
    <n v="218040"/>
    <x v="0"/>
    <x v="1"/>
  </r>
  <r>
    <x v="226"/>
    <n v="304750"/>
    <x v="0"/>
    <x v="1"/>
  </r>
  <r>
    <x v="227"/>
    <n v="4673740"/>
    <x v="1"/>
    <x v="1"/>
  </r>
  <r>
    <x v="228"/>
    <n v="223240"/>
    <x v="0"/>
    <x v="1"/>
  </r>
  <r>
    <x v="229"/>
    <n v="4880550"/>
    <x v="1"/>
    <x v="1"/>
  </r>
  <r>
    <x v="229"/>
    <n v="4982880"/>
    <x v="1"/>
    <x v="1"/>
  </r>
  <r>
    <x v="229"/>
    <n v="335690"/>
    <x v="0"/>
    <x v="1"/>
  </r>
  <r>
    <x v="230"/>
    <n v="337610"/>
    <x v="0"/>
    <x v="1"/>
  </r>
  <r>
    <x v="230"/>
    <n v="315160"/>
    <x v="0"/>
    <x v="1"/>
  </r>
  <r>
    <x v="231"/>
    <n v="258880"/>
    <x v="0"/>
    <x v="1"/>
  </r>
  <r>
    <x v="232"/>
    <n v="4879050"/>
    <x v="1"/>
    <x v="1"/>
  </r>
  <r>
    <x v="232"/>
    <n v="4517900"/>
    <x v="1"/>
    <x v="1"/>
  </r>
  <r>
    <x v="233"/>
    <n v="4059510"/>
    <x v="1"/>
    <x v="1"/>
  </r>
  <r>
    <x v="232"/>
    <n v="420600"/>
    <x v="0"/>
    <x v="1"/>
  </r>
  <r>
    <x v="234"/>
    <n v="247030"/>
    <x v="0"/>
    <x v="1"/>
  </r>
  <r>
    <x v="234"/>
    <n v="254270"/>
    <x v="0"/>
    <x v="1"/>
  </r>
  <r>
    <x v="234"/>
    <n v="344300"/>
    <x v="0"/>
    <x v="1"/>
  </r>
  <r>
    <x v="234"/>
    <n v="457400"/>
    <x v="0"/>
    <x v="1"/>
  </r>
  <r>
    <x v="235"/>
    <n v="314630"/>
    <x v="0"/>
    <x v="1"/>
  </r>
  <r>
    <x v="236"/>
    <n v="403900"/>
    <x v="0"/>
    <x v="1"/>
  </r>
  <r>
    <x v="237"/>
    <n v="318940"/>
    <x v="0"/>
    <x v="1"/>
  </r>
  <r>
    <x v="237"/>
    <n v="345820"/>
    <x v="0"/>
    <x v="1"/>
  </r>
  <r>
    <x v="237"/>
    <n v="475420"/>
    <x v="0"/>
    <x v="1"/>
  </r>
  <r>
    <x v="237"/>
    <n v="307180"/>
    <x v="0"/>
    <x v="1"/>
  </r>
  <r>
    <x v="237"/>
    <n v="337680"/>
    <x v="0"/>
    <x v="1"/>
  </r>
  <r>
    <x v="238"/>
    <n v="234720"/>
    <x v="0"/>
    <x v="1"/>
  </r>
  <r>
    <x v="239"/>
    <n v="4996140"/>
    <x v="1"/>
    <x v="1"/>
  </r>
  <r>
    <x v="239"/>
    <n v="214640"/>
    <x v="0"/>
    <x v="1"/>
  </r>
  <r>
    <x v="240"/>
    <n v="4211080"/>
    <x v="1"/>
    <x v="1"/>
  </r>
  <r>
    <x v="241"/>
    <n v="247860"/>
    <x v="0"/>
    <x v="1"/>
  </r>
  <r>
    <x v="242"/>
    <n v="229830"/>
    <x v="0"/>
    <x v="1"/>
  </r>
  <r>
    <x v="242"/>
    <n v="399460"/>
    <x v="0"/>
    <x v="1"/>
  </r>
  <r>
    <x v="243"/>
    <n v="352720"/>
    <x v="0"/>
    <x v="1"/>
  </r>
  <r>
    <x v="244"/>
    <n v="297520"/>
    <x v="0"/>
    <x v="1"/>
  </r>
  <r>
    <x v="244"/>
    <n v="4531660"/>
    <x v="1"/>
    <x v="1"/>
  </r>
  <r>
    <x v="244"/>
    <n v="471240"/>
    <x v="0"/>
    <x v="1"/>
  </r>
  <r>
    <x v="245"/>
    <n v="4229320"/>
    <x v="1"/>
    <x v="1"/>
  </r>
  <r>
    <x v="246"/>
    <n v="4620700"/>
    <x v="1"/>
    <x v="1"/>
  </r>
  <r>
    <x v="247"/>
    <n v="307480"/>
    <x v="0"/>
    <x v="1"/>
  </r>
  <r>
    <x v="247"/>
    <n v="423590"/>
    <x v="0"/>
    <x v="1"/>
  </r>
  <r>
    <x v="247"/>
    <n v="276420"/>
    <x v="0"/>
    <x v="1"/>
  </r>
  <r>
    <x v="247"/>
    <n v="270730"/>
    <x v="0"/>
    <x v="1"/>
  </r>
  <r>
    <x v="248"/>
    <n v="319200"/>
    <x v="0"/>
    <x v="1"/>
  </r>
  <r>
    <x v="249"/>
    <n v="4250210"/>
    <x v="1"/>
    <x v="1"/>
  </r>
  <r>
    <x v="250"/>
    <n v="338300"/>
    <x v="0"/>
    <x v="1"/>
  </r>
  <r>
    <x v="250"/>
    <n v="344160"/>
    <x v="0"/>
    <x v="1"/>
  </r>
  <r>
    <x v="251"/>
    <n v="41820"/>
    <x v="0"/>
    <x v="1"/>
  </r>
  <r>
    <x v="251"/>
    <n v="21320"/>
    <x v="0"/>
    <x v="1"/>
  </r>
  <r>
    <x v="252"/>
    <n v="35390"/>
    <x v="0"/>
    <x v="1"/>
  </r>
  <r>
    <x v="252"/>
    <n v="31300"/>
    <x v="0"/>
    <x v="1"/>
  </r>
  <r>
    <x v="249"/>
    <n v="33140"/>
    <x v="0"/>
    <x v="1"/>
  </r>
  <r>
    <x v="253"/>
    <n v="37350"/>
    <x v="0"/>
    <x v="1"/>
  </r>
  <r>
    <x v="254"/>
    <n v="34190"/>
    <x v="0"/>
    <x v="1"/>
  </r>
  <r>
    <x v="254"/>
    <n v="40780"/>
    <x v="0"/>
    <x v="1"/>
  </r>
  <r>
    <x v="254"/>
    <n v="31620"/>
    <x v="0"/>
    <x v="1"/>
  </r>
  <r>
    <x v="255"/>
    <n v="494490"/>
    <x v="0"/>
    <x v="1"/>
  </r>
  <r>
    <x v="256"/>
    <n v="4927020"/>
    <x v="1"/>
    <x v="1"/>
  </r>
  <r>
    <x v="255"/>
    <n v="31490"/>
    <x v="0"/>
    <x v="1"/>
  </r>
  <r>
    <x v="257"/>
    <n v="423580"/>
    <x v="0"/>
    <x v="1"/>
  </r>
  <r>
    <x v="257"/>
    <n v="30970"/>
    <x v="0"/>
    <x v="1"/>
  </r>
  <r>
    <x v="257"/>
    <n v="461700"/>
    <x v="0"/>
    <x v="1"/>
  </r>
  <r>
    <x v="258"/>
    <n v="40120"/>
    <x v="0"/>
    <x v="1"/>
  </r>
  <r>
    <x v="258"/>
    <n v="30120"/>
    <x v="0"/>
    <x v="1"/>
  </r>
  <r>
    <x v="259"/>
    <n v="13417040"/>
    <x v="2"/>
    <x v="1"/>
  </r>
  <r>
    <x v="259"/>
    <n v="6976300"/>
    <x v="2"/>
    <x v="1"/>
  </r>
  <r>
    <x v="260"/>
    <n v="274140"/>
    <x v="0"/>
    <x v="1"/>
  </r>
  <r>
    <x v="261"/>
    <n v="462050"/>
    <x v="0"/>
    <x v="1"/>
  </r>
  <r>
    <x v="261"/>
    <n v="297220"/>
    <x v="0"/>
    <x v="1"/>
  </r>
  <r>
    <x v="261"/>
    <n v="4002900"/>
    <x v="1"/>
    <x v="1"/>
  </r>
  <r>
    <x v="262"/>
    <n v="283880"/>
    <x v="0"/>
    <x v="1"/>
  </r>
  <r>
    <x v="263"/>
    <n v="221870"/>
    <x v="0"/>
    <x v="1"/>
  </r>
  <r>
    <x v="264"/>
    <n v="4728180"/>
    <x v="1"/>
    <x v="1"/>
  </r>
  <r>
    <x v="265"/>
    <n v="217350"/>
    <x v="0"/>
    <x v="1"/>
  </r>
  <r>
    <x v="265"/>
    <n v="377140"/>
    <x v="0"/>
    <x v="1"/>
  </r>
  <r>
    <x v="266"/>
    <n v="469720"/>
    <x v="0"/>
    <x v="1"/>
  </r>
  <r>
    <x v="267"/>
    <n v="309030"/>
    <x v="0"/>
    <x v="1"/>
  </r>
  <r>
    <x v="268"/>
    <n v="495900"/>
    <x v="0"/>
    <x v="1"/>
  </r>
  <r>
    <x v="268"/>
    <n v="247110"/>
    <x v="0"/>
    <x v="1"/>
  </r>
  <r>
    <x v="269"/>
    <n v="448830"/>
    <x v="0"/>
    <x v="1"/>
  </r>
  <r>
    <x v="270"/>
    <n v="4497060"/>
    <x v="1"/>
    <x v="1"/>
  </r>
  <r>
    <x v="271"/>
    <n v="377400"/>
    <x v="0"/>
    <x v="1"/>
  </r>
  <r>
    <x v="272"/>
    <n v="370800"/>
    <x v="0"/>
    <x v="1"/>
  </r>
  <r>
    <x v="273"/>
    <n v="4648620"/>
    <x v="1"/>
    <x v="1"/>
  </r>
  <r>
    <x v="274"/>
    <n v="4232840"/>
    <x v="1"/>
    <x v="1"/>
  </r>
  <r>
    <x v="275"/>
    <n v="347860"/>
    <x v="0"/>
    <x v="1"/>
  </r>
  <r>
    <x v="274"/>
    <n v="342020"/>
    <x v="0"/>
    <x v="1"/>
  </r>
  <r>
    <x v="276"/>
    <n v="460310"/>
    <x v="0"/>
    <x v="1"/>
  </r>
  <r>
    <x v="277"/>
    <n v="270810"/>
    <x v="0"/>
    <x v="1"/>
  </r>
  <r>
    <x v="278"/>
    <n v="386860"/>
    <x v="0"/>
    <x v="1"/>
  </r>
  <r>
    <x v="279"/>
    <n v="263750"/>
    <x v="0"/>
    <x v="1"/>
  </r>
  <r>
    <x v="279"/>
    <n v="319680"/>
    <x v="0"/>
    <x v="1"/>
  </r>
  <r>
    <x v="280"/>
    <n v="471860"/>
    <x v="0"/>
    <x v="1"/>
  </r>
  <r>
    <x v="281"/>
    <n v="290660"/>
    <x v="0"/>
    <x v="1"/>
  </r>
  <r>
    <x v="281"/>
    <n v="300150"/>
    <x v="0"/>
    <x v="1"/>
  </r>
  <r>
    <x v="282"/>
    <n v="236150"/>
    <x v="0"/>
    <x v="1"/>
  </r>
  <r>
    <x v="283"/>
    <n v="484220"/>
    <x v="0"/>
    <x v="1"/>
  </r>
  <r>
    <x v="284"/>
    <n v="255870"/>
    <x v="0"/>
    <x v="1"/>
  </r>
  <r>
    <x v="284"/>
    <n v="347200"/>
    <x v="0"/>
    <x v="1"/>
  </r>
  <r>
    <x v="285"/>
    <n v="445290"/>
    <x v="0"/>
    <x v="1"/>
  </r>
  <r>
    <x v="286"/>
    <n v="383380"/>
    <x v="0"/>
    <x v="1"/>
  </r>
  <r>
    <x v="286"/>
    <n v="457640"/>
    <x v="0"/>
    <x v="1"/>
  </r>
  <r>
    <x v="287"/>
    <n v="303020"/>
    <x v="0"/>
    <x v="1"/>
  </r>
  <r>
    <x v="288"/>
    <n v="207730"/>
    <x v="0"/>
    <x v="1"/>
  </r>
  <r>
    <x v="288"/>
    <n v="308420"/>
    <x v="0"/>
    <x v="1"/>
  </r>
  <r>
    <x v="289"/>
    <n v="408590"/>
    <x v="0"/>
    <x v="1"/>
  </r>
  <r>
    <x v="289"/>
    <n v="438200"/>
    <x v="0"/>
    <x v="1"/>
  </r>
  <r>
    <x v="289"/>
    <n v="336050"/>
    <x v="0"/>
    <x v="1"/>
  </r>
  <r>
    <x v="290"/>
    <n v="454830"/>
    <x v="0"/>
    <x v="1"/>
  </r>
  <r>
    <x v="290"/>
    <n v="491000"/>
    <x v="0"/>
    <x v="1"/>
  </r>
  <r>
    <x v="291"/>
    <n v="415680"/>
    <x v="0"/>
    <x v="1"/>
  </r>
  <r>
    <x v="291"/>
    <n v="374850"/>
    <x v="0"/>
    <x v="1"/>
  </r>
  <r>
    <x v="291"/>
    <n v="325900"/>
    <x v="0"/>
    <x v="1"/>
  </r>
  <r>
    <x v="292"/>
    <n v="356110"/>
    <x v="0"/>
    <x v="1"/>
  </r>
  <r>
    <x v="293"/>
    <n v="419000"/>
    <x v="0"/>
    <x v="1"/>
  </r>
  <r>
    <x v="294"/>
    <n v="356860"/>
    <x v="0"/>
    <x v="1"/>
  </r>
  <r>
    <x v="295"/>
    <n v="491750"/>
    <x v="0"/>
    <x v="1"/>
  </r>
  <r>
    <x v="296"/>
    <n v="479490"/>
    <x v="0"/>
    <x v="1"/>
  </r>
  <r>
    <x v="296"/>
    <n v="4817700"/>
    <x v="1"/>
    <x v="1"/>
  </r>
  <r>
    <x v="297"/>
    <n v="314800"/>
    <x v="0"/>
    <x v="1"/>
  </r>
  <r>
    <x v="298"/>
    <n v="357640"/>
    <x v="0"/>
    <x v="1"/>
  </r>
  <r>
    <x v="298"/>
    <n v="450470"/>
    <x v="0"/>
    <x v="1"/>
  </r>
  <r>
    <x v="299"/>
    <n v="4275330"/>
    <x v="1"/>
    <x v="1"/>
  </r>
  <r>
    <x v="298"/>
    <n v="425000"/>
    <x v="0"/>
    <x v="1"/>
  </r>
  <r>
    <x v="300"/>
    <n v="399870"/>
    <x v="0"/>
    <x v="1"/>
  </r>
  <r>
    <x v="301"/>
    <n v="462420"/>
    <x v="0"/>
    <x v="1"/>
  </r>
  <r>
    <x v="302"/>
    <n v="4441560"/>
    <x v="1"/>
    <x v="1"/>
  </r>
  <r>
    <x v="303"/>
    <n v="473280"/>
    <x v="0"/>
    <x v="1"/>
  </r>
  <r>
    <x v="303"/>
    <n v="408230"/>
    <x v="0"/>
    <x v="1"/>
  </r>
  <r>
    <x v="304"/>
    <n v="331750"/>
    <x v="0"/>
    <x v="1"/>
  </r>
  <r>
    <x v="305"/>
    <n v="223880"/>
    <x v="0"/>
    <x v="1"/>
  </r>
  <r>
    <x v="306"/>
    <n v="12222570"/>
    <x v="2"/>
    <x v="1"/>
  </r>
  <r>
    <x v="307"/>
    <n v="285500"/>
    <x v="0"/>
    <x v="1"/>
  </r>
  <r>
    <x v="307"/>
    <n v="302180"/>
    <x v="0"/>
    <x v="1"/>
  </r>
  <r>
    <x v="308"/>
    <n v="367010"/>
    <x v="0"/>
    <x v="1"/>
  </r>
  <r>
    <x v="308"/>
    <n v="26260"/>
    <x v="0"/>
    <x v="1"/>
  </r>
  <r>
    <x v="309"/>
    <n v="39590"/>
    <x v="0"/>
    <x v="1"/>
  </r>
  <r>
    <x v="309"/>
    <n v="24260"/>
    <x v="0"/>
    <x v="1"/>
  </r>
  <r>
    <x v="310"/>
    <n v="25240"/>
    <x v="0"/>
    <x v="1"/>
  </r>
  <r>
    <x v="310"/>
    <n v="445560"/>
    <x v="0"/>
    <x v="1"/>
  </r>
  <r>
    <x v="311"/>
    <n v="2159450"/>
    <x v="0"/>
    <x v="1"/>
  </r>
  <r>
    <x v="312"/>
    <n v="15810"/>
    <x v="0"/>
    <x v="1"/>
  </r>
  <r>
    <x v="313"/>
    <n v="4050320"/>
    <x v="1"/>
    <x v="1"/>
  </r>
  <r>
    <x v="314"/>
    <n v="476400"/>
    <x v="0"/>
    <x v="1"/>
  </r>
  <r>
    <x v="315"/>
    <n v="24170"/>
    <x v="0"/>
    <x v="1"/>
  </r>
  <r>
    <x v="316"/>
    <n v="230900"/>
    <x v="0"/>
    <x v="1"/>
  </r>
  <r>
    <x v="316"/>
    <n v="245870"/>
    <x v="0"/>
    <x v="1"/>
  </r>
  <r>
    <x v="317"/>
    <n v="258400"/>
    <x v="0"/>
    <x v="1"/>
  </r>
  <r>
    <x v="318"/>
    <n v="391470"/>
    <x v="0"/>
    <x v="1"/>
  </r>
  <r>
    <x v="319"/>
    <n v="4463340"/>
    <x v="1"/>
    <x v="1"/>
  </r>
  <r>
    <x v="320"/>
    <n v="446670"/>
    <x v="0"/>
    <x v="1"/>
  </r>
  <r>
    <x v="320"/>
    <n v="284960"/>
    <x v="0"/>
    <x v="1"/>
  </r>
  <r>
    <x v="320"/>
    <n v="444500"/>
    <x v="0"/>
    <x v="1"/>
  </r>
  <r>
    <x v="320"/>
    <n v="373180"/>
    <x v="0"/>
    <x v="1"/>
  </r>
  <r>
    <x v="320"/>
    <n v="215460"/>
    <x v="0"/>
    <x v="1"/>
  </r>
  <r>
    <x v="321"/>
    <n v="231820"/>
    <x v="0"/>
    <x v="1"/>
  </r>
  <r>
    <x v="321"/>
    <n v="433600"/>
    <x v="0"/>
    <x v="1"/>
  </r>
  <r>
    <x v="321"/>
    <n v="6302410"/>
    <x v="2"/>
    <x v="1"/>
  </r>
  <r>
    <x v="320"/>
    <n v="4918360"/>
    <x v="1"/>
    <x v="1"/>
  </r>
  <r>
    <x v="322"/>
    <n v="488690"/>
    <x v="0"/>
    <x v="1"/>
  </r>
  <r>
    <x v="323"/>
    <n v="415690"/>
    <x v="0"/>
    <x v="1"/>
  </r>
  <r>
    <x v="324"/>
    <n v="497220"/>
    <x v="0"/>
    <x v="1"/>
  </r>
  <r>
    <x v="325"/>
    <n v="273650"/>
    <x v="0"/>
    <x v="1"/>
  </r>
  <r>
    <x v="325"/>
    <n v="430300"/>
    <x v="0"/>
    <x v="1"/>
  </r>
  <r>
    <x v="326"/>
    <n v="4924520"/>
    <x v="1"/>
    <x v="1"/>
  </r>
  <r>
    <x v="324"/>
    <n v="4823470"/>
    <x v="1"/>
    <x v="1"/>
  </r>
  <r>
    <x v="327"/>
    <n v="206810"/>
    <x v="0"/>
    <x v="1"/>
  </r>
  <r>
    <x v="328"/>
    <n v="434540"/>
    <x v="0"/>
    <x v="1"/>
  </r>
  <r>
    <x v="328"/>
    <n v="386590"/>
    <x v="0"/>
    <x v="1"/>
  </r>
  <r>
    <x v="329"/>
    <n v="250140"/>
    <x v="0"/>
    <x v="1"/>
  </r>
  <r>
    <x v="330"/>
    <n v="282660"/>
    <x v="0"/>
    <x v="1"/>
  </r>
  <r>
    <x v="330"/>
    <n v="501580"/>
    <x v="0"/>
    <x v="1"/>
  </r>
  <r>
    <x v="331"/>
    <n v="486120"/>
    <x v="0"/>
    <x v="1"/>
  </r>
  <r>
    <x v="331"/>
    <n v="448080"/>
    <x v="0"/>
    <x v="1"/>
  </r>
  <r>
    <x v="332"/>
    <n v="4363500"/>
    <x v="1"/>
    <x v="1"/>
  </r>
  <r>
    <x v="333"/>
    <n v="210400"/>
    <x v="0"/>
    <x v="1"/>
  </r>
  <r>
    <x v="334"/>
    <n v="208970"/>
    <x v="0"/>
    <x v="1"/>
  </r>
  <r>
    <x v="335"/>
    <n v="338270"/>
    <x v="0"/>
    <x v="1"/>
  </r>
  <r>
    <x v="335"/>
    <n v="373910"/>
    <x v="0"/>
    <x v="1"/>
  </r>
  <r>
    <x v="335"/>
    <n v="462870"/>
    <x v="0"/>
    <x v="1"/>
  </r>
  <r>
    <x v="336"/>
    <n v="352840"/>
    <x v="0"/>
    <x v="1"/>
  </r>
  <r>
    <x v="336"/>
    <n v="303440"/>
    <x v="0"/>
    <x v="1"/>
  </r>
  <r>
    <x v="337"/>
    <n v="492290"/>
    <x v="0"/>
    <x v="1"/>
  </r>
  <r>
    <x v="337"/>
    <n v="307090"/>
    <x v="0"/>
    <x v="1"/>
  </r>
  <r>
    <x v="338"/>
    <n v="4847720"/>
    <x v="1"/>
    <x v="1"/>
  </r>
  <r>
    <x v="339"/>
    <n v="434150"/>
    <x v="0"/>
    <x v="1"/>
  </r>
  <r>
    <x v="340"/>
    <n v="220400"/>
    <x v="0"/>
    <x v="1"/>
  </r>
  <r>
    <x v="341"/>
    <n v="35350"/>
    <x v="0"/>
    <x v="1"/>
  </r>
  <r>
    <x v="342"/>
    <n v="461940"/>
    <x v="0"/>
    <x v="1"/>
  </r>
  <r>
    <x v="342"/>
    <n v="36930"/>
    <x v="0"/>
    <x v="1"/>
  </r>
  <r>
    <x v="343"/>
    <n v="4651520"/>
    <x v="1"/>
    <x v="1"/>
  </r>
  <r>
    <x v="344"/>
    <n v="23120"/>
    <x v="0"/>
    <x v="1"/>
  </r>
  <r>
    <x v="345"/>
    <n v="427480"/>
    <x v="0"/>
    <x v="1"/>
  </r>
  <r>
    <x v="345"/>
    <n v="29260"/>
    <x v="0"/>
    <x v="1"/>
  </r>
  <r>
    <x v="345"/>
    <n v="6181180"/>
    <x v="2"/>
    <x v="1"/>
  </r>
  <r>
    <x v="343"/>
    <n v="41050"/>
    <x v="0"/>
    <x v="1"/>
  </r>
  <r>
    <x v="343"/>
    <n v="470540"/>
    <x v="0"/>
    <x v="1"/>
  </r>
  <r>
    <x v="346"/>
    <n v="37310"/>
    <x v="0"/>
    <x v="1"/>
  </r>
  <r>
    <x v="347"/>
    <n v="4724620"/>
    <x v="1"/>
    <x v="1"/>
  </r>
  <r>
    <x v="347"/>
    <n v="33250"/>
    <x v="0"/>
    <x v="1"/>
  </r>
  <r>
    <x v="348"/>
    <n v="41260"/>
    <x v="0"/>
    <x v="1"/>
  </r>
  <r>
    <x v="349"/>
    <n v="375630"/>
    <x v="0"/>
    <x v="1"/>
  </r>
  <r>
    <x v="350"/>
    <n v="258730"/>
    <x v="0"/>
    <x v="1"/>
  </r>
  <r>
    <x v="351"/>
    <n v="474250"/>
    <x v="0"/>
    <x v="1"/>
  </r>
  <r>
    <x v="352"/>
    <n v="469070"/>
    <x v="0"/>
    <x v="1"/>
  </r>
  <r>
    <x v="352"/>
    <n v="374000"/>
    <x v="0"/>
    <x v="1"/>
  </r>
  <r>
    <x v="353"/>
    <n v="309640"/>
    <x v="0"/>
    <x v="1"/>
  </r>
  <r>
    <x v="353"/>
    <n v="334090"/>
    <x v="0"/>
    <x v="1"/>
  </r>
  <r>
    <x v="354"/>
    <n v="390070"/>
    <x v="0"/>
    <x v="1"/>
  </r>
  <r>
    <x v="355"/>
    <n v="493930"/>
    <x v="0"/>
    <x v="1"/>
  </r>
  <r>
    <x v="355"/>
    <n v="331430"/>
    <x v="0"/>
    <x v="1"/>
  </r>
  <r>
    <x v="356"/>
    <n v="214780"/>
    <x v="0"/>
    <x v="1"/>
  </r>
  <r>
    <x v="356"/>
    <n v="391210"/>
    <x v="0"/>
    <x v="1"/>
  </r>
  <r>
    <x v="357"/>
    <n v="375580"/>
    <x v="0"/>
    <x v="1"/>
  </r>
  <r>
    <x v="358"/>
    <n v="42400"/>
    <x v="0"/>
    <x v="1"/>
  </r>
  <r>
    <x v="359"/>
    <n v="36250"/>
    <x v="0"/>
    <x v="1"/>
  </r>
  <r>
    <x v="359"/>
    <n v="36140"/>
    <x v="0"/>
    <x v="1"/>
  </r>
  <r>
    <x v="360"/>
    <n v="49630"/>
    <x v="0"/>
    <x v="1"/>
  </r>
  <r>
    <x v="361"/>
    <n v="37690"/>
    <x v="0"/>
    <x v="1"/>
  </r>
  <r>
    <x v="361"/>
    <n v="28720"/>
    <x v="0"/>
    <x v="1"/>
  </r>
  <r>
    <x v="362"/>
    <n v="28380"/>
    <x v="0"/>
    <x v="1"/>
  </r>
  <r>
    <x v="363"/>
    <n v="25650"/>
    <x v="0"/>
    <x v="1"/>
  </r>
  <r>
    <x v="363"/>
    <n v="40930"/>
    <x v="0"/>
    <x v="1"/>
  </r>
  <r>
    <x v="364"/>
    <n v="29840"/>
    <x v="0"/>
    <x v="1"/>
  </r>
  <r>
    <x v="365"/>
    <n v="328880"/>
    <x v="0"/>
    <x v="1"/>
  </r>
  <r>
    <x v="365"/>
    <n v="4474800"/>
    <x v="1"/>
    <x v="1"/>
  </r>
  <r>
    <x v="366"/>
    <n v="226040"/>
    <x v="0"/>
    <x v="1"/>
  </r>
  <r>
    <x v="366"/>
    <n v="287210"/>
    <x v="0"/>
    <x v="1"/>
  </r>
  <r>
    <x v="367"/>
    <n v="44400"/>
    <x v="0"/>
    <x v="1"/>
  </r>
  <r>
    <x v="368"/>
    <n v="364910"/>
    <x v="0"/>
    <x v="1"/>
  </r>
  <r>
    <x v="368"/>
    <n v="372850"/>
    <x v="0"/>
    <x v="1"/>
  </r>
  <r>
    <x v="368"/>
    <n v="2734330"/>
    <x v="0"/>
    <x v="1"/>
  </r>
  <r>
    <x v="368"/>
    <n v="252560"/>
    <x v="0"/>
    <x v="1"/>
  </r>
  <r>
    <x v="368"/>
    <n v="464250"/>
    <x v="0"/>
    <x v="1"/>
  </r>
  <r>
    <x v="369"/>
    <n v="314240"/>
    <x v="0"/>
    <x v="1"/>
  </r>
  <r>
    <x v="370"/>
    <n v="400060"/>
    <x v="0"/>
    <x v="1"/>
  </r>
  <r>
    <x v="371"/>
    <n v="353670"/>
    <x v="0"/>
    <x v="1"/>
  </r>
  <r>
    <x v="372"/>
    <n v="333210"/>
    <x v="0"/>
    <x v="1"/>
  </r>
  <r>
    <x v="373"/>
    <n v="319140"/>
    <x v="0"/>
    <x v="1"/>
  </r>
  <r>
    <x v="373"/>
    <n v="242190"/>
    <x v="0"/>
    <x v="1"/>
  </r>
  <r>
    <x v="374"/>
    <n v="213860"/>
    <x v="0"/>
    <x v="1"/>
  </r>
  <r>
    <x v="374"/>
    <n v="371640"/>
    <x v="0"/>
    <x v="1"/>
  </r>
  <r>
    <x v="374"/>
    <n v="340200"/>
    <x v="0"/>
    <x v="1"/>
  </r>
  <r>
    <x v="374"/>
    <n v="28400"/>
    <x v="0"/>
    <x v="1"/>
  </r>
  <r>
    <x v="374"/>
    <n v="339620"/>
    <x v="0"/>
    <x v="1"/>
  </r>
  <r>
    <x v="375"/>
    <n v="323830"/>
    <x v="0"/>
    <x v="1"/>
  </r>
  <r>
    <x v="376"/>
    <n v="37950"/>
    <x v="0"/>
    <x v="1"/>
  </r>
  <r>
    <x v="377"/>
    <n v="316680"/>
    <x v="0"/>
    <x v="1"/>
  </r>
  <r>
    <x v="378"/>
    <n v="455120"/>
    <x v="0"/>
    <x v="1"/>
  </r>
  <r>
    <x v="378"/>
    <n v="34770"/>
    <x v="0"/>
    <x v="1"/>
  </r>
  <r>
    <x v="378"/>
    <n v="496440"/>
    <x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00">
  <r>
    <n v="1"/>
    <s v="2021O81900"/>
    <n v="20211"/>
    <s v="CC272485"/>
    <s v="C205"/>
    <d v="2020-04-01T00:00:00"/>
    <d v="1899-12-30T10:30:30"/>
    <s v="Apr"/>
    <n v="483830"/>
    <s v="INR"/>
    <n v="86580"/>
    <x v="0"/>
    <x v="0"/>
    <s v="NA"/>
    <s v="NA"/>
    <s v="Wednesday"/>
    <s v="Within"/>
    <x v="0"/>
    <x v="0"/>
    <s v="Apr"/>
    <x v="0"/>
  </r>
  <r>
    <n v="2"/>
    <s v="2021M11625"/>
    <n v="20212"/>
    <s v="CC889281"/>
    <s v="C219"/>
    <d v="2020-04-03T00:00:00"/>
    <d v="1899-12-30T10:06:48"/>
    <s v="Apr"/>
    <n v="462100"/>
    <s v="INR"/>
    <n v="82980"/>
    <x v="1"/>
    <x v="1"/>
    <s v="NA"/>
    <s v="NA"/>
    <s v="Friday"/>
    <s v="Within"/>
    <x v="0"/>
    <x v="0"/>
    <s v="Apr"/>
    <x v="0"/>
  </r>
  <r>
    <n v="3"/>
    <s v="2021S01216"/>
    <n v="20213"/>
    <s v="CC738783"/>
    <s v="C224"/>
    <d v="2020-04-03T00:00:00"/>
    <d v="1899-12-30T11:51:05"/>
    <s v="Apr"/>
    <n v="372600"/>
    <s v="INR"/>
    <n v="66960"/>
    <x v="2"/>
    <x v="1"/>
    <s v="NA"/>
    <s v="NA"/>
    <s v="Friday"/>
    <s v="Within"/>
    <x v="0"/>
    <x v="0"/>
    <s v="Apr"/>
    <x v="0"/>
  </r>
  <r>
    <n v="4"/>
    <s v="2021V81178"/>
    <n v="20214"/>
    <s v="CC797872"/>
    <s v="C224"/>
    <d v="2020-04-04T00:00:00"/>
    <d v="1899-12-30T17:50:12"/>
    <s v="Apr"/>
    <n v="34370"/>
    <s v="INR"/>
    <n v="6120"/>
    <x v="3"/>
    <x v="2"/>
    <s v="NA"/>
    <s v="NA"/>
    <s v="Saturday"/>
    <s v="Within"/>
    <x v="0"/>
    <x v="0"/>
    <s v="Apr"/>
    <x v="0"/>
  </r>
  <r>
    <n v="5"/>
    <s v="2021C71611"/>
    <n v="20215"/>
    <s v="CC636860"/>
    <s v="C212"/>
    <d v="2020-04-04T00:00:00"/>
    <d v="1899-12-30T13:25:39"/>
    <s v="Apr"/>
    <n v="24190"/>
    <s v="INR"/>
    <n v="3960"/>
    <x v="4"/>
    <x v="3"/>
    <s v="NA"/>
    <s v="NA"/>
    <s v="Saturday"/>
    <s v="Within"/>
    <x v="0"/>
    <x v="0"/>
    <s v="Apr"/>
    <x v="0"/>
  </r>
  <r>
    <n v="6"/>
    <s v="2021A01928"/>
    <n v="20216"/>
    <s v="CC369548"/>
    <s v="C213"/>
    <d v="2020-04-04T00:00:00"/>
    <d v="1899-12-30T13:25:11"/>
    <s v="Apr"/>
    <n v="4841510"/>
    <s v="INR"/>
    <n v="871380"/>
    <x v="5"/>
    <x v="4"/>
    <s v="NA"/>
    <s v="NA"/>
    <s v="Saturday"/>
    <s v="Within"/>
    <x v="0"/>
    <x v="0"/>
    <s v="Apr"/>
    <x v="0"/>
  </r>
  <r>
    <n v="7"/>
    <s v="2021M21757"/>
    <n v="20217"/>
    <s v="CC408705"/>
    <s v="C228"/>
    <d v="2020-04-04T00:00:00"/>
    <d v="1899-12-30T16:07:10"/>
    <s v="Apr"/>
    <n v="469180"/>
    <s v="INR"/>
    <n v="84420"/>
    <x v="6"/>
    <x v="5"/>
    <s v="NA"/>
    <s v="NA"/>
    <s v="Saturday"/>
    <s v="Within"/>
    <x v="0"/>
    <x v="0"/>
    <s v="Apr"/>
    <x v="0"/>
  </r>
  <r>
    <n v="8"/>
    <s v="2021U21062"/>
    <n v="20218"/>
    <s v="CC396439"/>
    <s v="C242"/>
    <d v="2020-04-07T00:00:00"/>
    <d v="1899-12-30T10:27:38"/>
    <s v="Apr"/>
    <n v="480710"/>
    <s v="INR"/>
    <n v="86040"/>
    <x v="7"/>
    <x v="6"/>
    <s v="NA"/>
    <s v="NA"/>
    <s v="Tuesday"/>
    <s v="Within"/>
    <x v="0"/>
    <x v="0"/>
    <s v="Apr"/>
    <x v="0"/>
  </r>
  <r>
    <n v="9"/>
    <s v="2021G01389"/>
    <n v="20219"/>
    <s v="CC369136"/>
    <s v="C226"/>
    <d v="2020-04-08T00:00:00"/>
    <d v="1899-12-30T13:33:47"/>
    <s v="Apr"/>
    <n v="343170"/>
    <s v="INR"/>
    <n v="61560"/>
    <x v="0"/>
    <x v="1"/>
    <s v="NA"/>
    <s v="NA"/>
    <s v="Wednesday"/>
    <s v="Within"/>
    <x v="0"/>
    <x v="0"/>
    <s v="Apr"/>
    <x v="0"/>
  </r>
  <r>
    <n v="10"/>
    <s v="2021O11170"/>
    <n v="202110"/>
    <s v="CC935141"/>
    <s v="C202"/>
    <d v="2020-04-09T00:00:00"/>
    <d v="1899-12-30T12:21:29"/>
    <s v="Apr"/>
    <n v="474940"/>
    <s v="INR"/>
    <n v="85320"/>
    <x v="8"/>
    <x v="1"/>
    <s v="NA"/>
    <s v="NA"/>
    <s v="Thursday"/>
    <s v="Within"/>
    <x v="0"/>
    <x v="0"/>
    <s v="Apr"/>
    <x v="0"/>
  </r>
  <r>
    <n v="11"/>
    <s v="2021H71183"/>
    <n v="202111"/>
    <s v="CC981153"/>
    <s v="C221"/>
    <d v="2020-04-11T00:00:00"/>
    <d v="1899-12-30T15:34:12"/>
    <s v="Apr"/>
    <n v="50900"/>
    <s v="INR"/>
    <n v="8640"/>
    <x v="4"/>
    <x v="7"/>
    <s v="NA"/>
    <s v="NA"/>
    <s v="Saturday"/>
    <s v="Within"/>
    <x v="0"/>
    <x v="0"/>
    <s v="Apr"/>
    <x v="0"/>
  </r>
  <r>
    <n v="12"/>
    <s v="2021A91066"/>
    <n v="202112"/>
    <s v="CC263159"/>
    <s v="C233"/>
    <d v="2020-04-16T00:00:00"/>
    <d v="1899-12-30T17:03:02"/>
    <s v="Apr"/>
    <n v="335080"/>
    <s v="INR"/>
    <n v="60120"/>
    <x v="1"/>
    <x v="1"/>
    <s v="NA"/>
    <s v="NA"/>
    <s v="Thursday"/>
    <s v="Within"/>
    <x v="0"/>
    <x v="0"/>
    <s v="Apr"/>
    <x v="0"/>
  </r>
  <r>
    <n v="13"/>
    <s v="2021X11623"/>
    <n v="202113"/>
    <s v="CC873915"/>
    <s v="C230"/>
    <d v="2020-04-18T00:00:00"/>
    <d v="1899-12-30T14:52:22"/>
    <s v="Apr"/>
    <n v="501490"/>
    <s v="INR"/>
    <n v="90000"/>
    <x v="9"/>
    <x v="8"/>
    <s v="NA"/>
    <s v="NA"/>
    <s v="Saturday"/>
    <s v="Within"/>
    <x v="0"/>
    <x v="0"/>
    <s v="Apr"/>
    <x v="0"/>
  </r>
  <r>
    <n v="14"/>
    <s v="2021Z81129"/>
    <n v="202114"/>
    <s v="CC751346"/>
    <s v="C246"/>
    <d v="2020-04-21T00:00:00"/>
    <d v="1899-12-30T14:33:01"/>
    <s v="Apr"/>
    <n v="209260"/>
    <s v="INR"/>
    <n v="37440"/>
    <x v="6"/>
    <x v="1"/>
    <s v="NA"/>
    <s v="NA"/>
    <s v="Tuesday"/>
    <s v="Within"/>
    <x v="0"/>
    <x v="0"/>
    <s v="Apr"/>
    <x v="0"/>
  </r>
  <r>
    <n v="15"/>
    <s v="2021O41861"/>
    <n v="202115"/>
    <s v="CC347642"/>
    <s v="C230"/>
    <d v="2020-04-21T00:00:00"/>
    <d v="1899-12-30T14:26:26"/>
    <s v="Apr"/>
    <n v="317130"/>
    <s v="INR"/>
    <n v="56880"/>
    <x v="2"/>
    <x v="1"/>
    <s v="NA"/>
    <s v="NA"/>
    <s v="Tuesday"/>
    <s v="Within"/>
    <x v="0"/>
    <x v="0"/>
    <s v="Apr"/>
    <x v="0"/>
  </r>
  <r>
    <n v="16"/>
    <s v="2021H11671"/>
    <n v="202116"/>
    <s v="CC988247"/>
    <s v="C235"/>
    <d v="2020-04-22T00:00:00"/>
    <d v="1899-12-30T13:44:11"/>
    <s v="Apr"/>
    <n v="42850"/>
    <s v="INR"/>
    <n v="7200"/>
    <x v="10"/>
    <x v="9"/>
    <s v="NA"/>
    <s v="NA"/>
    <s v="Wednesday"/>
    <s v="Within"/>
    <x v="0"/>
    <x v="0"/>
    <s v="Apr"/>
    <x v="0"/>
  </r>
  <r>
    <n v="17"/>
    <s v="2021B31198"/>
    <n v="202117"/>
    <s v="CC767658"/>
    <s v="C223"/>
    <d v="2020-04-24T00:00:00"/>
    <d v="1899-12-30T15:26:07"/>
    <s v="Apr"/>
    <n v="477910"/>
    <s v="INR"/>
    <n v="85860"/>
    <x v="7"/>
    <x v="5"/>
    <s v="NA"/>
    <s v="NA"/>
    <s v="Friday"/>
    <s v="Within"/>
    <x v="0"/>
    <x v="0"/>
    <s v="Apr"/>
    <x v="0"/>
  </r>
  <r>
    <n v="18"/>
    <s v="2021R31092"/>
    <n v="202118"/>
    <s v="CC975232"/>
    <s v="C206"/>
    <d v="2020-04-25T00:00:00"/>
    <d v="1899-12-30T17:30:28"/>
    <s v="Apr"/>
    <n v="345580"/>
    <s v="INR"/>
    <n v="62100"/>
    <x v="1"/>
    <x v="5"/>
    <s v="NA"/>
    <s v="NA"/>
    <s v="Saturday"/>
    <s v="Within"/>
    <x v="0"/>
    <x v="0"/>
    <s v="Apr"/>
    <x v="0"/>
  </r>
  <r>
    <n v="19"/>
    <s v="2021A51194"/>
    <n v="202119"/>
    <s v="CC133156"/>
    <s v="C225"/>
    <d v="2020-04-27T00:00:00"/>
    <d v="1899-12-30T15:43:53"/>
    <s v="Apr"/>
    <n v="337140"/>
    <s v="INR"/>
    <n v="60480"/>
    <x v="11"/>
    <x v="1"/>
    <s v="NA"/>
    <s v="NA"/>
    <s v="Monday"/>
    <s v="Within"/>
    <x v="0"/>
    <x v="0"/>
    <s v="Apr"/>
    <x v="0"/>
  </r>
  <r>
    <n v="20"/>
    <s v="2021Z41307"/>
    <n v="202120"/>
    <s v="CC635100"/>
    <s v="C202"/>
    <d v="2020-04-28T00:00:00"/>
    <d v="1899-12-30T10:57:23"/>
    <s v="Apr"/>
    <n v="477620"/>
    <s v="INR"/>
    <n v="85680"/>
    <x v="6"/>
    <x v="10"/>
    <s v="NA"/>
    <s v="NA"/>
    <s v="Tuesday"/>
    <s v="Within"/>
    <x v="0"/>
    <x v="0"/>
    <s v="Apr"/>
    <x v="0"/>
  </r>
  <r>
    <n v="21"/>
    <s v="2021R91771"/>
    <n v="202121"/>
    <s v="CC746542"/>
    <s v="C245"/>
    <d v="2020-05-01T00:00:00"/>
    <d v="1899-12-30T11:34:16"/>
    <s v="Apr"/>
    <n v="453890"/>
    <s v="INR"/>
    <n v="81360"/>
    <x v="0"/>
    <x v="5"/>
    <s v="NA"/>
    <s v="NA"/>
    <s v="Friday"/>
    <s v="Within"/>
    <x v="0"/>
    <x v="0"/>
    <s v="May"/>
    <x v="0"/>
  </r>
  <r>
    <n v="22"/>
    <s v="2021S11228"/>
    <n v="202122"/>
    <s v="CC833959"/>
    <s v="C209"/>
    <d v="2020-05-04T00:00:00"/>
    <d v="1899-12-30T16:47:41"/>
    <s v="May"/>
    <n v="230560"/>
    <s v="INR"/>
    <n v="41040"/>
    <x v="7"/>
    <x v="5"/>
    <s v="NA"/>
    <s v="NA"/>
    <s v="Monday"/>
    <s v="Within"/>
    <x v="0"/>
    <x v="0"/>
    <s v="May"/>
    <x v="0"/>
  </r>
  <r>
    <n v="23"/>
    <s v="2021V31896"/>
    <n v="202123"/>
    <s v="CC885725"/>
    <s v="C213"/>
    <d v="2020-05-04T00:00:00"/>
    <d v="1899-12-30T15:47:02"/>
    <s v="May"/>
    <n v="207690"/>
    <s v="INR"/>
    <n v="37080"/>
    <x v="1"/>
    <x v="5"/>
    <s v="NA"/>
    <s v="NA"/>
    <s v="Monday"/>
    <s v="Within"/>
    <x v="0"/>
    <x v="0"/>
    <s v="May"/>
    <x v="0"/>
  </r>
  <r>
    <n v="24"/>
    <s v="2021G01002"/>
    <n v="202124"/>
    <s v="CC906339"/>
    <s v="C226"/>
    <d v="2020-05-04T00:00:00"/>
    <d v="1899-12-30T14:15:50"/>
    <s v="May"/>
    <n v="498780"/>
    <s v="INR"/>
    <n v="89280"/>
    <x v="1"/>
    <x v="5"/>
    <s v="NA"/>
    <s v="NA"/>
    <s v="Monday"/>
    <s v="Within"/>
    <x v="0"/>
    <x v="0"/>
    <s v="May"/>
    <x v="0"/>
  </r>
  <r>
    <n v="25"/>
    <s v="2021T51281"/>
    <n v="202125"/>
    <s v="CC561983"/>
    <s v="C222"/>
    <d v="2020-05-05T00:00:00"/>
    <d v="1899-12-30T13:49:36"/>
    <s v="May"/>
    <n v="265850"/>
    <s v="INR"/>
    <n v="47700"/>
    <x v="1"/>
    <x v="1"/>
    <s v="NA"/>
    <s v="NA"/>
    <s v="Tuesday"/>
    <s v="Within"/>
    <x v="0"/>
    <x v="0"/>
    <s v="May"/>
    <x v="0"/>
  </r>
  <r>
    <n v="26"/>
    <s v="2021O71143"/>
    <n v="202126"/>
    <s v="CC745730"/>
    <s v="C225"/>
    <d v="2020-05-06T00:00:00"/>
    <d v="1899-12-30T13:17:00"/>
    <s v="May"/>
    <n v="23290"/>
    <s v="INR"/>
    <n v="3960"/>
    <x v="12"/>
    <x v="9"/>
    <s v="NA"/>
    <s v="NA"/>
    <s v="Wednesday"/>
    <s v="Within"/>
    <x v="0"/>
    <x v="0"/>
    <s v="May"/>
    <x v="0"/>
  </r>
  <r>
    <n v="27"/>
    <s v="2021E51338"/>
    <n v="202127"/>
    <s v="CC773644"/>
    <s v="C228"/>
    <d v="2020-05-07T00:00:00"/>
    <d v="1899-12-30T17:12:15"/>
    <s v="May"/>
    <n v="432790"/>
    <s v="INR"/>
    <n v="77760"/>
    <x v="6"/>
    <x v="0"/>
    <s v="NA"/>
    <s v="NA"/>
    <s v="Thursday"/>
    <s v="Within"/>
    <x v="0"/>
    <x v="0"/>
    <s v="May"/>
    <x v="0"/>
  </r>
  <r>
    <n v="28"/>
    <s v="2021B41966"/>
    <n v="202128"/>
    <s v="CC731431"/>
    <s v="C239"/>
    <d v="2020-05-07T00:00:00"/>
    <d v="1899-12-30T14:08:36"/>
    <s v="May"/>
    <n v="4762260"/>
    <s v="INR"/>
    <n v="857160"/>
    <x v="5"/>
    <x v="4"/>
    <s v="NA"/>
    <s v="NA"/>
    <s v="Thursday"/>
    <s v="Within"/>
    <x v="0"/>
    <x v="0"/>
    <s v="May"/>
    <x v="1"/>
  </r>
  <r>
    <n v="29"/>
    <s v="2021R41426"/>
    <n v="202129"/>
    <s v="CC798801"/>
    <s v="C218"/>
    <d v="2020-05-09T00:00:00"/>
    <d v="1899-12-30T11:39:31"/>
    <s v="Apr"/>
    <n v="311700"/>
    <s v="INR"/>
    <n v="55800"/>
    <x v="2"/>
    <x v="5"/>
    <s v="NA"/>
    <s v="NA"/>
    <s v="Saturday"/>
    <s v="Within"/>
    <x v="0"/>
    <x v="0"/>
    <s v="May"/>
    <x v="0"/>
  </r>
  <r>
    <n v="30"/>
    <s v="2021Q11287"/>
    <n v="202130"/>
    <s v="CC140184"/>
    <s v="C218"/>
    <d v="2020-05-11T00:00:00"/>
    <d v="1899-12-30T12:27:13"/>
    <s v="May"/>
    <n v="209420"/>
    <s v="INR"/>
    <n v="37440"/>
    <x v="8"/>
    <x v="1"/>
    <s v="NA"/>
    <s v="NA"/>
    <s v="Monday"/>
    <s v="Within"/>
    <x v="0"/>
    <x v="0"/>
    <s v="May"/>
    <x v="0"/>
  </r>
  <r>
    <n v="31"/>
    <s v="2021A11259"/>
    <n v="202131"/>
    <s v="CC945907"/>
    <s v="C220"/>
    <d v="2020-05-11T00:00:00"/>
    <d v="1899-12-30T11:24:50"/>
    <s v="May"/>
    <n v="225520"/>
    <s v="INR"/>
    <n v="40320"/>
    <x v="6"/>
    <x v="1"/>
    <s v="NA"/>
    <s v="NA"/>
    <s v="Monday"/>
    <s v="Within"/>
    <x v="0"/>
    <x v="0"/>
    <s v="May"/>
    <x v="0"/>
  </r>
  <r>
    <n v="32"/>
    <s v="2021I01201"/>
    <n v="202132"/>
    <s v="CC390816"/>
    <s v="C234"/>
    <d v="2020-05-11T00:00:00"/>
    <d v="1899-12-30T10:23:24"/>
    <s v="May"/>
    <n v="480420"/>
    <s v="INR"/>
    <n v="86040"/>
    <x v="0"/>
    <x v="1"/>
    <s v="NA"/>
    <s v="NA"/>
    <s v="Monday"/>
    <s v="Within"/>
    <x v="0"/>
    <x v="0"/>
    <s v="May"/>
    <x v="0"/>
  </r>
  <r>
    <n v="33"/>
    <s v="2021I81416"/>
    <n v="202133"/>
    <s v="CC797183"/>
    <s v="C229"/>
    <d v="2020-05-14T00:00:00"/>
    <d v="1899-12-30T16:59:20"/>
    <s v="May"/>
    <n v="349080"/>
    <s v="INR"/>
    <n v="62640"/>
    <x v="2"/>
    <x v="1"/>
    <s v="NA"/>
    <s v="NA"/>
    <s v="Thursday"/>
    <s v="Within"/>
    <x v="0"/>
    <x v="0"/>
    <s v="May"/>
    <x v="0"/>
  </r>
  <r>
    <n v="34"/>
    <s v="2021D81358"/>
    <n v="202134"/>
    <s v="CC391167"/>
    <s v="C208"/>
    <d v="2020-05-15T00:00:00"/>
    <d v="1899-12-30T12:34:05"/>
    <s v="May"/>
    <n v="309420"/>
    <s v="INR"/>
    <n v="55620"/>
    <x v="6"/>
    <x v="5"/>
    <s v="NA"/>
    <s v="NA"/>
    <s v="Friday"/>
    <s v="Within"/>
    <x v="0"/>
    <x v="0"/>
    <s v="May"/>
    <x v="0"/>
  </r>
  <r>
    <n v="35"/>
    <s v="2021F21584"/>
    <n v="202135"/>
    <s v="CC435175"/>
    <s v="C201"/>
    <d v="2020-05-18T00:00:00"/>
    <d v="1899-12-30T10:36:27"/>
    <s v="May"/>
    <n v="431890"/>
    <s v="INR"/>
    <n v="77580"/>
    <x v="6"/>
    <x v="1"/>
    <s v="NA"/>
    <s v="NA"/>
    <s v="Monday"/>
    <s v="Within"/>
    <x v="0"/>
    <x v="0"/>
    <s v="May"/>
    <x v="0"/>
  </r>
  <r>
    <n v="36"/>
    <s v="2021L91167"/>
    <n v="202136"/>
    <s v="CC365296"/>
    <s v="C218"/>
    <d v="2020-05-19T00:00:00"/>
    <d v="1899-12-30T11:21:26"/>
    <s v="May"/>
    <n v="21840"/>
    <s v="INR"/>
    <n v="3780"/>
    <x v="13"/>
    <x v="7"/>
    <s v="NA"/>
    <s v="NA"/>
    <s v="Tuesday"/>
    <s v="Within"/>
    <x v="0"/>
    <x v="0"/>
    <s v="May"/>
    <x v="0"/>
  </r>
  <r>
    <n v="37"/>
    <s v="2021B71720"/>
    <n v="202137"/>
    <s v="CC102530"/>
    <s v="C218"/>
    <d v="2020-05-19T00:00:00"/>
    <d v="1899-12-30T17:40:16"/>
    <s v="Apr"/>
    <n v="27450"/>
    <s v="INR"/>
    <n v="4500"/>
    <x v="12"/>
    <x v="11"/>
    <s v="NA"/>
    <s v="NA"/>
    <s v="Tuesday"/>
    <s v="Within"/>
    <x v="0"/>
    <x v="0"/>
    <s v="May"/>
    <x v="0"/>
  </r>
  <r>
    <n v="38"/>
    <s v="2021R91324"/>
    <n v="202138"/>
    <s v="CC662189"/>
    <s v="C226"/>
    <d v="2020-05-22T00:00:00"/>
    <d v="1899-12-30T15:16:33"/>
    <s v="May"/>
    <n v="440720"/>
    <s v="INR"/>
    <n v="78840"/>
    <x v="0"/>
    <x v="5"/>
    <s v="NA"/>
    <s v="NA"/>
    <s v="Friday"/>
    <s v="Within"/>
    <x v="0"/>
    <x v="0"/>
    <s v="May"/>
    <x v="0"/>
  </r>
  <r>
    <n v="39"/>
    <s v="2021B01631"/>
    <n v="202139"/>
    <s v="CC757929"/>
    <s v="C233"/>
    <d v="2020-05-22T00:00:00"/>
    <d v="1899-12-30T12:17:24"/>
    <s v="Apr"/>
    <n v="294900"/>
    <s v="INR"/>
    <n v="52920"/>
    <x v="1"/>
    <x v="5"/>
    <s v="NA"/>
    <s v="NA"/>
    <s v="Friday"/>
    <s v="Within"/>
    <x v="0"/>
    <x v="0"/>
    <s v="May"/>
    <x v="0"/>
  </r>
  <r>
    <n v="40"/>
    <s v="2021L81017"/>
    <n v="202140"/>
    <s v="CC631050"/>
    <s v="C216"/>
    <d v="2020-05-23T00:00:00"/>
    <d v="1899-12-30T17:23:17"/>
    <s v="May"/>
    <n v="5778120"/>
    <s v="INR"/>
    <n v="1039860"/>
    <x v="5"/>
    <x v="4"/>
    <s v="Approved"/>
    <s v="BM/CC631050C216"/>
    <s v="Saturday"/>
    <s v="Within"/>
    <x v="0"/>
    <x v="0"/>
    <s v="May"/>
    <x v="0"/>
  </r>
  <r>
    <n v="41"/>
    <s v="2021X91684"/>
    <n v="202141"/>
    <s v="CC957201"/>
    <s v="C226"/>
    <d v="2020-05-25T00:00:00"/>
    <d v="1899-12-30T17:00:51"/>
    <s v="May"/>
    <n v="401950"/>
    <s v="INR"/>
    <n v="72000"/>
    <x v="6"/>
    <x v="6"/>
    <s v="NA"/>
    <s v="NA"/>
    <s v="Monday"/>
    <s v="Within"/>
    <x v="0"/>
    <x v="0"/>
    <s v="May"/>
    <x v="0"/>
  </r>
  <r>
    <n v="42"/>
    <s v="2021R61666"/>
    <n v="202142"/>
    <s v="CC121694"/>
    <s v="C224"/>
    <d v="2020-05-28T00:00:00"/>
    <d v="1899-12-30T16:25:31"/>
    <s v="May"/>
    <n v="429800"/>
    <s v="INR"/>
    <n v="77040"/>
    <x v="8"/>
    <x v="6"/>
    <s v="NA"/>
    <s v="NA"/>
    <s v="Thursday"/>
    <s v="Within"/>
    <x v="0"/>
    <x v="0"/>
    <s v="May"/>
    <x v="0"/>
  </r>
  <r>
    <n v="43"/>
    <s v="2021X31753"/>
    <n v="202143"/>
    <s v="CC395630"/>
    <s v="C221"/>
    <d v="2020-05-28T00:00:00"/>
    <d v="1899-12-30T13:52:20"/>
    <s v="May"/>
    <n v="463750"/>
    <s v="INR"/>
    <n v="83340"/>
    <x v="0"/>
    <x v="1"/>
    <s v="NA"/>
    <s v="NA"/>
    <s v="Thursday"/>
    <s v="Within"/>
    <x v="0"/>
    <x v="0"/>
    <s v="May"/>
    <x v="0"/>
  </r>
  <r>
    <n v="44"/>
    <s v="2021I61180"/>
    <n v="202144"/>
    <s v="CC170513"/>
    <s v="C203"/>
    <d v="2020-05-28T00:00:00"/>
    <d v="1899-12-30T14:43:37"/>
    <s v="Apr"/>
    <n v="302650"/>
    <s v="INR"/>
    <n v="54000"/>
    <x v="11"/>
    <x v="0"/>
    <s v="NA"/>
    <s v="NA"/>
    <s v="Thursday"/>
    <s v="Within"/>
    <x v="0"/>
    <x v="0"/>
    <s v="May"/>
    <x v="0"/>
  </r>
  <r>
    <n v="45"/>
    <s v="2021T31701"/>
    <n v="202145"/>
    <s v="CC635521"/>
    <s v="C241"/>
    <d v="2020-05-29T00:00:00"/>
    <d v="1899-12-30T15:27:50"/>
    <s v="May"/>
    <n v="427510"/>
    <s v="INR"/>
    <n v="76860"/>
    <x v="6"/>
    <x v="1"/>
    <s v="NA"/>
    <s v="NA"/>
    <s v="Friday"/>
    <s v="Within"/>
    <x v="0"/>
    <x v="0"/>
    <s v="May"/>
    <x v="0"/>
  </r>
  <r>
    <n v="46"/>
    <s v="2021A61497"/>
    <n v="202146"/>
    <s v="CC194863"/>
    <s v="C205"/>
    <d v="2020-05-30T00:00:00"/>
    <d v="1899-12-30T15:08:09"/>
    <s v="May"/>
    <n v="386240"/>
    <s v="INR"/>
    <n v="69480"/>
    <x v="7"/>
    <x v="6"/>
    <s v="NA"/>
    <s v="NA"/>
    <s v="Saturday"/>
    <s v="Within"/>
    <x v="0"/>
    <x v="0"/>
    <s v="May"/>
    <x v="0"/>
  </r>
  <r>
    <n v="47"/>
    <s v="2021M41446"/>
    <n v="202147"/>
    <s v="CC997850"/>
    <s v="C218"/>
    <d v="2020-05-30T00:00:00"/>
    <d v="1899-12-30T10:47:42"/>
    <s v="May"/>
    <n v="206890"/>
    <s v="INR"/>
    <n v="37080"/>
    <x v="1"/>
    <x v="0"/>
    <s v="NA"/>
    <s v="NA"/>
    <s v="Saturday"/>
    <s v="Within"/>
    <x v="0"/>
    <x v="0"/>
    <s v="May"/>
    <x v="0"/>
  </r>
  <r>
    <n v="48"/>
    <s v="2021W81642"/>
    <n v="202148"/>
    <s v="CC864884"/>
    <s v="C205"/>
    <d v="2020-06-01T00:00:00"/>
    <d v="1899-12-30T17:50:44"/>
    <s v="Jun"/>
    <n v="492690"/>
    <s v="INR"/>
    <n v="88380"/>
    <x v="7"/>
    <x v="5"/>
    <s v="NA"/>
    <s v="NA"/>
    <s v="Monday"/>
    <s v="Within"/>
    <x v="0"/>
    <x v="0"/>
    <s v="Jun"/>
    <x v="0"/>
  </r>
  <r>
    <n v="49"/>
    <s v="2021X21512"/>
    <n v="202149"/>
    <s v="CC439730"/>
    <s v="C216"/>
    <d v="2020-06-02T00:00:00"/>
    <d v="1899-12-30T15:21:56"/>
    <s v="May"/>
    <n v="482570"/>
    <s v="INR"/>
    <n v="86580"/>
    <x v="7"/>
    <x v="6"/>
    <s v="NA"/>
    <s v="NA"/>
    <s v="Tuesday"/>
    <s v="Within"/>
    <x v="0"/>
    <x v="0"/>
    <s v="Jun"/>
    <x v="0"/>
  </r>
  <r>
    <n v="50"/>
    <s v="2021J81369"/>
    <n v="202150"/>
    <s v="CC609961"/>
    <s v="C205"/>
    <d v="2020-06-02T00:00:00"/>
    <d v="1899-12-30T13:26:50"/>
    <s v="May"/>
    <n v="46890"/>
    <s v="INR"/>
    <n v="8280"/>
    <x v="14"/>
    <x v="3"/>
    <s v="NA"/>
    <s v="NA"/>
    <s v="Tuesday"/>
    <s v="Within"/>
    <x v="0"/>
    <x v="0"/>
    <s v="Jun"/>
    <x v="0"/>
  </r>
  <r>
    <n v="51"/>
    <s v="2021V11343"/>
    <n v="202151"/>
    <s v="CC231050"/>
    <s v="C229"/>
    <d v="2020-06-05T00:00:00"/>
    <d v="1899-12-30T17:06:38"/>
    <s v="May"/>
    <n v="484460"/>
    <s v="INR"/>
    <n v="87120"/>
    <x v="8"/>
    <x v="5"/>
    <s v="NA"/>
    <s v="NA"/>
    <s v="Friday"/>
    <s v="Within"/>
    <x v="0"/>
    <x v="0"/>
    <s v="Jun"/>
    <x v="0"/>
  </r>
  <r>
    <n v="52"/>
    <s v="2021D61060"/>
    <n v="202152"/>
    <s v="CC284849"/>
    <s v="C218"/>
    <d v="2020-06-05T00:00:00"/>
    <d v="1899-12-30T16:40:09"/>
    <s v="Jun"/>
    <n v="290140"/>
    <s v="INR"/>
    <n v="52020"/>
    <x v="6"/>
    <x v="0"/>
    <s v="NA"/>
    <s v="NA"/>
    <s v="Friday"/>
    <s v="Within"/>
    <x v="0"/>
    <x v="0"/>
    <s v="Jun"/>
    <x v="0"/>
  </r>
  <r>
    <n v="53"/>
    <s v="2021Y01677"/>
    <n v="202153"/>
    <s v="CC819578"/>
    <s v="C210"/>
    <d v="2020-06-06T00:00:00"/>
    <d v="1899-12-30T17:04:19"/>
    <s v="Jun"/>
    <n v="482140"/>
    <s v="INR"/>
    <n v="86760"/>
    <x v="11"/>
    <x v="10"/>
    <s v="NA"/>
    <s v="NA"/>
    <s v="Saturday"/>
    <s v="Within"/>
    <x v="0"/>
    <x v="0"/>
    <s v="Jun"/>
    <x v="0"/>
  </r>
  <r>
    <n v="54"/>
    <s v="2021G21193"/>
    <n v="202154"/>
    <s v="CC908989"/>
    <s v="C221"/>
    <d v="2020-06-06T00:00:00"/>
    <d v="1899-12-30T12:56:33"/>
    <s v="Jun"/>
    <n v="244360"/>
    <s v="INR"/>
    <n v="43560"/>
    <x v="6"/>
    <x v="1"/>
    <s v="NA"/>
    <s v="NA"/>
    <s v="Saturday"/>
    <s v="Within"/>
    <x v="0"/>
    <x v="0"/>
    <s v="Jun"/>
    <x v="0"/>
  </r>
  <r>
    <n v="55"/>
    <s v="2021U51795"/>
    <n v="202155"/>
    <s v="CC311019"/>
    <s v="C220"/>
    <d v="2020-06-08T00:00:00"/>
    <d v="1899-12-30T12:36:08"/>
    <s v="Jun"/>
    <n v="261450"/>
    <s v="INR"/>
    <n v="46800"/>
    <x v="0"/>
    <x v="10"/>
    <s v="NA"/>
    <s v="NA"/>
    <s v="Monday"/>
    <s v="Within"/>
    <x v="0"/>
    <x v="0"/>
    <s v="Jun"/>
    <x v="0"/>
  </r>
  <r>
    <n v="56"/>
    <s v="2021O01960"/>
    <n v="202156"/>
    <s v="CC349571"/>
    <s v="C246"/>
    <d v="2020-06-09T00:00:00"/>
    <d v="1899-12-30T15:54:13"/>
    <s v="Jun"/>
    <n v="10223320"/>
    <s v="INR"/>
    <n v="1840140"/>
    <x v="5"/>
    <x v="4"/>
    <s v="Approved"/>
    <s v="BM/CC349571C246"/>
    <s v="Tuesday"/>
    <s v="Within"/>
    <x v="0"/>
    <x v="0"/>
    <s v="Jun"/>
    <x v="0"/>
  </r>
  <r>
    <n v="57"/>
    <s v="2021T81469"/>
    <n v="202157"/>
    <s v="CC946950"/>
    <s v="C215"/>
    <d v="2020-06-11T00:00:00"/>
    <d v="1899-12-30T11:22:14"/>
    <s v="Jun"/>
    <n v="390450"/>
    <s v="INR"/>
    <n v="70020"/>
    <x v="1"/>
    <x v="5"/>
    <s v="NA"/>
    <s v="NA"/>
    <s v="Thursday"/>
    <s v="Within"/>
    <x v="0"/>
    <x v="0"/>
    <s v="Jun"/>
    <x v="0"/>
  </r>
  <r>
    <n v="58"/>
    <s v="2021N31706"/>
    <n v="202158"/>
    <s v="CC134993"/>
    <s v="C211"/>
    <d v="2020-06-12T00:00:00"/>
    <d v="1899-12-30T13:00:02"/>
    <s v="Jun"/>
    <n v="202860"/>
    <s v="INR"/>
    <n v="36360"/>
    <x v="2"/>
    <x v="5"/>
    <s v="NA"/>
    <s v="NA"/>
    <s v="Friday"/>
    <s v="Within"/>
    <x v="0"/>
    <x v="0"/>
    <s v="Jun"/>
    <x v="0"/>
  </r>
  <r>
    <n v="59"/>
    <s v="2021P11624"/>
    <n v="202159"/>
    <s v="CC647688"/>
    <s v="C214"/>
    <d v="2020-06-15T00:00:00"/>
    <d v="1899-12-30T13:25:57"/>
    <s v="May"/>
    <n v="204100"/>
    <s v="INR"/>
    <n v="36720"/>
    <x v="6"/>
    <x v="10"/>
    <s v="NA"/>
    <s v="NA"/>
    <s v="Monday"/>
    <s v="Within"/>
    <x v="0"/>
    <x v="0"/>
    <s v="Jun"/>
    <x v="0"/>
  </r>
  <r>
    <n v="60"/>
    <s v="2021M81128"/>
    <n v="202160"/>
    <s v="CC602480"/>
    <s v="C203"/>
    <d v="2020-06-18T00:00:00"/>
    <d v="1899-12-30T15:24:29"/>
    <s v="May"/>
    <n v="265580"/>
    <s v="INR"/>
    <n v="47700"/>
    <x v="2"/>
    <x v="5"/>
    <s v="NA"/>
    <s v="NA"/>
    <s v="Thursday"/>
    <s v="Within"/>
    <x v="0"/>
    <x v="0"/>
    <s v="Jun"/>
    <x v="0"/>
  </r>
  <r>
    <n v="61"/>
    <s v="2021N71287"/>
    <n v="202161"/>
    <s v="CC884936"/>
    <s v="C247"/>
    <d v="2020-06-19T00:00:00"/>
    <d v="1899-12-30T14:42:14"/>
    <s v="May"/>
    <n v="285470"/>
    <s v="INR"/>
    <n v="51120"/>
    <x v="2"/>
    <x v="10"/>
    <s v="NA"/>
    <s v="NA"/>
    <s v="Friday"/>
    <s v="Within"/>
    <x v="0"/>
    <x v="0"/>
    <s v="Jun"/>
    <x v="0"/>
  </r>
  <r>
    <n v="62"/>
    <s v="2021B61390"/>
    <n v="202162"/>
    <s v="CC202310"/>
    <s v="C245"/>
    <d v="2020-06-19T00:00:00"/>
    <d v="1899-12-30T16:00:23"/>
    <s v="Jun"/>
    <n v="205720"/>
    <s v="INR"/>
    <n v="36540"/>
    <x v="11"/>
    <x v="1"/>
    <s v="NA"/>
    <s v="NA"/>
    <s v="Friday"/>
    <s v="Within"/>
    <x v="0"/>
    <x v="0"/>
    <s v="Jun"/>
    <x v="0"/>
  </r>
  <r>
    <n v="63"/>
    <s v="2021Z81062"/>
    <n v="202163"/>
    <s v="CC707806"/>
    <s v="C224"/>
    <d v="2020-06-23T00:00:00"/>
    <d v="1899-12-30T16:57:06"/>
    <s v="Jun"/>
    <n v="31860"/>
    <s v="INR"/>
    <n v="5580"/>
    <x v="15"/>
    <x v="12"/>
    <s v="NA"/>
    <s v="NA"/>
    <s v="Tuesday"/>
    <s v="Within"/>
    <x v="0"/>
    <x v="0"/>
    <s v="Jun"/>
    <x v="0"/>
  </r>
  <r>
    <n v="64"/>
    <s v="2021M31102"/>
    <n v="202164"/>
    <s v="CC256345"/>
    <s v="C217"/>
    <d v="2020-06-23T00:00:00"/>
    <d v="1899-12-30T17:41:07"/>
    <s v="Jun"/>
    <n v="258480"/>
    <s v="INR"/>
    <n v="46080"/>
    <x v="2"/>
    <x v="0"/>
    <s v="NA"/>
    <s v="NA"/>
    <s v="Tuesday"/>
    <s v="Within"/>
    <x v="0"/>
    <x v="0"/>
    <s v="Jun"/>
    <x v="0"/>
  </r>
  <r>
    <n v="65"/>
    <s v="2021Y81250"/>
    <n v="202165"/>
    <s v="CC558542"/>
    <s v="C242"/>
    <d v="2020-06-24T00:00:00"/>
    <d v="1899-12-30T12:10:53"/>
    <s v="Jun"/>
    <n v="205220"/>
    <s v="INR"/>
    <n v="36720"/>
    <x v="0"/>
    <x v="5"/>
    <s v="NA"/>
    <s v="NA"/>
    <s v="Wednesday"/>
    <s v="Within"/>
    <x v="0"/>
    <x v="0"/>
    <s v="Jun"/>
    <x v="0"/>
  </r>
  <r>
    <n v="66"/>
    <s v="2021O21294"/>
    <n v="202166"/>
    <s v="CC215575"/>
    <s v="C242"/>
    <d v="2020-06-27T00:00:00"/>
    <d v="1899-12-30T14:44:52"/>
    <s v="Jun"/>
    <n v="434440"/>
    <s v="INR"/>
    <n v="78120"/>
    <x v="7"/>
    <x v="6"/>
    <s v="NA"/>
    <s v="NA"/>
    <s v="Saturday"/>
    <s v="Within"/>
    <x v="0"/>
    <x v="0"/>
    <s v="Jun"/>
    <x v="0"/>
  </r>
  <r>
    <n v="67"/>
    <s v="2021U21759"/>
    <n v="202167"/>
    <s v="CC523412"/>
    <s v="C247"/>
    <d v="2020-06-29T00:00:00"/>
    <d v="1899-12-30T14:55:58"/>
    <s v="Jun"/>
    <n v="433740"/>
    <s v="INR"/>
    <n v="77760"/>
    <x v="7"/>
    <x v="0"/>
    <s v="NA"/>
    <s v="NA"/>
    <s v="Monday"/>
    <s v="Within"/>
    <x v="0"/>
    <x v="0"/>
    <s v="Jun"/>
    <x v="0"/>
  </r>
  <r>
    <n v="68"/>
    <s v="2021H71893"/>
    <n v="202168"/>
    <s v="CC533157"/>
    <s v="C217"/>
    <d v="2020-06-30T00:00:00"/>
    <d v="1899-12-30T16:07:29"/>
    <s v="Jun"/>
    <n v="484610"/>
    <s v="INR"/>
    <n v="86760"/>
    <x v="8"/>
    <x v="0"/>
    <s v="NA"/>
    <s v="NA"/>
    <s v="Tuesday"/>
    <s v="Within"/>
    <x v="0"/>
    <x v="0"/>
    <s v="Jun"/>
    <x v="0"/>
  </r>
  <r>
    <n v="69"/>
    <s v="2021W81912"/>
    <n v="202169"/>
    <s v="CC429411"/>
    <s v="C222"/>
    <d v="2020-06-30T00:00:00"/>
    <d v="1899-12-30T13:34:09"/>
    <s v="Jun"/>
    <n v="309040"/>
    <s v="INR"/>
    <n v="55440"/>
    <x v="0"/>
    <x v="10"/>
    <s v="NA"/>
    <s v="NA"/>
    <s v="Tuesday"/>
    <s v="Within"/>
    <x v="0"/>
    <x v="0"/>
    <s v="Jun"/>
    <x v="0"/>
  </r>
  <r>
    <n v="70"/>
    <s v="2021S81691"/>
    <n v="202170"/>
    <s v="CC701678"/>
    <s v="C206"/>
    <d v="2020-07-03T00:00:00"/>
    <d v="1899-12-30T17:12:50"/>
    <s v="Jul"/>
    <n v="350710"/>
    <s v="INR"/>
    <n v="63000"/>
    <x v="1"/>
    <x v="1"/>
    <s v="NA"/>
    <s v="NA"/>
    <s v="Friday"/>
    <s v="Within"/>
    <x v="0"/>
    <x v="0"/>
    <s v="Jul"/>
    <x v="0"/>
  </r>
  <r>
    <n v="71"/>
    <s v="2021T81345"/>
    <n v="202171"/>
    <s v="CC826058"/>
    <s v="C246"/>
    <d v="2020-07-06T00:00:00"/>
    <d v="1899-12-30T17:04:42"/>
    <s v="Jul"/>
    <n v="317450"/>
    <s v="INR"/>
    <n v="56880"/>
    <x v="8"/>
    <x v="6"/>
    <s v="NA"/>
    <s v="NA"/>
    <s v="Monday"/>
    <s v="Within"/>
    <x v="0"/>
    <x v="0"/>
    <s v="Jul"/>
    <x v="0"/>
  </r>
  <r>
    <n v="72"/>
    <s v="2021T91070"/>
    <n v="202172"/>
    <s v="CC651707"/>
    <s v="C202"/>
    <d v="2020-07-07T00:00:00"/>
    <d v="1899-12-30T14:08:03"/>
    <s v="Jul"/>
    <n v="4374900"/>
    <s v="INR"/>
    <n v="787320"/>
    <x v="16"/>
    <x v="13"/>
    <s v="NA"/>
    <s v="NA"/>
    <s v="Tuesday"/>
    <s v="Within"/>
    <x v="0"/>
    <x v="0"/>
    <s v="Jul"/>
    <x v="0"/>
  </r>
  <r>
    <n v="73"/>
    <s v="2021X01716"/>
    <n v="202173"/>
    <s v="CC986093"/>
    <s v="C220"/>
    <d v="2020-07-08T00:00:00"/>
    <d v="1899-12-30T12:18:38"/>
    <s v="Jul"/>
    <n v="379870"/>
    <s v="INR"/>
    <n v="68220"/>
    <x v="1"/>
    <x v="6"/>
    <s v="NA"/>
    <s v="NA"/>
    <s v="Wednesday"/>
    <s v="Within"/>
    <x v="0"/>
    <x v="0"/>
    <s v="Jul"/>
    <x v="0"/>
  </r>
  <r>
    <n v="74"/>
    <s v="2021Z01615"/>
    <n v="202174"/>
    <s v="CC375965"/>
    <s v="C202"/>
    <d v="2020-07-08T00:00:00"/>
    <d v="1899-12-30T11:00:55"/>
    <s v="Jul"/>
    <n v="415470"/>
    <s v="INR"/>
    <n v="74340"/>
    <x v="0"/>
    <x v="10"/>
    <s v="NA"/>
    <s v="NA"/>
    <s v="Wednesday"/>
    <s v="Within"/>
    <x v="0"/>
    <x v="0"/>
    <s v="Jul"/>
    <x v="0"/>
  </r>
  <r>
    <n v="75"/>
    <s v="2021B51090"/>
    <n v="202175"/>
    <s v="CC938107"/>
    <s v="C247"/>
    <d v="2020-07-08T00:00:00"/>
    <d v="1899-12-30T15:21:06"/>
    <s v="Jul"/>
    <n v="451520"/>
    <s v="INR"/>
    <n v="81000"/>
    <x v="6"/>
    <x v="1"/>
    <s v="NA"/>
    <s v="NA"/>
    <s v="Wednesday"/>
    <s v="Within"/>
    <x v="0"/>
    <x v="0"/>
    <s v="Jul"/>
    <x v="0"/>
  </r>
  <r>
    <n v="76"/>
    <s v="2021X01094"/>
    <n v="202176"/>
    <s v="CC583620"/>
    <s v="C207"/>
    <d v="2020-07-09T00:00:00"/>
    <d v="1899-12-30T12:15:25"/>
    <s v="Jul"/>
    <n v="453330"/>
    <s v="INR"/>
    <n v="81360"/>
    <x v="0"/>
    <x v="1"/>
    <s v="NA"/>
    <s v="NA"/>
    <s v="Thursday"/>
    <s v="Within"/>
    <x v="0"/>
    <x v="0"/>
    <s v="Jul"/>
    <x v="0"/>
  </r>
  <r>
    <n v="77"/>
    <s v="2021J91894"/>
    <n v="202177"/>
    <s v="CC101931"/>
    <s v="C221"/>
    <d v="2020-07-11T00:00:00"/>
    <d v="1899-12-30T13:35:42"/>
    <s v="Jul"/>
    <n v="343940"/>
    <s v="INR"/>
    <n v="61560"/>
    <x v="2"/>
    <x v="10"/>
    <s v="NA"/>
    <s v="NA"/>
    <s v="Saturday"/>
    <s v="Within"/>
    <x v="0"/>
    <x v="0"/>
    <s v="Jul"/>
    <x v="0"/>
  </r>
  <r>
    <n v="78"/>
    <s v="2021B71281"/>
    <n v="202178"/>
    <s v="CC106478"/>
    <s v="C211"/>
    <d v="2020-07-11T00:00:00"/>
    <d v="1899-12-30T12:08:55"/>
    <s v="Jul"/>
    <n v="369380"/>
    <s v="INR"/>
    <n v="66060"/>
    <x v="11"/>
    <x v="10"/>
    <s v="NA"/>
    <s v="NA"/>
    <s v="Saturday"/>
    <s v="Within"/>
    <x v="0"/>
    <x v="0"/>
    <s v="Jul"/>
    <x v="0"/>
  </r>
  <r>
    <n v="79"/>
    <s v="2021H41102"/>
    <n v="202179"/>
    <s v="CC609755"/>
    <s v="C219"/>
    <d v="2020-07-13T00:00:00"/>
    <d v="1899-12-30T14:34:11"/>
    <s v="Jul"/>
    <n v="242400"/>
    <s v="INR"/>
    <n v="43380"/>
    <x v="7"/>
    <x v="5"/>
    <s v="NA"/>
    <s v="NA"/>
    <s v="Monday"/>
    <s v="Within"/>
    <x v="0"/>
    <x v="0"/>
    <s v="Jul"/>
    <x v="0"/>
  </r>
  <r>
    <n v="80"/>
    <s v="2021L01099"/>
    <n v="202180"/>
    <s v="CC622403"/>
    <s v="C204"/>
    <d v="2020-07-13T00:00:00"/>
    <d v="1899-12-30T15:58:33"/>
    <s v="Jul"/>
    <n v="343980"/>
    <s v="INR"/>
    <n v="61740"/>
    <x v="6"/>
    <x v="0"/>
    <s v="NA"/>
    <s v="NA"/>
    <s v="Monday"/>
    <s v="Within"/>
    <x v="0"/>
    <x v="0"/>
    <s v="Jul"/>
    <x v="0"/>
  </r>
  <r>
    <n v="81"/>
    <s v="2021Y51189"/>
    <n v="202181"/>
    <s v="CC404008"/>
    <s v="C238"/>
    <d v="2020-07-15T00:00:00"/>
    <d v="1899-12-30T13:00:58"/>
    <s v="Jun"/>
    <n v="337370"/>
    <s v="INR"/>
    <n v="60300"/>
    <x v="6"/>
    <x v="5"/>
    <s v="NA"/>
    <s v="NA"/>
    <s v="Wednesday"/>
    <s v="Within"/>
    <x v="0"/>
    <x v="0"/>
    <s v="Jul"/>
    <x v="1"/>
  </r>
  <r>
    <n v="82"/>
    <s v="2021M81255"/>
    <n v="202182"/>
    <s v="CC660318"/>
    <s v="C220"/>
    <d v="2020-07-15T00:00:00"/>
    <d v="1899-12-30T12:19:38"/>
    <s v="Jul"/>
    <n v="393430"/>
    <s v="INR"/>
    <n v="70560"/>
    <x v="11"/>
    <x v="10"/>
    <s v="NA"/>
    <s v="NA"/>
    <s v="Wednesday"/>
    <s v="Within"/>
    <x v="0"/>
    <x v="0"/>
    <s v="Jul"/>
    <x v="0"/>
  </r>
  <r>
    <n v="83"/>
    <s v="2021K41004"/>
    <n v="202183"/>
    <s v="CC349403"/>
    <s v="C207"/>
    <d v="2020-07-15T00:00:00"/>
    <d v="1899-12-30T13:19:39"/>
    <s v="Jul"/>
    <n v="404010"/>
    <s v="INR"/>
    <n v="72540"/>
    <x v="7"/>
    <x v="0"/>
    <s v="NA"/>
    <s v="NA"/>
    <s v="Wednesday"/>
    <s v="Within"/>
    <x v="0"/>
    <x v="0"/>
    <s v="Jul"/>
    <x v="0"/>
  </r>
  <r>
    <n v="84"/>
    <s v="2021W21969"/>
    <n v="202184"/>
    <s v="CC303098"/>
    <s v="C222"/>
    <d v="2020-07-16T00:00:00"/>
    <d v="1899-12-30T11:20:30"/>
    <s v="Jul"/>
    <n v="448370"/>
    <s v="INR"/>
    <n v="80640"/>
    <x v="6"/>
    <x v="5"/>
    <s v="NA"/>
    <s v="NA"/>
    <s v="Thursday"/>
    <s v="Within"/>
    <x v="0"/>
    <x v="0"/>
    <s v="Jul"/>
    <x v="0"/>
  </r>
  <r>
    <n v="85"/>
    <s v="2021U41237"/>
    <n v="202185"/>
    <s v="CC539119"/>
    <s v="C201"/>
    <d v="2020-07-16T00:00:00"/>
    <d v="1899-12-30T15:23:33"/>
    <s v="Jul"/>
    <n v="426610"/>
    <s v="INR"/>
    <n v="76320"/>
    <x v="2"/>
    <x v="10"/>
    <s v="NA"/>
    <s v="NA"/>
    <s v="Thursday"/>
    <s v="Within"/>
    <x v="0"/>
    <x v="0"/>
    <s v="Jul"/>
    <x v="0"/>
  </r>
  <r>
    <n v="86"/>
    <s v="2021A01638"/>
    <n v="202186"/>
    <s v="CC912514"/>
    <s v="C216"/>
    <d v="2020-07-17T00:00:00"/>
    <d v="1899-12-30T14:51:57"/>
    <s v="Jul"/>
    <n v="400810"/>
    <s v="INR"/>
    <n v="71640"/>
    <x v="8"/>
    <x v="5"/>
    <s v="NA"/>
    <s v="NA"/>
    <s v="Friday"/>
    <s v="Within"/>
    <x v="0"/>
    <x v="0"/>
    <s v="Jul"/>
    <x v="0"/>
  </r>
  <r>
    <n v="87"/>
    <s v="2021G01954"/>
    <n v="202187"/>
    <s v="CC300861"/>
    <s v="C222"/>
    <d v="2020-07-18T00:00:00"/>
    <d v="1899-12-30T15:15:29"/>
    <s v="Jul"/>
    <n v="234150"/>
    <s v="INR"/>
    <n v="42120"/>
    <x v="2"/>
    <x v="0"/>
    <s v="NA"/>
    <s v="NA"/>
    <s v="Saturday"/>
    <s v="Within"/>
    <x v="0"/>
    <x v="0"/>
    <s v="Jul"/>
    <x v="0"/>
  </r>
  <r>
    <n v="88"/>
    <s v="2021J81996"/>
    <n v="202188"/>
    <s v="CC643300"/>
    <s v="C242"/>
    <d v="2020-07-18T00:00:00"/>
    <d v="1899-12-30T10:00:16"/>
    <s v="Jul"/>
    <n v="402860"/>
    <s v="INR"/>
    <n v="72180"/>
    <x v="1"/>
    <x v="0"/>
    <s v="NA"/>
    <s v="NA"/>
    <s v="Saturday"/>
    <s v="Within"/>
    <x v="0"/>
    <x v="0"/>
    <s v="Jul"/>
    <x v="0"/>
  </r>
  <r>
    <n v="89"/>
    <s v="2021H01519"/>
    <n v="202189"/>
    <s v="CC357006"/>
    <s v="C216"/>
    <d v="2020-07-20T00:00:00"/>
    <d v="1899-12-30T12:13:29"/>
    <s v="Jul"/>
    <n v="408480"/>
    <s v="INR"/>
    <n v="73260"/>
    <x v="2"/>
    <x v="5"/>
    <s v="NA"/>
    <s v="NA"/>
    <s v="Monday"/>
    <s v="Within"/>
    <x v="0"/>
    <x v="0"/>
    <s v="Jul"/>
    <x v="0"/>
  </r>
  <r>
    <n v="90"/>
    <s v="2021A61174"/>
    <n v="202190"/>
    <s v="CC346925"/>
    <s v="C223"/>
    <d v="2020-07-20T00:00:00"/>
    <d v="1899-12-30T11:36:18"/>
    <s v="Jul"/>
    <n v="6075310"/>
    <s v="INR"/>
    <n v="1093500"/>
    <x v="5"/>
    <x v="4"/>
    <s v="Approved"/>
    <s v="BM/CC346925C223"/>
    <s v="Monday"/>
    <s v="Within"/>
    <x v="0"/>
    <x v="0"/>
    <s v="Jul"/>
    <x v="0"/>
  </r>
  <r>
    <n v="91"/>
    <s v="2021U71963"/>
    <n v="202191"/>
    <s v="CC775172"/>
    <s v="C200"/>
    <d v="2020-07-20T00:00:00"/>
    <d v="1899-12-30T14:04:54"/>
    <s v="Jul"/>
    <n v="448330"/>
    <s v="INR"/>
    <n v="80280"/>
    <x v="7"/>
    <x v="0"/>
    <s v="NA"/>
    <s v="NA"/>
    <s v="Monday"/>
    <s v="Within"/>
    <x v="0"/>
    <x v="0"/>
    <s v="Jul"/>
    <x v="0"/>
  </r>
  <r>
    <n v="92"/>
    <s v="2021S81127"/>
    <n v="202192"/>
    <s v="CC991831"/>
    <s v="C216"/>
    <d v="2020-07-22T00:00:00"/>
    <d v="1899-12-30T13:09:34"/>
    <s v="Jul"/>
    <n v="381310"/>
    <s v="INR"/>
    <n v="68220"/>
    <x v="11"/>
    <x v="10"/>
    <s v="NA"/>
    <s v="NA"/>
    <s v="Wednesday"/>
    <s v="Within"/>
    <x v="0"/>
    <x v="0"/>
    <s v="Jul"/>
    <x v="0"/>
  </r>
  <r>
    <n v="93"/>
    <s v="2021E71709"/>
    <n v="202193"/>
    <s v="CC484761"/>
    <s v="C210"/>
    <d v="2020-07-23T00:00:00"/>
    <d v="1899-12-30T16:02:39"/>
    <s v="Jul"/>
    <n v="35360"/>
    <s v="INR"/>
    <n v="6300"/>
    <x v="3"/>
    <x v="2"/>
    <s v="NA"/>
    <s v="NA"/>
    <s v="Thursday"/>
    <s v="Within"/>
    <x v="0"/>
    <x v="0"/>
    <s v="Jul"/>
    <x v="0"/>
  </r>
  <r>
    <n v="94"/>
    <s v="2021H91573"/>
    <n v="202194"/>
    <s v="CC163197"/>
    <s v="C232"/>
    <d v="2020-07-27T00:00:00"/>
    <d v="1899-12-30T12:37:07"/>
    <s v="Jul"/>
    <n v="336830"/>
    <s v="INR"/>
    <n v="60300"/>
    <x v="11"/>
    <x v="10"/>
    <s v="NA"/>
    <s v="NA"/>
    <s v="Monday"/>
    <s v="Within"/>
    <x v="0"/>
    <x v="0"/>
    <s v="Jul"/>
    <x v="0"/>
  </r>
  <r>
    <n v="95"/>
    <s v="2021B01582"/>
    <n v="202195"/>
    <s v="CC163689"/>
    <s v="C244"/>
    <d v="2020-07-28T00:00:00"/>
    <d v="1899-12-30T12:35:39"/>
    <s v="Jul"/>
    <n v="452640"/>
    <s v="INR"/>
    <n v="81360"/>
    <x v="6"/>
    <x v="6"/>
    <s v="NA"/>
    <s v="NA"/>
    <s v="Tuesday"/>
    <s v="Within"/>
    <x v="0"/>
    <x v="0"/>
    <s v="Jul"/>
    <x v="0"/>
  </r>
  <r>
    <n v="96"/>
    <s v="2021T01220"/>
    <n v="202196"/>
    <s v="CC941267"/>
    <s v="C223"/>
    <d v="2020-07-29T00:00:00"/>
    <d v="1899-12-30T10:07:49"/>
    <s v="Jul"/>
    <n v="363210"/>
    <s v="INR"/>
    <n v="65340"/>
    <x v="0"/>
    <x v="6"/>
    <s v="NA"/>
    <s v="NA"/>
    <s v="Wednesday"/>
    <s v="Within"/>
    <x v="0"/>
    <x v="0"/>
    <s v="Jul"/>
    <x v="0"/>
  </r>
  <r>
    <n v="97"/>
    <s v="2021L51402"/>
    <n v="202197"/>
    <s v="CC142316"/>
    <s v="C209"/>
    <d v="2020-08-01T00:00:00"/>
    <d v="1899-12-30T17:14:13"/>
    <s v="Aug"/>
    <n v="459610"/>
    <s v="INR"/>
    <n v="82620"/>
    <x v="11"/>
    <x v="0"/>
    <s v="NA"/>
    <s v="NA"/>
    <s v="Saturday"/>
    <s v="Within"/>
    <x v="0"/>
    <x v="0"/>
    <s v="Aug"/>
    <x v="0"/>
  </r>
  <r>
    <n v="98"/>
    <s v="2021H21977"/>
    <n v="202198"/>
    <s v="CC140647"/>
    <s v="C247"/>
    <d v="2020-08-03T00:00:00"/>
    <d v="1899-12-30T13:26:51"/>
    <s v="Aug"/>
    <n v="468940"/>
    <s v="INR"/>
    <n v="84060"/>
    <x v="2"/>
    <x v="1"/>
    <s v="NA"/>
    <s v="NA"/>
    <s v="Monday"/>
    <s v="Within"/>
    <x v="0"/>
    <x v="0"/>
    <s v="Aug"/>
    <x v="0"/>
  </r>
  <r>
    <n v="99"/>
    <s v="2021X01580"/>
    <n v="202199"/>
    <s v="CC564246"/>
    <s v="C225"/>
    <d v="2020-08-03T00:00:00"/>
    <d v="1899-12-30T13:28:14"/>
    <s v="Aug"/>
    <n v="386980"/>
    <s v="INR"/>
    <n v="69480"/>
    <x v="0"/>
    <x v="1"/>
    <s v="NA"/>
    <s v="NA"/>
    <s v="Monday"/>
    <s v="Within"/>
    <x v="0"/>
    <x v="0"/>
    <s v="Aug"/>
    <x v="0"/>
  </r>
  <r>
    <n v="100"/>
    <s v="2021A71372"/>
    <n v="2021100"/>
    <s v="CC608204"/>
    <s v="C232"/>
    <d v="2020-08-05T00:00:00"/>
    <d v="1899-12-30T11:50:45"/>
    <s v="Aug"/>
    <n v="384860"/>
    <s v="INR"/>
    <n v="69120"/>
    <x v="2"/>
    <x v="0"/>
    <s v="NA"/>
    <s v="NA"/>
    <s v="Wednesday"/>
    <s v="Within"/>
    <x v="0"/>
    <x v="0"/>
    <s v="Aug"/>
    <x v="0"/>
  </r>
  <r>
    <n v="101"/>
    <s v="2021B31430"/>
    <n v="2021101"/>
    <s v="CC189736"/>
    <s v="C204"/>
    <d v="2020-08-07T00:00:00"/>
    <d v="1899-12-30T13:09:24"/>
    <s v="Jul"/>
    <n v="476490"/>
    <s v="INR"/>
    <n v="85320"/>
    <x v="6"/>
    <x v="1"/>
    <s v="NA"/>
    <s v="NA"/>
    <s v="Friday"/>
    <s v="Within"/>
    <x v="0"/>
    <x v="0"/>
    <s v="Aug"/>
    <x v="0"/>
  </r>
  <r>
    <n v="102"/>
    <s v="2021M91482"/>
    <n v="2021102"/>
    <s v="CC490388"/>
    <s v="C239"/>
    <d v="2020-08-12T00:00:00"/>
    <d v="1899-12-30T14:05:52"/>
    <s v="Aug"/>
    <n v="221320"/>
    <s v="INR"/>
    <n v="39600"/>
    <x v="1"/>
    <x v="5"/>
    <s v="NA"/>
    <s v="NA"/>
    <s v="Wednesday"/>
    <s v="Within"/>
    <x v="0"/>
    <x v="0"/>
    <s v="Aug"/>
    <x v="1"/>
  </r>
  <r>
    <n v="103"/>
    <s v="2021B31300"/>
    <n v="2021103"/>
    <s v="CC796823"/>
    <s v="C227"/>
    <d v="2020-08-14T00:00:00"/>
    <d v="1899-12-30T10:45:47"/>
    <s v="Aug"/>
    <n v="361170"/>
    <s v="INR"/>
    <n v="64980"/>
    <x v="1"/>
    <x v="0"/>
    <s v="NA"/>
    <s v="NA"/>
    <s v="Friday"/>
    <s v="Within"/>
    <x v="0"/>
    <x v="0"/>
    <s v="Aug"/>
    <x v="0"/>
  </r>
  <r>
    <n v="104"/>
    <s v="2021P61723"/>
    <n v="2021104"/>
    <s v="CC963879"/>
    <s v="C231"/>
    <d v="2020-08-17T00:00:00"/>
    <d v="1899-12-30T14:30:19"/>
    <s v="Aug"/>
    <n v="468930"/>
    <s v="INR"/>
    <n v="84240"/>
    <x v="1"/>
    <x v="6"/>
    <s v="NA"/>
    <s v="NA"/>
    <s v="Monday"/>
    <s v="Within"/>
    <x v="0"/>
    <x v="0"/>
    <s v="Aug"/>
    <x v="0"/>
  </r>
  <r>
    <n v="105"/>
    <s v="2021P41840"/>
    <n v="2021105"/>
    <s v="CC206692"/>
    <s v="C228"/>
    <d v="2020-08-18T00:00:00"/>
    <d v="1899-12-30T14:32:23"/>
    <s v="Aug"/>
    <n v="425960"/>
    <s v="INR"/>
    <n v="76500"/>
    <x v="7"/>
    <x v="6"/>
    <s v="NA"/>
    <s v="NA"/>
    <s v="Tuesday"/>
    <s v="Within"/>
    <x v="0"/>
    <x v="0"/>
    <s v="Aug"/>
    <x v="0"/>
  </r>
  <r>
    <n v="106"/>
    <s v="2021N11941"/>
    <n v="2021106"/>
    <s v="CC879716"/>
    <s v="C215"/>
    <d v="2020-08-18T00:00:00"/>
    <d v="1899-12-30T15:34:46"/>
    <s v="Aug"/>
    <n v="489420"/>
    <s v="INR"/>
    <n v="87660"/>
    <x v="11"/>
    <x v="1"/>
    <s v="NA"/>
    <s v="NA"/>
    <s v="Tuesday"/>
    <s v="Within"/>
    <x v="0"/>
    <x v="0"/>
    <s v="Aug"/>
    <x v="0"/>
  </r>
  <r>
    <n v="107"/>
    <s v="2021A11297"/>
    <n v="2021107"/>
    <s v="CC138113"/>
    <s v="C239"/>
    <d v="2020-08-18T00:00:00"/>
    <d v="1899-12-30T10:05:17"/>
    <s v="Aug"/>
    <n v="487730"/>
    <s v="INR"/>
    <n v="87300"/>
    <x v="6"/>
    <x v="5"/>
    <s v="NA"/>
    <s v="NA"/>
    <s v="Tuesday"/>
    <s v="Within"/>
    <x v="0"/>
    <x v="0"/>
    <s v="Aug"/>
    <x v="1"/>
  </r>
  <r>
    <n v="108"/>
    <s v="2021E11569"/>
    <n v="2021108"/>
    <s v="CC757686"/>
    <s v="C216"/>
    <d v="2020-08-19T00:00:00"/>
    <d v="1899-12-30T11:13:38"/>
    <s v="Aug"/>
    <n v="5435440"/>
    <s v="INR"/>
    <n v="978300"/>
    <x v="5"/>
    <x v="4"/>
    <s v="Approved"/>
    <s v="BM/CC757686C216"/>
    <s v="Wednesday"/>
    <s v="Within"/>
    <x v="0"/>
    <x v="0"/>
    <s v="Aug"/>
    <x v="0"/>
  </r>
  <r>
    <n v="109"/>
    <s v="2021U51929"/>
    <n v="2021109"/>
    <s v="CC824101"/>
    <s v="C247"/>
    <d v="2020-08-20T00:00:00"/>
    <d v="1899-12-30T13:59:38"/>
    <s v="Aug"/>
    <n v="228310"/>
    <s v="INR"/>
    <n v="40860"/>
    <x v="7"/>
    <x v="6"/>
    <s v="NA"/>
    <s v="NA"/>
    <s v="Thursday"/>
    <s v="Within"/>
    <x v="0"/>
    <x v="0"/>
    <s v="Aug"/>
    <x v="0"/>
  </r>
  <r>
    <n v="110"/>
    <s v="2021C81340"/>
    <n v="2021110"/>
    <s v="CC234912"/>
    <s v="C229"/>
    <d v="2020-08-20T00:00:00"/>
    <d v="1899-12-30T14:17:11"/>
    <s v="Aug"/>
    <n v="231130"/>
    <s v="INR"/>
    <n v="41220"/>
    <x v="11"/>
    <x v="6"/>
    <s v="NA"/>
    <s v="NA"/>
    <s v="Thursday"/>
    <s v="Within"/>
    <x v="0"/>
    <x v="0"/>
    <s v="Aug"/>
    <x v="0"/>
  </r>
  <r>
    <n v="111"/>
    <s v="2021G21610"/>
    <n v="2021111"/>
    <s v="CC194242"/>
    <s v="C240"/>
    <d v="2020-08-20T00:00:00"/>
    <d v="1899-12-30T15:41:01"/>
    <s v="Aug"/>
    <n v="309860"/>
    <s v="INR"/>
    <n v="55440"/>
    <x v="2"/>
    <x v="0"/>
    <s v="NA"/>
    <s v="NA"/>
    <s v="Thursday"/>
    <s v="Within"/>
    <x v="0"/>
    <x v="0"/>
    <s v="Aug"/>
    <x v="1"/>
  </r>
  <r>
    <n v="112"/>
    <s v="2021L81146"/>
    <n v="2021112"/>
    <s v="CC262751"/>
    <s v="C228"/>
    <d v="2020-08-26T00:00:00"/>
    <d v="1899-12-30T12:26:16"/>
    <s v="Aug"/>
    <n v="469290"/>
    <s v="INR"/>
    <n v="84420"/>
    <x v="8"/>
    <x v="10"/>
    <s v="NA"/>
    <s v="NA"/>
    <s v="Wednesday"/>
    <s v="Within"/>
    <x v="0"/>
    <x v="0"/>
    <s v="Aug"/>
    <x v="0"/>
  </r>
  <r>
    <n v="113"/>
    <s v="2021I11304"/>
    <n v="2021113"/>
    <s v="CC377358"/>
    <s v="C234"/>
    <d v="2020-08-26T00:00:00"/>
    <d v="1899-12-30T16:51:43"/>
    <s v="Aug"/>
    <n v="485210"/>
    <s v="INR"/>
    <n v="86940"/>
    <x v="8"/>
    <x v="6"/>
    <s v="NA"/>
    <s v="NA"/>
    <s v="Wednesday"/>
    <s v="Within"/>
    <x v="0"/>
    <x v="0"/>
    <s v="Aug"/>
    <x v="0"/>
  </r>
  <r>
    <n v="114"/>
    <s v="2021Q61728"/>
    <n v="2021114"/>
    <s v="CC550811"/>
    <s v="C222"/>
    <d v="2020-08-27T00:00:00"/>
    <d v="1899-12-30T16:27:16"/>
    <s v="Aug"/>
    <n v="336440"/>
    <s v="INR"/>
    <n v="60300"/>
    <x v="8"/>
    <x v="1"/>
    <s v="NA"/>
    <s v="NA"/>
    <s v="Thursday"/>
    <s v="Within"/>
    <x v="0"/>
    <x v="0"/>
    <s v="Aug"/>
    <x v="0"/>
  </r>
  <r>
    <n v="115"/>
    <s v="2021A61891"/>
    <n v="2021115"/>
    <s v="CC963120"/>
    <s v="C223"/>
    <d v="2020-08-31T00:00:00"/>
    <d v="1899-12-30T11:19:12"/>
    <s v="Aug"/>
    <n v="230600"/>
    <s v="INR"/>
    <n v="41400"/>
    <x v="2"/>
    <x v="6"/>
    <s v="NA"/>
    <s v="NA"/>
    <s v="Monday"/>
    <s v="Within"/>
    <x v="0"/>
    <x v="0"/>
    <s v="Aug"/>
    <x v="0"/>
  </r>
  <r>
    <n v="116"/>
    <s v="2021B81995"/>
    <n v="2021116"/>
    <s v="CC187415"/>
    <s v="C234"/>
    <d v="2020-08-31T00:00:00"/>
    <d v="1899-12-30T13:48:39"/>
    <s v="Aug"/>
    <n v="442130"/>
    <s v="INR"/>
    <n v="79380"/>
    <x v="11"/>
    <x v="0"/>
    <s v="NA"/>
    <s v="NA"/>
    <s v="Monday"/>
    <s v="Within"/>
    <x v="0"/>
    <x v="0"/>
    <s v="Aug"/>
    <x v="0"/>
  </r>
  <r>
    <n v="117"/>
    <s v="2021Q11357"/>
    <n v="2021117"/>
    <s v="CC678464"/>
    <s v="C208"/>
    <d v="2020-09-01T00:00:00"/>
    <d v="1899-12-30T17:07:40"/>
    <s v="Sep"/>
    <n v="347590"/>
    <s v="INR"/>
    <n v="62460"/>
    <x v="11"/>
    <x v="5"/>
    <s v="NA"/>
    <s v="NA"/>
    <s v="Tuesday"/>
    <s v="Within"/>
    <x v="0"/>
    <x v="0"/>
    <s v="Sep"/>
    <x v="0"/>
  </r>
  <r>
    <n v="118"/>
    <s v="2021W21207"/>
    <n v="2021118"/>
    <s v="CC658620"/>
    <s v="C214"/>
    <d v="2020-09-01T00:00:00"/>
    <d v="1899-12-30T16:20:51"/>
    <s v="Sep"/>
    <n v="484270"/>
    <s v="INR"/>
    <n v="86940"/>
    <x v="6"/>
    <x v="5"/>
    <s v="NA"/>
    <s v="NA"/>
    <s v="Tuesday"/>
    <s v="Within"/>
    <x v="0"/>
    <x v="0"/>
    <s v="Sep"/>
    <x v="0"/>
  </r>
  <r>
    <n v="119"/>
    <s v="2021I01370"/>
    <n v="2021119"/>
    <s v="CC272279"/>
    <s v="C213"/>
    <d v="2020-09-01T00:00:00"/>
    <d v="1899-12-30T12:35:08"/>
    <s v="Sep"/>
    <n v="371400"/>
    <s v="INR"/>
    <n v="66420"/>
    <x v="7"/>
    <x v="0"/>
    <s v="NA"/>
    <s v="NA"/>
    <s v="Tuesday"/>
    <s v="Within"/>
    <x v="0"/>
    <x v="0"/>
    <s v="Sep"/>
    <x v="0"/>
  </r>
  <r>
    <n v="120"/>
    <s v="2021A71500"/>
    <n v="2021120"/>
    <s v="CC926667"/>
    <s v="C233"/>
    <d v="2020-09-04T00:00:00"/>
    <d v="1899-12-30T14:44:26"/>
    <s v="Sep"/>
    <n v="413860"/>
    <s v="INR"/>
    <n v="74160"/>
    <x v="11"/>
    <x v="0"/>
    <s v="NA"/>
    <s v="NA"/>
    <s v="Friday"/>
    <s v="Within"/>
    <x v="0"/>
    <x v="0"/>
    <s v="Sep"/>
    <x v="0"/>
  </r>
  <r>
    <n v="121"/>
    <s v="2021G41623"/>
    <n v="2021121"/>
    <s v="CC669152"/>
    <s v="C225"/>
    <d v="2020-09-07T00:00:00"/>
    <d v="1899-12-30T11:03:53"/>
    <s v="Sep"/>
    <n v="496390"/>
    <s v="INR"/>
    <n v="89280"/>
    <x v="6"/>
    <x v="1"/>
    <s v="NA"/>
    <s v="NA"/>
    <s v="Monday"/>
    <s v="Within"/>
    <x v="0"/>
    <x v="0"/>
    <s v="Sep"/>
    <x v="0"/>
  </r>
  <r>
    <n v="122"/>
    <s v="2021Q11837"/>
    <n v="2021122"/>
    <s v="CC520152"/>
    <s v="C248"/>
    <d v="2020-09-07T00:00:00"/>
    <d v="1899-12-30T17:58:48"/>
    <s v="Sep"/>
    <n v="265640"/>
    <s v="INR"/>
    <n v="47520"/>
    <x v="1"/>
    <x v="10"/>
    <s v="NA"/>
    <s v="NA"/>
    <s v="Monday"/>
    <s v="Within"/>
    <x v="0"/>
    <x v="0"/>
    <s v="Sep"/>
    <x v="0"/>
  </r>
  <r>
    <n v="123"/>
    <s v="2021D01722"/>
    <n v="2021123"/>
    <s v="CC789932"/>
    <s v="C247"/>
    <d v="2020-09-08T00:00:00"/>
    <d v="1899-12-30T10:27:22"/>
    <s v="Aug"/>
    <n v="287540"/>
    <s v="INR"/>
    <n v="51480"/>
    <x v="1"/>
    <x v="6"/>
    <s v="NA"/>
    <s v="NA"/>
    <s v="Tuesday"/>
    <s v="Within"/>
    <x v="0"/>
    <x v="0"/>
    <s v="Sep"/>
    <x v="0"/>
  </r>
  <r>
    <n v="124"/>
    <s v="2021T41432"/>
    <n v="2021124"/>
    <s v="CC129136"/>
    <s v="C221"/>
    <d v="2020-09-09T00:00:00"/>
    <d v="1899-12-30T14:10:38"/>
    <s v="Sep"/>
    <n v="320190"/>
    <s v="INR"/>
    <n v="57240"/>
    <x v="0"/>
    <x v="0"/>
    <s v="NA"/>
    <s v="NA"/>
    <s v="Wednesday"/>
    <s v="Within"/>
    <x v="0"/>
    <x v="0"/>
    <s v="Sep"/>
    <x v="0"/>
  </r>
  <r>
    <n v="125"/>
    <s v="2021A61477"/>
    <n v="2021125"/>
    <s v="CC174050"/>
    <s v="C247"/>
    <d v="2020-09-11T00:00:00"/>
    <d v="1899-12-30T11:12:43"/>
    <s v="Sep"/>
    <n v="31200"/>
    <s v="INR"/>
    <n v="5220"/>
    <x v="10"/>
    <x v="12"/>
    <s v="NA"/>
    <s v="NA"/>
    <s v="Friday"/>
    <s v="Within"/>
    <x v="0"/>
    <x v="0"/>
    <s v="Sep"/>
    <x v="0"/>
  </r>
  <r>
    <n v="126"/>
    <s v="2021F71809"/>
    <n v="2021126"/>
    <s v="CC203129"/>
    <s v="C219"/>
    <d v="2020-09-11T00:00:00"/>
    <d v="1899-12-30T14:04:05"/>
    <s v="Sep"/>
    <n v="261830"/>
    <s v="INR"/>
    <n v="46620"/>
    <x v="6"/>
    <x v="1"/>
    <s v="NA"/>
    <s v="NA"/>
    <s v="Friday"/>
    <s v="Within"/>
    <x v="0"/>
    <x v="0"/>
    <s v="Sep"/>
    <x v="0"/>
  </r>
  <r>
    <n v="127"/>
    <s v="2021K81641"/>
    <n v="2021127"/>
    <s v="CC913019"/>
    <s v="C226"/>
    <d v="2020-09-16T00:00:00"/>
    <d v="1899-12-30T17:14:45"/>
    <s v="Sep"/>
    <n v="409610"/>
    <s v="INR"/>
    <n v="73260"/>
    <x v="1"/>
    <x v="1"/>
    <s v="NA"/>
    <s v="NA"/>
    <s v="Wednesday"/>
    <s v="Within"/>
    <x v="0"/>
    <x v="0"/>
    <s v="Sep"/>
    <x v="0"/>
  </r>
  <r>
    <n v="128"/>
    <s v="2021C71790"/>
    <n v="2021128"/>
    <s v="CC605123"/>
    <s v="C200"/>
    <d v="2020-09-16T00:00:00"/>
    <d v="1899-12-30T10:23:50"/>
    <s v="Sep"/>
    <n v="436450"/>
    <s v="INR"/>
    <n v="78300"/>
    <x v="2"/>
    <x v="0"/>
    <s v="NA"/>
    <s v="NA"/>
    <s v="Wednesday"/>
    <s v="Within"/>
    <x v="0"/>
    <x v="0"/>
    <s v="Sep"/>
    <x v="0"/>
  </r>
  <r>
    <n v="129"/>
    <s v="2021B71939"/>
    <n v="2021129"/>
    <s v="CC269136"/>
    <s v="C212"/>
    <d v="2020-09-18T00:00:00"/>
    <d v="1899-12-30T10:49:23"/>
    <s v="Sep"/>
    <n v="396810"/>
    <s v="INR"/>
    <n v="71100"/>
    <x v="8"/>
    <x v="5"/>
    <s v="NA"/>
    <s v="NA"/>
    <s v="Friday"/>
    <s v="Within"/>
    <x v="0"/>
    <x v="0"/>
    <s v="Sep"/>
    <x v="0"/>
  </r>
  <r>
    <n v="130"/>
    <s v="2021T21047"/>
    <n v="2021130"/>
    <s v="CC689289"/>
    <s v="C209"/>
    <d v="2020-09-19T00:00:00"/>
    <d v="1899-12-30T14:15:24"/>
    <s v="Sep"/>
    <n v="357630"/>
    <s v="INR"/>
    <n v="64260"/>
    <x v="8"/>
    <x v="6"/>
    <s v="NA"/>
    <s v="NA"/>
    <s v="Saturday"/>
    <s v="Within"/>
    <x v="0"/>
    <x v="0"/>
    <s v="Sep"/>
    <x v="0"/>
  </r>
  <r>
    <n v="131"/>
    <s v="2021H41240"/>
    <n v="2021131"/>
    <s v="CC372625"/>
    <s v="C224"/>
    <d v="2020-09-21T00:00:00"/>
    <d v="1899-12-30T12:54:30"/>
    <s v="Sep"/>
    <n v="257380"/>
    <s v="INR"/>
    <n v="46260"/>
    <x v="8"/>
    <x v="5"/>
    <s v="NA"/>
    <s v="NA"/>
    <s v="Monday"/>
    <s v="Within"/>
    <x v="0"/>
    <x v="0"/>
    <s v="Sep"/>
    <x v="0"/>
  </r>
  <r>
    <n v="132"/>
    <s v="2021V41995"/>
    <n v="2021132"/>
    <s v="CC818032"/>
    <s v="C222"/>
    <d v="2020-09-21T00:00:00"/>
    <d v="1899-12-30T15:12:11"/>
    <s v="Sep"/>
    <n v="260190"/>
    <s v="INR"/>
    <n v="46620"/>
    <x v="8"/>
    <x v="6"/>
    <s v="NA"/>
    <s v="NA"/>
    <s v="Monday"/>
    <s v="Within"/>
    <x v="0"/>
    <x v="0"/>
    <s v="Sep"/>
    <x v="0"/>
  </r>
  <r>
    <n v="133"/>
    <s v="2021j61812"/>
    <n v="2021133"/>
    <s v="CC360301"/>
    <s v="C202"/>
    <d v="2020-09-22T00:00:00"/>
    <d v="1899-12-30T13:23:09"/>
    <s v="Sep"/>
    <n v="425730"/>
    <s v="INR"/>
    <n v="76140"/>
    <x v="7"/>
    <x v="10"/>
    <s v="NA"/>
    <s v="NA"/>
    <s v="Tuesday"/>
    <s v="Within"/>
    <x v="0"/>
    <x v="0"/>
    <s v="Sep"/>
    <x v="0"/>
  </r>
  <r>
    <n v="134"/>
    <s v="2021T01222"/>
    <n v="2021134"/>
    <s v="CC490914"/>
    <s v="C229"/>
    <d v="2020-09-23T00:00:00"/>
    <d v="1899-12-30T10:12:09"/>
    <s v="Sep"/>
    <n v="499520"/>
    <s v="INR"/>
    <n v="89640"/>
    <x v="8"/>
    <x v="10"/>
    <s v="NA"/>
    <s v="NA"/>
    <s v="Wednesday"/>
    <s v="Within"/>
    <x v="0"/>
    <x v="0"/>
    <s v="Sep"/>
    <x v="0"/>
  </r>
  <r>
    <n v="135"/>
    <s v="2021Y21296"/>
    <n v="2021135"/>
    <s v="CC848821"/>
    <s v="C232"/>
    <d v="2020-09-24T00:00:00"/>
    <d v="1899-12-30T16:45:07"/>
    <s v="Sep"/>
    <n v="344930"/>
    <s v="INR"/>
    <n v="61740"/>
    <x v="8"/>
    <x v="5"/>
    <s v="NA"/>
    <s v="NA"/>
    <s v="Thursday"/>
    <s v="Within"/>
    <x v="0"/>
    <x v="0"/>
    <s v="Sep"/>
    <x v="0"/>
  </r>
  <r>
    <n v="136"/>
    <s v="2021N51813"/>
    <n v="2021136"/>
    <s v="CC365954"/>
    <s v="C212"/>
    <d v="2020-09-24T00:00:00"/>
    <d v="1899-12-30T17:09:52"/>
    <s v="Sep"/>
    <n v="272690"/>
    <s v="INR"/>
    <n v="48780"/>
    <x v="6"/>
    <x v="6"/>
    <s v="NA"/>
    <s v="NA"/>
    <s v="Thursday"/>
    <s v="Within"/>
    <x v="0"/>
    <x v="0"/>
    <s v="Sep"/>
    <x v="0"/>
  </r>
  <r>
    <n v="137"/>
    <s v="2021M61954"/>
    <n v="2021137"/>
    <s v="CC624106"/>
    <s v="C231"/>
    <d v="2020-09-25T00:00:00"/>
    <d v="1899-12-30T13:50:40"/>
    <s v="Sep"/>
    <n v="253760"/>
    <s v="INR"/>
    <n v="45360"/>
    <x v="1"/>
    <x v="1"/>
    <s v="NA"/>
    <s v="NA"/>
    <s v="Friday"/>
    <s v="Within"/>
    <x v="0"/>
    <x v="0"/>
    <s v="Sep"/>
    <x v="0"/>
  </r>
  <r>
    <n v="138"/>
    <s v="2021H81749"/>
    <n v="2021138"/>
    <s v="CC388111"/>
    <s v="C220"/>
    <d v="2020-09-26T00:00:00"/>
    <d v="1899-12-30T10:47:43"/>
    <s v="Sep"/>
    <n v="361660"/>
    <s v="INR"/>
    <n v="64800"/>
    <x v="11"/>
    <x v="6"/>
    <s v="NA"/>
    <s v="NA"/>
    <s v="Saturday"/>
    <s v="Within"/>
    <x v="0"/>
    <x v="0"/>
    <s v="Sep"/>
    <x v="0"/>
  </r>
  <r>
    <n v="139"/>
    <s v="2021P01829"/>
    <n v="2021139"/>
    <s v="CC692084"/>
    <s v="C213"/>
    <d v="2020-09-28T00:00:00"/>
    <d v="1899-12-30T15:36:19"/>
    <s v="Sep"/>
    <n v="325730"/>
    <s v="INR"/>
    <n v="58320"/>
    <x v="7"/>
    <x v="5"/>
    <s v="NA"/>
    <s v="NA"/>
    <s v="Monday"/>
    <s v="Within"/>
    <x v="0"/>
    <x v="0"/>
    <s v="Sep"/>
    <x v="0"/>
  </r>
  <r>
    <n v="140"/>
    <s v="2021K11075"/>
    <n v="2021140"/>
    <s v="CC226211"/>
    <s v="C200"/>
    <d v="2020-09-29T00:00:00"/>
    <d v="1899-12-30T12:49:53"/>
    <s v="Sep"/>
    <n v="343420"/>
    <s v="INR"/>
    <n v="61380"/>
    <x v="2"/>
    <x v="10"/>
    <s v="NA"/>
    <s v="NA"/>
    <s v="Tuesday"/>
    <s v="Within"/>
    <x v="0"/>
    <x v="0"/>
    <s v="Sep"/>
    <x v="0"/>
  </r>
  <r>
    <n v="141"/>
    <s v="2021A71669"/>
    <n v="2021141"/>
    <s v="CC718075"/>
    <s v="C217"/>
    <d v="2020-09-29T00:00:00"/>
    <d v="1899-12-30T13:20:58"/>
    <s v="Sep"/>
    <n v="413230"/>
    <s v="INR"/>
    <n v="74160"/>
    <x v="2"/>
    <x v="5"/>
    <s v="NA"/>
    <s v="NA"/>
    <s v="Tuesday"/>
    <s v="Within"/>
    <x v="0"/>
    <x v="0"/>
    <s v="Sep"/>
    <x v="0"/>
  </r>
  <r>
    <n v="142"/>
    <s v="2021Z31837"/>
    <n v="2021142"/>
    <s v="CC933354"/>
    <s v="C215"/>
    <d v="2020-09-30T00:00:00"/>
    <d v="1899-12-30T12:37:53"/>
    <s v="Sep"/>
    <n v="287450"/>
    <s v="INR"/>
    <n v="51480"/>
    <x v="7"/>
    <x v="5"/>
    <s v="NA"/>
    <s v="NA"/>
    <s v="Wednesday"/>
    <s v="Within"/>
    <x v="0"/>
    <x v="0"/>
    <s v="Sep"/>
    <x v="0"/>
  </r>
  <r>
    <n v="143"/>
    <s v="2021N81135"/>
    <n v="2021143"/>
    <s v="CC143212"/>
    <s v="C225"/>
    <d v="2020-09-30T00:00:00"/>
    <d v="1899-12-30T11:38:00"/>
    <s v="Sep"/>
    <n v="465230"/>
    <s v="INR"/>
    <n v="83700"/>
    <x v="0"/>
    <x v="1"/>
    <s v="NA"/>
    <s v="NA"/>
    <s v="Wednesday"/>
    <s v="Within"/>
    <x v="0"/>
    <x v="0"/>
    <s v="Sep"/>
    <x v="0"/>
  </r>
  <r>
    <n v="144"/>
    <s v="2021T41774"/>
    <n v="2021144"/>
    <s v="CC105500"/>
    <s v="C226"/>
    <d v="2020-09-30T00:00:00"/>
    <d v="1899-12-30T16:04:08"/>
    <s v="Sep"/>
    <n v="459200"/>
    <s v="INR"/>
    <n v="82440"/>
    <x v="1"/>
    <x v="1"/>
    <s v="NA"/>
    <s v="NA"/>
    <s v="Wednesday"/>
    <s v="Within"/>
    <x v="0"/>
    <x v="0"/>
    <s v="Sep"/>
    <x v="0"/>
  </r>
  <r>
    <n v="145"/>
    <s v="2021F71912"/>
    <n v="2021145"/>
    <s v="CC833641"/>
    <s v="C237"/>
    <d v="2020-09-30T00:00:00"/>
    <d v="1899-12-30T11:30:46"/>
    <s v="Sep"/>
    <n v="363610"/>
    <s v="INR"/>
    <n v="64980"/>
    <x v="7"/>
    <x v="1"/>
    <s v="NA"/>
    <s v="NA"/>
    <s v="Wednesday"/>
    <s v="Within"/>
    <x v="0"/>
    <x v="0"/>
    <s v="Sep"/>
    <x v="1"/>
  </r>
  <r>
    <n v="146"/>
    <s v="2021M31038"/>
    <n v="2021146"/>
    <s v="CC585370"/>
    <s v="C225"/>
    <d v="2020-09-30T00:00:00"/>
    <d v="1899-12-30T15:16:07"/>
    <s v="Sep"/>
    <n v="324490"/>
    <s v="INR"/>
    <n v="57960"/>
    <x v="1"/>
    <x v="1"/>
    <s v="NA"/>
    <s v="NA"/>
    <s v="Wednesday"/>
    <s v="Within"/>
    <x v="0"/>
    <x v="0"/>
    <s v="Sep"/>
    <x v="0"/>
  </r>
  <r>
    <n v="147"/>
    <s v="2021R71619"/>
    <n v="2021147"/>
    <s v="CC676088"/>
    <s v="C220"/>
    <d v="2020-10-01T00:00:00"/>
    <d v="1899-12-30T17:23:12"/>
    <s v="Oct"/>
    <n v="477100"/>
    <s v="INR"/>
    <n v="85500"/>
    <x v="0"/>
    <x v="10"/>
    <s v="NA"/>
    <s v="NA"/>
    <s v="Thursday"/>
    <s v="Within"/>
    <x v="0"/>
    <x v="0"/>
    <s v="Oct"/>
    <x v="0"/>
  </r>
  <r>
    <n v="148"/>
    <s v="2021G41356"/>
    <n v="2021148"/>
    <s v="CC744652"/>
    <s v="C230"/>
    <d v="2020-10-02T00:00:00"/>
    <d v="1899-12-30T12:11:37"/>
    <s v="Sep"/>
    <n v="277730"/>
    <s v="INR"/>
    <n v="49500"/>
    <x v="1"/>
    <x v="1"/>
    <s v="NA"/>
    <s v="NA"/>
    <s v="Friday"/>
    <s v="Within"/>
    <x v="0"/>
    <x v="0"/>
    <s v="Oct"/>
    <x v="0"/>
  </r>
  <r>
    <n v="149"/>
    <s v="2021W91598"/>
    <n v="2021149"/>
    <s v="CC417823"/>
    <s v="C233"/>
    <d v="2020-10-02T00:00:00"/>
    <d v="1899-12-30T14:01:25"/>
    <s v="Sep"/>
    <n v="338510"/>
    <s v="INR"/>
    <n v="60660"/>
    <x v="11"/>
    <x v="6"/>
    <s v="NA"/>
    <s v="NA"/>
    <s v="Friday"/>
    <s v="Within"/>
    <x v="0"/>
    <x v="0"/>
    <s v="Oct"/>
    <x v="0"/>
  </r>
  <r>
    <n v="150"/>
    <s v="2021Z91645"/>
    <n v="2021150"/>
    <s v="CC259184"/>
    <s v="C216"/>
    <d v="2020-10-09T00:00:00"/>
    <d v="1899-12-30T13:11:48"/>
    <s v="Sep"/>
    <n v="494440"/>
    <s v="INR"/>
    <n v="88920"/>
    <x v="8"/>
    <x v="6"/>
    <s v="NA"/>
    <s v="NA"/>
    <s v="Friday"/>
    <s v="Within"/>
    <x v="0"/>
    <x v="0"/>
    <s v="Oct"/>
    <x v="0"/>
  </r>
  <r>
    <n v="151"/>
    <s v="2021D71186"/>
    <n v="2021151"/>
    <s v="CC327987"/>
    <s v="C247"/>
    <d v="2020-10-10T00:00:00"/>
    <d v="1899-12-30T11:18:30"/>
    <s v="Oct"/>
    <n v="354520"/>
    <s v="INR"/>
    <n v="63540"/>
    <x v="1"/>
    <x v="5"/>
    <s v="NA"/>
    <s v="NA"/>
    <s v="Saturday"/>
    <s v="Within"/>
    <x v="0"/>
    <x v="0"/>
    <s v="Oct"/>
    <x v="0"/>
  </r>
  <r>
    <n v="152"/>
    <s v="2021N21531"/>
    <n v="2021152"/>
    <s v="CC809239"/>
    <s v="C208"/>
    <d v="2020-10-10T00:00:00"/>
    <d v="1899-12-30T12:53:37"/>
    <s v="Oct"/>
    <n v="236430"/>
    <s v="INR"/>
    <n v="42300"/>
    <x v="2"/>
    <x v="1"/>
    <s v="NA"/>
    <s v="NA"/>
    <s v="Saturday"/>
    <s v="Within"/>
    <x v="0"/>
    <x v="0"/>
    <s v="Oct"/>
    <x v="0"/>
  </r>
  <r>
    <n v="153"/>
    <s v="2021E11764"/>
    <n v="2021153"/>
    <s v="CC619981"/>
    <s v="C221"/>
    <d v="2020-10-10T00:00:00"/>
    <d v="1899-12-30T10:05:38"/>
    <s v="Oct"/>
    <n v="269550"/>
    <s v="INR"/>
    <n v="48240"/>
    <x v="0"/>
    <x v="1"/>
    <s v="NA"/>
    <s v="NA"/>
    <s v="Saturday"/>
    <s v="Within"/>
    <x v="0"/>
    <x v="0"/>
    <s v="Oct"/>
    <x v="0"/>
  </r>
  <r>
    <n v="154"/>
    <s v="2021U91067"/>
    <n v="2021154"/>
    <s v="CC625217"/>
    <s v="C215"/>
    <d v="2020-10-12T00:00:00"/>
    <d v="1899-12-30T16:52:19"/>
    <s v="Oct"/>
    <n v="4699400"/>
    <s v="INR"/>
    <n v="845640"/>
    <x v="5"/>
    <x v="4"/>
    <s v="NA"/>
    <s v="NA"/>
    <s v="Monday"/>
    <s v="Within"/>
    <x v="0"/>
    <x v="0"/>
    <s v="Oct"/>
    <x v="0"/>
  </r>
  <r>
    <n v="155"/>
    <s v="2021T31939"/>
    <n v="2021155"/>
    <s v="CC677517"/>
    <s v="C203"/>
    <d v="2020-10-12T00:00:00"/>
    <d v="1899-12-30T11:25:52"/>
    <s v="Oct"/>
    <n v="40290"/>
    <s v="INR"/>
    <n v="7200"/>
    <x v="4"/>
    <x v="12"/>
    <s v="NA"/>
    <s v="NA"/>
    <s v="Monday"/>
    <s v="Within"/>
    <x v="0"/>
    <x v="0"/>
    <s v="Oct"/>
    <x v="0"/>
  </r>
  <r>
    <n v="156"/>
    <s v="2021P31013"/>
    <n v="2021156"/>
    <s v="CC702013"/>
    <s v="C242"/>
    <d v="2020-10-16T00:00:00"/>
    <d v="1899-12-30T16:59:57"/>
    <s v="Oct"/>
    <n v="427530"/>
    <s v="INR"/>
    <n v="76860"/>
    <x v="1"/>
    <x v="6"/>
    <s v="NA"/>
    <s v="NA"/>
    <s v="Friday"/>
    <s v="Within"/>
    <x v="0"/>
    <x v="0"/>
    <s v="Oct"/>
    <x v="0"/>
  </r>
  <r>
    <n v="157"/>
    <s v="2021S81432"/>
    <n v="2021157"/>
    <s v="CC779818"/>
    <s v="C247"/>
    <d v="2020-10-17T00:00:00"/>
    <d v="1899-12-30T11:09:58"/>
    <s v="Oct"/>
    <n v="375010"/>
    <s v="INR"/>
    <n v="67320"/>
    <x v="1"/>
    <x v="6"/>
    <s v="NA"/>
    <s v="NA"/>
    <s v="Saturday"/>
    <s v="Within"/>
    <x v="0"/>
    <x v="0"/>
    <s v="Oct"/>
    <x v="0"/>
  </r>
  <r>
    <n v="158"/>
    <s v="2021U21619"/>
    <n v="2021158"/>
    <s v="CC454104"/>
    <s v="C208"/>
    <d v="2020-10-21T00:00:00"/>
    <d v="1899-12-30T12:51:49"/>
    <s v="Oct"/>
    <n v="233840"/>
    <s v="INR"/>
    <n v="41580"/>
    <x v="7"/>
    <x v="5"/>
    <s v="NA"/>
    <s v="NA"/>
    <s v="Wednesday"/>
    <s v="Within"/>
    <x v="0"/>
    <x v="0"/>
    <s v="Oct"/>
    <x v="0"/>
  </r>
  <r>
    <n v="159"/>
    <s v="2021D91475"/>
    <n v="2021159"/>
    <s v="CC924095"/>
    <s v="C231"/>
    <d v="2020-10-21T00:00:00"/>
    <d v="1899-12-30T10:05:22"/>
    <s v="Oct"/>
    <n v="486560"/>
    <s v="INR"/>
    <n v="87300"/>
    <x v="0"/>
    <x v="6"/>
    <s v="NA"/>
    <s v="NA"/>
    <s v="Wednesday"/>
    <s v="Within"/>
    <x v="0"/>
    <x v="0"/>
    <s v="Oct"/>
    <x v="0"/>
  </r>
  <r>
    <n v="160"/>
    <s v="2021V91929"/>
    <n v="2021160"/>
    <s v="CC301372"/>
    <s v="C217"/>
    <d v="2020-10-22T00:00:00"/>
    <d v="1899-12-30T13:11:05"/>
    <s v="Oct"/>
    <n v="394840"/>
    <s v="INR"/>
    <n v="70560"/>
    <x v="7"/>
    <x v="10"/>
    <s v="NA"/>
    <s v="NA"/>
    <s v="Thursday"/>
    <s v="Within"/>
    <x v="0"/>
    <x v="0"/>
    <s v="Oct"/>
    <x v="0"/>
  </r>
  <r>
    <n v="161"/>
    <s v="2021Y01767"/>
    <n v="2021161"/>
    <s v="CC180974"/>
    <s v="C207"/>
    <d v="2020-10-23T00:00:00"/>
    <d v="1899-12-30T13:14:31"/>
    <s v="Oct"/>
    <n v="496620"/>
    <s v="INR"/>
    <n v="88920"/>
    <x v="7"/>
    <x v="10"/>
    <s v="NA"/>
    <s v="NA"/>
    <s v="Friday"/>
    <s v="Within"/>
    <x v="0"/>
    <x v="0"/>
    <s v="Oct"/>
    <x v="0"/>
  </r>
  <r>
    <n v="162"/>
    <s v="2021L21306"/>
    <n v="2021162"/>
    <s v="CC879944"/>
    <s v="C203"/>
    <d v="2020-10-23T00:00:00"/>
    <d v="1899-12-30T12:01:58"/>
    <s v="Oct"/>
    <n v="423630"/>
    <s v="INR"/>
    <n v="75780"/>
    <x v="8"/>
    <x v="5"/>
    <s v="NA"/>
    <s v="NA"/>
    <s v="Friday"/>
    <s v="Within"/>
    <x v="0"/>
    <x v="0"/>
    <s v="Oct"/>
    <x v="0"/>
  </r>
  <r>
    <n v="163"/>
    <s v="2021X31264"/>
    <n v="2021163"/>
    <s v="CC309164"/>
    <s v="C219"/>
    <d v="2020-10-26T00:00:00"/>
    <d v="1899-12-30T11:45:11"/>
    <s v="Oct"/>
    <n v="342230"/>
    <s v="INR"/>
    <n v="61200"/>
    <x v="0"/>
    <x v="0"/>
    <s v="NA"/>
    <s v="NA"/>
    <s v="Monday"/>
    <s v="Within"/>
    <x v="0"/>
    <x v="0"/>
    <s v="Oct"/>
    <x v="0"/>
  </r>
  <r>
    <n v="164"/>
    <s v="2021Q41237"/>
    <n v="2021164"/>
    <s v="CC555009"/>
    <s v="C208"/>
    <d v="2020-10-27T00:00:00"/>
    <d v="1899-12-30T11:32:12"/>
    <s v="Oct"/>
    <n v="313120"/>
    <s v="INR"/>
    <n v="56340"/>
    <x v="0"/>
    <x v="1"/>
    <s v="NA"/>
    <s v="NA"/>
    <s v="Tuesday"/>
    <s v="Within"/>
    <x v="0"/>
    <x v="0"/>
    <s v="Oct"/>
    <x v="0"/>
  </r>
  <r>
    <n v="165"/>
    <s v="2021U31823"/>
    <n v="2021165"/>
    <s v="CC967324"/>
    <s v="C238"/>
    <d v="2020-10-28T00:00:00"/>
    <d v="1899-12-30T15:45:01"/>
    <s v="Oct"/>
    <n v="482500"/>
    <s v="INR"/>
    <n v="86580"/>
    <x v="0"/>
    <x v="1"/>
    <s v="NA"/>
    <s v="NA"/>
    <s v="Wednesday"/>
    <s v="Within"/>
    <x v="0"/>
    <x v="0"/>
    <s v="Oct"/>
    <x v="1"/>
  </r>
  <r>
    <n v="166"/>
    <s v="2021R11934"/>
    <n v="2021166"/>
    <s v="CC203009"/>
    <s v="C244"/>
    <d v="2020-10-29T00:00:00"/>
    <d v="1899-12-30T10:08:49"/>
    <s v="Oct"/>
    <n v="228570"/>
    <s v="INR"/>
    <n v="41040"/>
    <x v="0"/>
    <x v="6"/>
    <s v="NA"/>
    <s v="NA"/>
    <s v="Thursday"/>
    <s v="Within"/>
    <x v="0"/>
    <x v="0"/>
    <s v="Oct"/>
    <x v="0"/>
  </r>
  <r>
    <n v="167"/>
    <s v="2021Q71393"/>
    <n v="2021167"/>
    <s v="CC492186"/>
    <s v="C214"/>
    <d v="2020-10-31T00:00:00"/>
    <d v="1899-12-30T14:31:53"/>
    <s v="Oct"/>
    <n v="374680"/>
    <s v="INR"/>
    <n v="66960"/>
    <x v="11"/>
    <x v="10"/>
    <s v="NA"/>
    <s v="NA"/>
    <s v="Saturday"/>
    <s v="Within"/>
    <x v="0"/>
    <x v="0"/>
    <s v="Oct"/>
    <x v="0"/>
  </r>
  <r>
    <n v="168"/>
    <s v="2021B11249"/>
    <n v="2021168"/>
    <s v="CC246720"/>
    <s v="C209"/>
    <d v="2020-10-31T00:00:00"/>
    <d v="1899-12-30T12:40:46"/>
    <s v="Oct"/>
    <n v="270290"/>
    <s v="INR"/>
    <n v="48600"/>
    <x v="6"/>
    <x v="5"/>
    <s v="NA"/>
    <s v="NA"/>
    <s v="Saturday"/>
    <s v="Within"/>
    <x v="0"/>
    <x v="0"/>
    <s v="Oct"/>
    <x v="0"/>
  </r>
  <r>
    <n v="169"/>
    <s v="2021C71712"/>
    <n v="2021169"/>
    <s v="CC694226"/>
    <s v="C216"/>
    <d v="2020-11-05T00:00:00"/>
    <d v="1899-12-30T11:59:48"/>
    <s v="Nov"/>
    <n v="230290"/>
    <s v="INR"/>
    <n v="41220"/>
    <x v="2"/>
    <x v="0"/>
    <s v="NA"/>
    <s v="NA"/>
    <s v="Thursday"/>
    <s v="Within"/>
    <x v="0"/>
    <x v="0"/>
    <s v="Nov"/>
    <x v="0"/>
  </r>
  <r>
    <n v="170"/>
    <s v="2021B01057"/>
    <n v="2021170"/>
    <s v="CC542046"/>
    <s v="C232"/>
    <d v="2020-11-05T00:00:00"/>
    <d v="1899-12-30T10:39:04"/>
    <s v="Nov"/>
    <n v="204300"/>
    <s v="INR"/>
    <n v="36720"/>
    <x v="1"/>
    <x v="10"/>
    <s v="NA"/>
    <s v="NA"/>
    <s v="Thursday"/>
    <s v="Within"/>
    <x v="0"/>
    <x v="0"/>
    <s v="Nov"/>
    <x v="0"/>
  </r>
  <r>
    <n v="171"/>
    <s v="2021N41706"/>
    <n v="2021171"/>
    <s v="CC700480"/>
    <s v="C215"/>
    <d v="2020-11-05T00:00:00"/>
    <d v="1899-12-30T11:17:20"/>
    <s v="Nov"/>
    <n v="429430"/>
    <s v="INR"/>
    <n v="77220"/>
    <x v="2"/>
    <x v="10"/>
    <s v="NA"/>
    <s v="NA"/>
    <s v="Thursday"/>
    <s v="Within"/>
    <x v="0"/>
    <x v="0"/>
    <s v="Nov"/>
    <x v="0"/>
  </r>
  <r>
    <n v="172"/>
    <s v="2021U31013"/>
    <n v="2021172"/>
    <s v="CC333327"/>
    <s v="C225"/>
    <d v="2020-11-06T00:00:00"/>
    <d v="1899-12-30T15:13:56"/>
    <s v="Nov"/>
    <n v="208840"/>
    <s v="INR"/>
    <n v="37440"/>
    <x v="1"/>
    <x v="5"/>
    <s v="NA"/>
    <s v="NA"/>
    <s v="Friday"/>
    <s v="Within"/>
    <x v="0"/>
    <x v="0"/>
    <s v="Nov"/>
    <x v="0"/>
  </r>
  <r>
    <n v="173"/>
    <s v="2021X41947"/>
    <n v="2021173"/>
    <s v="CC325561"/>
    <s v="C226"/>
    <d v="2020-11-07T00:00:00"/>
    <d v="1899-12-30T16:13:58"/>
    <s v="Nov"/>
    <n v="459190"/>
    <s v="INR"/>
    <n v="82620"/>
    <x v="1"/>
    <x v="5"/>
    <s v="NA"/>
    <s v="NA"/>
    <s v="Saturday"/>
    <s v="Within"/>
    <x v="0"/>
    <x v="0"/>
    <s v="Nov"/>
    <x v="0"/>
  </r>
  <r>
    <n v="174"/>
    <s v="2021G71031"/>
    <n v="2021174"/>
    <s v="CC256327"/>
    <s v="C226"/>
    <d v="2020-11-07T00:00:00"/>
    <d v="1899-12-30T15:44:25"/>
    <s v="Oct"/>
    <n v="356940"/>
    <s v="INR"/>
    <n v="64080"/>
    <x v="6"/>
    <x v="1"/>
    <s v="NA"/>
    <s v="NA"/>
    <s v="Saturday"/>
    <s v="Within"/>
    <x v="0"/>
    <x v="0"/>
    <s v="Nov"/>
    <x v="0"/>
  </r>
  <r>
    <n v="175"/>
    <s v="2021W41973"/>
    <n v="2021175"/>
    <s v="CC489112"/>
    <s v="C234"/>
    <d v="2020-11-13T00:00:00"/>
    <d v="1899-12-30T17:24:26"/>
    <s v="Nov"/>
    <n v="205260"/>
    <s v="INR"/>
    <n v="36720"/>
    <x v="7"/>
    <x v="0"/>
    <s v="NA"/>
    <s v="NA"/>
    <s v="Friday"/>
    <s v="Within"/>
    <x v="0"/>
    <x v="0"/>
    <s v="Nov"/>
    <x v="0"/>
  </r>
  <r>
    <n v="176"/>
    <s v="2021J51508"/>
    <n v="2021176"/>
    <s v="CC853034"/>
    <s v="C244"/>
    <d v="2020-11-13T00:00:00"/>
    <d v="1899-12-30T16:37:33"/>
    <s v="Nov"/>
    <n v="397250"/>
    <s v="INR"/>
    <n v="71460"/>
    <x v="11"/>
    <x v="1"/>
    <s v="NA"/>
    <s v="NA"/>
    <s v="Friday"/>
    <s v="Within"/>
    <x v="0"/>
    <x v="0"/>
    <s v="Nov"/>
    <x v="0"/>
  </r>
  <r>
    <n v="177"/>
    <s v="2021J11327"/>
    <n v="2021177"/>
    <s v="CC347294"/>
    <s v="C228"/>
    <d v="2020-11-13T00:00:00"/>
    <d v="1899-12-30T10:09:39"/>
    <s v="Nov"/>
    <n v="473010"/>
    <s v="INR"/>
    <n v="84780"/>
    <x v="0"/>
    <x v="6"/>
    <s v="NA"/>
    <s v="NA"/>
    <s v="Friday"/>
    <s v="Within"/>
    <x v="0"/>
    <x v="0"/>
    <s v="Nov"/>
    <x v="0"/>
  </r>
  <r>
    <n v="178"/>
    <s v="2021V21414"/>
    <n v="2021178"/>
    <s v="CC114057"/>
    <s v="C230"/>
    <d v="2020-11-18T00:00:00"/>
    <d v="1899-12-30T14:13:18"/>
    <s v="Nov"/>
    <n v="497830"/>
    <s v="INR"/>
    <n v="89280"/>
    <x v="0"/>
    <x v="6"/>
    <s v="NA"/>
    <s v="NA"/>
    <s v="Wednesday"/>
    <s v="Within"/>
    <x v="0"/>
    <x v="0"/>
    <s v="Nov"/>
    <x v="0"/>
  </r>
  <r>
    <n v="179"/>
    <s v="2021D41324"/>
    <n v="2021179"/>
    <s v="CC347326"/>
    <s v="C232"/>
    <d v="2020-11-19T00:00:00"/>
    <d v="1899-12-30T13:45:47"/>
    <s v="Nov"/>
    <n v="260110"/>
    <s v="INR"/>
    <n v="46620"/>
    <x v="11"/>
    <x v="0"/>
    <s v="NA"/>
    <s v="NA"/>
    <s v="Thursday"/>
    <s v="Within"/>
    <x v="0"/>
    <x v="0"/>
    <s v="Nov"/>
    <x v="0"/>
  </r>
  <r>
    <n v="180"/>
    <s v="2021Z71400"/>
    <n v="2021180"/>
    <s v="CC959522"/>
    <s v="C201"/>
    <d v="2020-11-20T00:00:00"/>
    <d v="1899-12-30T16:14:03"/>
    <s v="Nov"/>
    <n v="270080"/>
    <s v="INR"/>
    <n v="48240"/>
    <x v="8"/>
    <x v="0"/>
    <s v="NA"/>
    <s v="NA"/>
    <s v="Friday"/>
    <s v="Within"/>
    <x v="0"/>
    <x v="0"/>
    <s v="Nov"/>
    <x v="0"/>
  </r>
  <r>
    <n v="181"/>
    <s v="2021A71034"/>
    <n v="2021181"/>
    <s v="CC356891"/>
    <s v="C221"/>
    <d v="2020-11-25T00:00:00"/>
    <d v="1899-12-30T16:09:55"/>
    <s v="Nov"/>
    <n v="422330"/>
    <s v="INR"/>
    <n v="75960"/>
    <x v="2"/>
    <x v="1"/>
    <s v="NA"/>
    <s v="NA"/>
    <s v="Wednesday"/>
    <s v="Within"/>
    <x v="0"/>
    <x v="0"/>
    <s v="Nov"/>
    <x v="0"/>
  </r>
  <r>
    <n v="182"/>
    <s v="2021J01515"/>
    <n v="2021182"/>
    <s v="CC460870"/>
    <s v="C240"/>
    <d v="2020-11-26T00:00:00"/>
    <d v="1899-12-30T15:45:55"/>
    <s v="Nov"/>
    <n v="252510"/>
    <s v="INR"/>
    <n v="45360"/>
    <x v="8"/>
    <x v="10"/>
    <s v="NA"/>
    <s v="NA"/>
    <s v="Thursday"/>
    <s v="Within"/>
    <x v="0"/>
    <x v="0"/>
    <s v="Nov"/>
    <x v="1"/>
  </r>
  <r>
    <n v="183"/>
    <s v="2021O61093"/>
    <n v="2021183"/>
    <s v="CC193334"/>
    <s v="C240"/>
    <d v="2020-11-27T00:00:00"/>
    <d v="1899-12-30T16:53:26"/>
    <s v="Nov"/>
    <n v="376120"/>
    <s v="INR"/>
    <n v="67500"/>
    <x v="6"/>
    <x v="0"/>
    <s v="NA"/>
    <s v="NA"/>
    <s v="Friday"/>
    <s v="Within"/>
    <x v="0"/>
    <x v="0"/>
    <s v="Nov"/>
    <x v="1"/>
  </r>
  <r>
    <n v="184"/>
    <s v="2021R21681"/>
    <n v="2021184"/>
    <s v="CC362924"/>
    <s v="C239"/>
    <d v="2020-11-27T00:00:00"/>
    <d v="1899-12-30T15:35:15"/>
    <s v="Nov"/>
    <n v="367080"/>
    <s v="INR"/>
    <n v="65700"/>
    <x v="1"/>
    <x v="6"/>
    <s v="NA"/>
    <s v="NA"/>
    <s v="Friday"/>
    <s v="Within"/>
    <x v="0"/>
    <x v="0"/>
    <s v="Nov"/>
    <x v="1"/>
  </r>
  <r>
    <n v="185"/>
    <s v="2021N81182"/>
    <n v="2021185"/>
    <s v="CC900413"/>
    <s v="C201"/>
    <d v="2020-11-27T00:00:00"/>
    <d v="1899-12-30T11:02:38"/>
    <s v="Nov"/>
    <n v="39110"/>
    <s v="INR"/>
    <n v="7020"/>
    <x v="4"/>
    <x v="7"/>
    <s v="NA"/>
    <s v="NA"/>
    <s v="Friday"/>
    <s v="Within"/>
    <x v="0"/>
    <x v="0"/>
    <s v="Nov"/>
    <x v="0"/>
  </r>
  <r>
    <n v="186"/>
    <s v="2021M41259"/>
    <n v="2021186"/>
    <s v="CC342892"/>
    <s v="C205"/>
    <d v="2020-11-28T00:00:00"/>
    <d v="1899-12-30T10:11:31"/>
    <s v="Nov"/>
    <n v="246800"/>
    <s v="INR"/>
    <n v="44280"/>
    <x v="1"/>
    <x v="10"/>
    <s v="NA"/>
    <s v="NA"/>
    <s v="Saturday"/>
    <s v="Within"/>
    <x v="0"/>
    <x v="0"/>
    <s v="Nov"/>
    <x v="0"/>
  </r>
  <r>
    <n v="187"/>
    <s v="2021L41581"/>
    <n v="2021187"/>
    <s v="CC504113"/>
    <s v="C219"/>
    <d v="2020-11-30T00:00:00"/>
    <d v="1899-12-30T11:10:14"/>
    <s v="Oct"/>
    <n v="339230"/>
    <s v="INR"/>
    <n v="60840"/>
    <x v="11"/>
    <x v="10"/>
    <s v="NA"/>
    <s v="NA"/>
    <s v="Monday"/>
    <s v="Within"/>
    <x v="0"/>
    <x v="0"/>
    <s v="Nov"/>
    <x v="0"/>
  </r>
  <r>
    <n v="188"/>
    <s v="2021L41475"/>
    <n v="2021188"/>
    <s v="CC738266"/>
    <s v="C208"/>
    <d v="2020-11-30T00:00:00"/>
    <d v="1899-12-30T16:37:29"/>
    <s v="Nov"/>
    <n v="359950"/>
    <s v="INR"/>
    <n v="64440"/>
    <x v="11"/>
    <x v="0"/>
    <s v="NA"/>
    <s v="NA"/>
    <s v="Monday"/>
    <s v="Within"/>
    <x v="0"/>
    <x v="0"/>
    <s v="Nov"/>
    <x v="0"/>
  </r>
  <r>
    <n v="189"/>
    <s v="2021B91790"/>
    <n v="2021189"/>
    <s v="CC185236"/>
    <s v="C228"/>
    <d v="2020-12-05T00:00:00"/>
    <d v="1899-12-30T11:33:45"/>
    <s v="Dec"/>
    <n v="342950"/>
    <s v="INR"/>
    <n v="61380"/>
    <x v="8"/>
    <x v="0"/>
    <s v="NA"/>
    <s v="NA"/>
    <s v="Saturday"/>
    <s v="Within"/>
    <x v="0"/>
    <x v="0"/>
    <s v="Dec"/>
    <x v="0"/>
  </r>
  <r>
    <n v="190"/>
    <s v="2021T81296"/>
    <n v="2021190"/>
    <s v="CC433773"/>
    <s v="C239"/>
    <d v="2020-12-05T00:00:00"/>
    <d v="1899-12-30T15:16:28"/>
    <s v="Dec"/>
    <n v="406180"/>
    <s v="INR"/>
    <n v="73080"/>
    <x v="8"/>
    <x v="5"/>
    <s v="NA"/>
    <s v="NA"/>
    <s v="Saturday"/>
    <s v="Within"/>
    <x v="0"/>
    <x v="0"/>
    <s v="Dec"/>
    <x v="1"/>
  </r>
  <r>
    <n v="191"/>
    <s v="2021F11411"/>
    <n v="2021191"/>
    <s v="CC494319"/>
    <s v="C241"/>
    <d v="2020-12-05T00:00:00"/>
    <d v="1899-12-30T10:40:18"/>
    <s v="Dec"/>
    <n v="5702060"/>
    <s v="INR"/>
    <n v="1026000"/>
    <x v="5"/>
    <x v="4"/>
    <s v="Approved"/>
    <s v="BM/CC494319C241"/>
    <s v="Saturday"/>
    <s v="Within"/>
    <x v="0"/>
    <x v="0"/>
    <s v="Dec"/>
    <x v="0"/>
  </r>
  <r>
    <n v="192"/>
    <s v="2021P71495"/>
    <n v="2021192"/>
    <s v="CC878640"/>
    <s v="C204"/>
    <d v="2020-12-07T00:00:00"/>
    <d v="1899-12-30T14:56:53"/>
    <s v="Dec"/>
    <n v="307890"/>
    <s v="INR"/>
    <n v="55080"/>
    <x v="7"/>
    <x v="10"/>
    <s v="NA"/>
    <s v="NA"/>
    <s v="Monday"/>
    <s v="Within"/>
    <x v="0"/>
    <x v="0"/>
    <s v="Dec"/>
    <x v="0"/>
  </r>
  <r>
    <n v="193"/>
    <s v="2021I01944"/>
    <n v="2021193"/>
    <s v="CC990867"/>
    <s v="C247"/>
    <d v="2020-12-07T00:00:00"/>
    <d v="1899-12-30T13:22:58"/>
    <s v="Dec"/>
    <n v="391680"/>
    <s v="INR"/>
    <n v="70380"/>
    <x v="6"/>
    <x v="1"/>
    <s v="NA"/>
    <s v="NA"/>
    <s v="Monday"/>
    <s v="Within"/>
    <x v="0"/>
    <x v="0"/>
    <s v="Dec"/>
    <x v="0"/>
  </r>
  <r>
    <n v="194"/>
    <s v="2021A11702"/>
    <n v="2021194"/>
    <s v="CC939783"/>
    <s v="C218"/>
    <d v="2020-12-08T00:00:00"/>
    <d v="1899-12-30T16:40:15"/>
    <s v="Dec"/>
    <n v="13558220"/>
    <s v="INR"/>
    <n v="2440080"/>
    <x v="5"/>
    <x v="4"/>
    <s v="Approved"/>
    <s v="BM/CC939783C218"/>
    <s v="Tuesday"/>
    <s v="Within"/>
    <x v="0"/>
    <x v="0"/>
    <s v="Dec"/>
    <x v="0"/>
  </r>
  <r>
    <n v="195"/>
    <s v="2021O01979"/>
    <n v="2021195"/>
    <s v="CC892065"/>
    <s v="C241"/>
    <d v="2020-12-17T00:00:00"/>
    <d v="1899-12-30T11:17:17"/>
    <s v="Dec"/>
    <n v="271590"/>
    <s v="INR"/>
    <n v="48600"/>
    <x v="1"/>
    <x v="1"/>
    <s v="NA"/>
    <s v="NA"/>
    <s v="Thursday"/>
    <s v="Within"/>
    <x v="0"/>
    <x v="0"/>
    <s v="Dec"/>
    <x v="0"/>
  </r>
  <r>
    <n v="196"/>
    <s v="2021F61628"/>
    <n v="2021196"/>
    <s v="CC593890"/>
    <s v="C216"/>
    <d v="2020-12-18T00:00:00"/>
    <d v="1899-12-30T13:17:44"/>
    <s v="Dec"/>
    <n v="334350"/>
    <s v="INR"/>
    <n v="60120"/>
    <x v="11"/>
    <x v="10"/>
    <s v="NA"/>
    <s v="NA"/>
    <s v="Friday"/>
    <s v="Within"/>
    <x v="0"/>
    <x v="0"/>
    <s v="Dec"/>
    <x v="0"/>
  </r>
  <r>
    <n v="197"/>
    <s v="2021W81685"/>
    <n v="2021197"/>
    <s v="CC538653"/>
    <s v="C240"/>
    <d v="2020-12-21T00:00:00"/>
    <d v="1899-12-30T10:05:54"/>
    <s v="Dec"/>
    <n v="342230"/>
    <s v="INR"/>
    <n v="61200"/>
    <x v="0"/>
    <x v="1"/>
    <s v="NA"/>
    <s v="NA"/>
    <s v="Monday"/>
    <s v="Within"/>
    <x v="0"/>
    <x v="0"/>
    <s v="Dec"/>
    <x v="1"/>
  </r>
  <r>
    <n v="198"/>
    <s v="2021X11212"/>
    <n v="2021198"/>
    <s v="CC617656"/>
    <s v="C246"/>
    <d v="2020-12-21T00:00:00"/>
    <d v="1899-12-30T13:47:27"/>
    <s v="Dec"/>
    <n v="352880"/>
    <s v="INR"/>
    <n v="63360"/>
    <x v="11"/>
    <x v="10"/>
    <s v="NA"/>
    <s v="NA"/>
    <s v="Monday"/>
    <s v="Within"/>
    <x v="0"/>
    <x v="0"/>
    <s v="Dec"/>
    <x v="0"/>
  </r>
  <r>
    <n v="199"/>
    <s v="2021T01241"/>
    <n v="2021199"/>
    <s v="CC231774"/>
    <s v="C232"/>
    <d v="2020-12-21T00:00:00"/>
    <d v="1899-12-30T10:16:51"/>
    <s v="Dec"/>
    <n v="416270"/>
    <s v="INR"/>
    <n v="74700"/>
    <x v="6"/>
    <x v="5"/>
    <s v="NA"/>
    <s v="NA"/>
    <s v="Monday"/>
    <s v="Within"/>
    <x v="0"/>
    <x v="0"/>
    <s v="Dec"/>
    <x v="0"/>
  </r>
  <r>
    <n v="200"/>
    <s v="2021M61618"/>
    <n v="2021200"/>
    <s v="CC677206"/>
    <s v="C210"/>
    <d v="2020-12-21T00:00:00"/>
    <d v="1899-12-30T12:55:15"/>
    <s v="Dec"/>
    <n v="430910"/>
    <s v="INR"/>
    <n v="77400"/>
    <x v="8"/>
    <x v="5"/>
    <s v="NA"/>
    <s v="NA"/>
    <s v="Monday"/>
    <s v="Within"/>
    <x v="0"/>
    <x v="0"/>
    <s v="Dec"/>
    <x v="0"/>
  </r>
  <r>
    <n v="201"/>
    <s v="2021I91159"/>
    <n v="2021201"/>
    <s v="CC518388"/>
    <s v="C213"/>
    <d v="2020-12-22T00:00:00"/>
    <d v="1899-12-30T12:54:30"/>
    <s v="Dec"/>
    <n v="261940"/>
    <s v="INR"/>
    <n v="46980"/>
    <x v="11"/>
    <x v="10"/>
    <s v="NA"/>
    <s v="NA"/>
    <s v="Tuesday"/>
    <s v="Within"/>
    <x v="0"/>
    <x v="0"/>
    <s v="Dec"/>
    <x v="0"/>
  </r>
  <r>
    <n v="202"/>
    <s v="2021V71037"/>
    <n v="2021202"/>
    <s v="CC268373"/>
    <s v="C213"/>
    <d v="2020-12-22T00:00:00"/>
    <d v="1899-12-30T15:40:58"/>
    <s v="Dec"/>
    <n v="221470"/>
    <s v="INR"/>
    <n v="39420"/>
    <x v="6"/>
    <x v="5"/>
    <s v="NA"/>
    <s v="NA"/>
    <s v="Tuesday"/>
    <s v="Within"/>
    <x v="0"/>
    <x v="0"/>
    <s v="Dec"/>
    <x v="0"/>
  </r>
  <r>
    <n v="203"/>
    <s v="2021V11398"/>
    <n v="2021203"/>
    <s v="CC647041"/>
    <s v="C246"/>
    <d v="2020-12-28T00:00:00"/>
    <d v="1899-12-30T13:20:12"/>
    <s v="Dec"/>
    <n v="420990"/>
    <s v="INR"/>
    <n v="75600"/>
    <x v="7"/>
    <x v="1"/>
    <s v="NA"/>
    <s v="NA"/>
    <s v="Monday"/>
    <s v="Within"/>
    <x v="0"/>
    <x v="0"/>
    <s v="Dec"/>
    <x v="0"/>
  </r>
  <r>
    <n v="204"/>
    <s v="2021B01207"/>
    <n v="2021204"/>
    <s v="CC184692"/>
    <s v="C202"/>
    <d v="2020-12-31T00:00:00"/>
    <d v="1899-12-30T14:27:04"/>
    <s v="Dec"/>
    <n v="2125810"/>
    <s v="INR"/>
    <n v="382500"/>
    <x v="16"/>
    <x v="13"/>
    <s v="NA"/>
    <s v="NA"/>
    <s v="Thursday"/>
    <s v="Within"/>
    <x v="0"/>
    <x v="0"/>
    <s v="Dec"/>
    <x v="0"/>
  </r>
  <r>
    <n v="205"/>
    <s v="2021R21555"/>
    <n v="2021205"/>
    <s v="CC505105"/>
    <s v="C221"/>
    <d v="2021-01-01T00:00:00"/>
    <d v="1899-12-30T16:36:06"/>
    <s v="Jan"/>
    <n v="460950"/>
    <s v="INR"/>
    <n v="82620"/>
    <x v="8"/>
    <x v="10"/>
    <s v="NA"/>
    <s v="NA"/>
    <s v="Friday"/>
    <s v="Within"/>
    <x v="0"/>
    <x v="0"/>
    <s v="Jan"/>
    <x v="0"/>
  </r>
  <r>
    <n v="206"/>
    <s v="2021H41482"/>
    <n v="2021206"/>
    <s v="CC221035"/>
    <s v="C232"/>
    <d v="2021-01-07T00:00:00"/>
    <d v="1899-12-30T12:48:40"/>
    <s v="Jan"/>
    <n v="497450"/>
    <s v="INR"/>
    <n v="89460"/>
    <x v="0"/>
    <x v="5"/>
    <s v="NA"/>
    <s v="NA"/>
    <s v="Thursday"/>
    <s v="Within"/>
    <x v="0"/>
    <x v="0"/>
    <s v="Jan"/>
    <x v="0"/>
  </r>
  <r>
    <n v="207"/>
    <s v="2021S41231"/>
    <n v="2021207"/>
    <s v="CC931051"/>
    <s v="C203"/>
    <d v="2021-01-07T00:00:00"/>
    <d v="1899-12-30T10:28:20"/>
    <s v="Jan"/>
    <n v="325300"/>
    <s v="INR"/>
    <n v="58320"/>
    <x v="7"/>
    <x v="6"/>
    <s v="NA"/>
    <s v="NA"/>
    <s v="Thursday"/>
    <s v="Within"/>
    <x v="0"/>
    <x v="0"/>
    <s v="Jan"/>
    <x v="0"/>
  </r>
  <r>
    <n v="208"/>
    <s v="2021V51930"/>
    <n v="2021208"/>
    <s v="CC756835"/>
    <s v="C222"/>
    <d v="2021-01-07T00:00:00"/>
    <d v="1899-12-30T11:52:16"/>
    <s v="Jan"/>
    <n v="449520"/>
    <s v="INR"/>
    <n v="80640"/>
    <x v="7"/>
    <x v="6"/>
    <s v="NA"/>
    <s v="NA"/>
    <s v="Thursday"/>
    <s v="Within"/>
    <x v="0"/>
    <x v="0"/>
    <s v="Jan"/>
    <x v="0"/>
  </r>
  <r>
    <n v="209"/>
    <s v="2021M61134"/>
    <n v="2021209"/>
    <s v="CC707097"/>
    <s v="C208"/>
    <d v="2021-01-09T00:00:00"/>
    <d v="1899-12-30T14:09:28"/>
    <s v="Jan"/>
    <n v="237540"/>
    <s v="INR"/>
    <n v="42300"/>
    <x v="11"/>
    <x v="0"/>
    <s v="NA"/>
    <s v="NA"/>
    <s v="Saturday"/>
    <s v="Within"/>
    <x v="0"/>
    <x v="0"/>
    <s v="Jan"/>
    <x v="0"/>
  </r>
  <r>
    <n v="210"/>
    <s v="2021K11672"/>
    <n v="2021210"/>
    <s v="CC836863"/>
    <s v="C201"/>
    <d v="2021-01-15T00:00:00"/>
    <d v="1899-12-30T11:03:55"/>
    <s v="Jan"/>
    <n v="260730"/>
    <s v="INR"/>
    <n v="46440"/>
    <x v="0"/>
    <x v="6"/>
    <s v="NA"/>
    <s v="NA"/>
    <s v="Friday"/>
    <s v="Within"/>
    <x v="0"/>
    <x v="0"/>
    <s v="Jan"/>
    <x v="0"/>
  </r>
  <r>
    <n v="211"/>
    <s v="2021G81985"/>
    <n v="2021211"/>
    <s v="CC134892"/>
    <s v="C220"/>
    <d v="2021-01-16T00:00:00"/>
    <d v="1899-12-30T13:20:09"/>
    <s v="Jan"/>
    <n v="369470"/>
    <s v="INR"/>
    <n v="66420"/>
    <x v="2"/>
    <x v="1"/>
    <s v="NA"/>
    <s v="NA"/>
    <s v="Saturday"/>
    <s v="Within"/>
    <x v="0"/>
    <x v="0"/>
    <s v="Jan"/>
    <x v="0"/>
  </r>
  <r>
    <n v="212"/>
    <s v="2021A41131"/>
    <n v="2021212"/>
    <s v="CC710367"/>
    <s v="C217"/>
    <d v="2021-01-18T00:00:00"/>
    <d v="1899-12-30T14:53:32"/>
    <s v="Jan"/>
    <n v="395500"/>
    <s v="INR"/>
    <n v="71100"/>
    <x v="8"/>
    <x v="1"/>
    <s v="NA"/>
    <s v="NA"/>
    <s v="Monday"/>
    <s v="Within"/>
    <x v="0"/>
    <x v="0"/>
    <s v="Jan"/>
    <x v="0"/>
  </r>
  <r>
    <n v="213"/>
    <s v="2021J21066"/>
    <n v="2021213"/>
    <s v="CC220203"/>
    <s v="C201"/>
    <d v="2021-01-18T00:00:00"/>
    <d v="1899-12-30T13:43:30"/>
    <s v="Jan"/>
    <n v="374810"/>
    <s v="INR"/>
    <n v="67320"/>
    <x v="1"/>
    <x v="1"/>
    <s v="NA"/>
    <s v="NA"/>
    <s v="Monday"/>
    <s v="Within"/>
    <x v="0"/>
    <x v="0"/>
    <s v="Jan"/>
    <x v="0"/>
  </r>
  <r>
    <n v="214"/>
    <s v="2021Y31186"/>
    <n v="2021214"/>
    <s v="CC251428"/>
    <s v="C230"/>
    <d v="2021-01-22T00:00:00"/>
    <d v="1899-12-30T11:26:40"/>
    <s v="Jan"/>
    <n v="433570"/>
    <s v="INR"/>
    <n v="77760"/>
    <x v="8"/>
    <x v="10"/>
    <s v="NA"/>
    <s v="NA"/>
    <s v="Friday"/>
    <s v="Within"/>
    <x v="0"/>
    <x v="0"/>
    <s v="Jan"/>
    <x v="0"/>
  </r>
  <r>
    <n v="215"/>
    <s v="2021W31079"/>
    <n v="2021215"/>
    <s v="CC177208"/>
    <s v="C238"/>
    <d v="2021-01-23T00:00:00"/>
    <d v="1899-12-30T14:41:15"/>
    <s v="Jan"/>
    <n v="302470"/>
    <s v="INR"/>
    <n v="54000"/>
    <x v="1"/>
    <x v="0"/>
    <s v="NA"/>
    <s v="NA"/>
    <s v="Saturday"/>
    <s v="Within"/>
    <x v="0"/>
    <x v="0"/>
    <s v="Jan"/>
    <x v="1"/>
  </r>
  <r>
    <n v="216"/>
    <s v="2021A11742"/>
    <n v="2021216"/>
    <s v="CC220150"/>
    <s v="C244"/>
    <d v="2021-01-25T00:00:00"/>
    <d v="1899-12-30T13:08:35"/>
    <s v="Jan"/>
    <n v="388980"/>
    <s v="INR"/>
    <n v="69840"/>
    <x v="7"/>
    <x v="0"/>
    <s v="NA"/>
    <s v="NA"/>
    <s v="Monday"/>
    <s v="Within"/>
    <x v="0"/>
    <x v="0"/>
    <s v="Jan"/>
    <x v="0"/>
  </r>
  <r>
    <n v="217"/>
    <s v="2021X21239"/>
    <n v="2021217"/>
    <s v="CC724229"/>
    <s v="C206"/>
    <d v="2021-01-25T00:00:00"/>
    <d v="1899-12-30T17:43:08"/>
    <s v="Jan"/>
    <n v="21830"/>
    <s v="INR"/>
    <n v="3780"/>
    <x v="15"/>
    <x v="12"/>
    <s v="NA"/>
    <s v="NA"/>
    <s v="Monday"/>
    <s v="Within"/>
    <x v="0"/>
    <x v="0"/>
    <s v="Jan"/>
    <x v="0"/>
  </r>
  <r>
    <n v="218"/>
    <s v="2021E01998"/>
    <n v="2021218"/>
    <s v="CC784348"/>
    <s v="C242"/>
    <d v="2021-01-25T00:00:00"/>
    <d v="1899-12-30T16:45:48"/>
    <s v="Jan"/>
    <n v="434470"/>
    <s v="INR"/>
    <n v="78120"/>
    <x v="6"/>
    <x v="1"/>
    <s v="NA"/>
    <s v="NA"/>
    <s v="Monday"/>
    <s v="Within"/>
    <x v="0"/>
    <x v="0"/>
    <s v="Jan"/>
    <x v="0"/>
  </r>
  <r>
    <n v="219"/>
    <s v="2021A51339"/>
    <n v="2021219"/>
    <s v="CC481657"/>
    <s v="C209"/>
    <d v="2021-01-27T00:00:00"/>
    <d v="1899-12-30T15:41:24"/>
    <s v="Jan"/>
    <n v="359170"/>
    <s v="INR"/>
    <n v="64260"/>
    <x v="11"/>
    <x v="6"/>
    <s v="NA"/>
    <s v="NA"/>
    <s v="Wednesday"/>
    <s v="Within"/>
    <x v="0"/>
    <x v="0"/>
    <s v="Jan"/>
    <x v="0"/>
  </r>
  <r>
    <n v="220"/>
    <s v="2021N61833"/>
    <n v="2021220"/>
    <s v="CC732502"/>
    <s v="C221"/>
    <d v="2021-01-29T00:00:00"/>
    <d v="1899-12-30T13:54:43"/>
    <s v="Jan"/>
    <n v="464740"/>
    <s v="INR"/>
    <n v="83520"/>
    <x v="7"/>
    <x v="6"/>
    <s v="NA"/>
    <s v="NA"/>
    <s v="Friday"/>
    <s v="Within"/>
    <x v="0"/>
    <x v="0"/>
    <s v="Jan"/>
    <x v="0"/>
  </r>
  <r>
    <n v="221"/>
    <s v="2021U81802"/>
    <n v="2021221"/>
    <s v="CC429902"/>
    <s v="C204"/>
    <d v="2021-02-02T00:00:00"/>
    <d v="1899-12-30T14:49:04"/>
    <s v="Feb"/>
    <n v="343880"/>
    <s v="INR"/>
    <n v="61380"/>
    <x v="8"/>
    <x v="1"/>
    <s v="NA"/>
    <s v="NA"/>
    <s v="Tuesday"/>
    <s v="Within"/>
    <x v="0"/>
    <x v="0"/>
    <s v="Feb"/>
    <x v="0"/>
  </r>
  <r>
    <n v="222"/>
    <s v="2021S41968"/>
    <n v="2021222"/>
    <s v="CC181596"/>
    <s v="C218"/>
    <d v="2021-02-03T00:00:00"/>
    <d v="1899-12-30T12:01:00"/>
    <s v="Feb"/>
    <n v="464470"/>
    <s v="INR"/>
    <n v="83520"/>
    <x v="11"/>
    <x v="10"/>
    <s v="NA"/>
    <s v="NA"/>
    <s v="Wednesday"/>
    <s v="Within"/>
    <x v="0"/>
    <x v="0"/>
    <s v="Feb"/>
    <x v="0"/>
  </r>
  <r>
    <n v="223"/>
    <s v="2021C21478"/>
    <n v="2021223"/>
    <s v="CC253325"/>
    <s v="C201"/>
    <d v="2021-02-04T00:00:00"/>
    <d v="1899-12-30T14:06:19"/>
    <s v="Feb"/>
    <n v="207340"/>
    <s v="INR"/>
    <n v="37080"/>
    <x v="6"/>
    <x v="6"/>
    <s v="NA"/>
    <s v="NA"/>
    <s v="Thursday"/>
    <s v="Within"/>
    <x v="0"/>
    <x v="0"/>
    <s v="Feb"/>
    <x v="0"/>
  </r>
  <r>
    <n v="224"/>
    <s v="2021D41673"/>
    <n v="2021224"/>
    <s v="CC835206"/>
    <s v="C207"/>
    <d v="2021-02-04T00:00:00"/>
    <d v="1899-12-30T12:56:18"/>
    <s v="Feb"/>
    <n v="235030"/>
    <s v="INR"/>
    <n v="42120"/>
    <x v="0"/>
    <x v="6"/>
    <s v="NA"/>
    <s v="NA"/>
    <s v="Thursday"/>
    <s v="Within"/>
    <x v="0"/>
    <x v="0"/>
    <s v="Feb"/>
    <x v="0"/>
  </r>
  <r>
    <n v="225"/>
    <s v="2021I91670"/>
    <n v="2021225"/>
    <s v="CC327133"/>
    <s v="C200"/>
    <d v="2021-02-04T00:00:00"/>
    <d v="1899-12-30T16:02:32"/>
    <s v="Jan"/>
    <n v="289800"/>
    <s v="INR"/>
    <n v="51660"/>
    <x v="6"/>
    <x v="6"/>
    <s v="NA"/>
    <s v="NA"/>
    <s v="Thursday"/>
    <s v="Within"/>
    <x v="0"/>
    <x v="0"/>
    <s v="Feb"/>
    <x v="0"/>
  </r>
  <r>
    <n v="226"/>
    <s v="2021Q81054"/>
    <n v="2021226"/>
    <s v="CC669664"/>
    <s v="C246"/>
    <d v="2021-02-04T00:00:00"/>
    <d v="1899-12-30T10:15:59"/>
    <s v="Jan"/>
    <n v="452530"/>
    <s v="INR"/>
    <n v="81360"/>
    <x v="6"/>
    <x v="5"/>
    <s v="NA"/>
    <s v="NA"/>
    <s v="Thursday"/>
    <s v="Within"/>
    <x v="0"/>
    <x v="0"/>
    <s v="Feb"/>
    <x v="0"/>
  </r>
  <r>
    <n v="227"/>
    <s v="2021R51014"/>
    <n v="2021227"/>
    <s v="CC932506"/>
    <s v="C223"/>
    <d v="2021-02-05T00:00:00"/>
    <d v="1899-12-30T16:38:56"/>
    <s v="Feb"/>
    <n v="461930"/>
    <s v="INR"/>
    <n v="82800"/>
    <x v="6"/>
    <x v="1"/>
    <s v="NA"/>
    <s v="NA"/>
    <s v="Friday"/>
    <s v="Within"/>
    <x v="0"/>
    <x v="0"/>
    <s v="Feb"/>
    <x v="0"/>
  </r>
  <r>
    <n v="228"/>
    <s v="2021H21378"/>
    <n v="2021228"/>
    <s v="CC162925"/>
    <s v="C218"/>
    <d v="2021-02-08T00:00:00"/>
    <d v="1899-12-30T11:08:09"/>
    <s v="Feb"/>
    <n v="380650"/>
    <s v="INR"/>
    <n v="68040"/>
    <x v="7"/>
    <x v="5"/>
    <s v="NA"/>
    <s v="NA"/>
    <s v="Monday"/>
    <s v="Within"/>
    <x v="0"/>
    <x v="0"/>
    <s v="Feb"/>
    <x v="0"/>
  </r>
  <r>
    <n v="229"/>
    <s v="2021U81425"/>
    <n v="2021229"/>
    <s v="CC781724"/>
    <s v="C224"/>
    <d v="2021-02-12T00:00:00"/>
    <d v="1899-12-30T16:51:57"/>
    <s v="Feb"/>
    <n v="362410"/>
    <s v="INR"/>
    <n v="65160"/>
    <x v="0"/>
    <x v="0"/>
    <s v="NA"/>
    <s v="NA"/>
    <s v="Friday"/>
    <s v="Within"/>
    <x v="0"/>
    <x v="0"/>
    <s v="Feb"/>
    <x v="0"/>
  </r>
  <r>
    <n v="230"/>
    <s v="2021E31971"/>
    <n v="2021230"/>
    <s v="CC531621"/>
    <s v="C231"/>
    <d v="2021-02-12T00:00:00"/>
    <d v="1899-12-30T13:39:53"/>
    <s v="Feb"/>
    <n v="6899270"/>
    <s v="INR"/>
    <n v="1241640"/>
    <x v="5"/>
    <x v="4"/>
    <s v="Approved"/>
    <s v="BM/CC531621C231"/>
    <s v="Friday"/>
    <s v="Within"/>
    <x v="0"/>
    <x v="0"/>
    <s v="Feb"/>
    <x v="0"/>
  </r>
  <r>
    <n v="231"/>
    <s v="2021O71082"/>
    <n v="2021231"/>
    <s v="CC242246"/>
    <s v="C216"/>
    <d v="2021-02-13T00:00:00"/>
    <d v="1899-12-30T15:47:00"/>
    <s v="Feb"/>
    <n v="417340"/>
    <s v="INR"/>
    <n v="75060"/>
    <x v="0"/>
    <x v="1"/>
    <s v="NA"/>
    <s v="NA"/>
    <s v="Saturday"/>
    <s v="Within"/>
    <x v="0"/>
    <x v="0"/>
    <s v="Feb"/>
    <x v="0"/>
  </r>
  <r>
    <n v="232"/>
    <s v="2021V51128"/>
    <n v="2021232"/>
    <s v="CC449443"/>
    <s v="C214"/>
    <d v="2021-02-15T00:00:00"/>
    <d v="1899-12-30T15:23:06"/>
    <s v="Feb"/>
    <n v="214490"/>
    <s v="INR"/>
    <n v="38340"/>
    <x v="11"/>
    <x v="6"/>
    <s v="NA"/>
    <s v="NA"/>
    <s v="Monday"/>
    <s v="Within"/>
    <x v="0"/>
    <x v="0"/>
    <s v="Feb"/>
    <x v="0"/>
  </r>
  <r>
    <n v="233"/>
    <s v="2021F21013"/>
    <n v="2021233"/>
    <s v="CC147682"/>
    <s v="C230"/>
    <d v="2021-02-15T00:00:00"/>
    <d v="1899-12-30T14:01:39"/>
    <s v="Jan"/>
    <n v="395980"/>
    <s v="INR"/>
    <n v="70920"/>
    <x v="2"/>
    <x v="6"/>
    <s v="NA"/>
    <s v="NA"/>
    <s v="Monday"/>
    <s v="Within"/>
    <x v="0"/>
    <x v="0"/>
    <s v="Feb"/>
    <x v="0"/>
  </r>
  <r>
    <n v="234"/>
    <s v="2021Y01920"/>
    <n v="2021234"/>
    <s v="CC542717"/>
    <s v="C203"/>
    <d v="2021-02-18T00:00:00"/>
    <d v="1899-12-30T16:32:32"/>
    <s v="Feb"/>
    <n v="278800"/>
    <s v="INR"/>
    <n v="49680"/>
    <x v="11"/>
    <x v="1"/>
    <s v="NA"/>
    <s v="NA"/>
    <s v="Thursday"/>
    <s v="Within"/>
    <x v="0"/>
    <x v="0"/>
    <s v="Feb"/>
    <x v="0"/>
  </r>
  <r>
    <n v="235"/>
    <s v="2021H51320"/>
    <n v="2021235"/>
    <s v="CC787496"/>
    <s v="C202"/>
    <d v="2021-02-20T00:00:00"/>
    <d v="1899-12-30T13:18:23"/>
    <s v="Feb"/>
    <n v="431320"/>
    <s v="INR"/>
    <n v="77580"/>
    <x v="8"/>
    <x v="6"/>
    <s v="NA"/>
    <s v="NA"/>
    <s v="Saturday"/>
    <s v="Within"/>
    <x v="0"/>
    <x v="0"/>
    <s v="Feb"/>
    <x v="0"/>
  </r>
  <r>
    <n v="236"/>
    <s v="2021H01753"/>
    <n v="2021236"/>
    <s v="CC390958"/>
    <s v="C209"/>
    <d v="2021-02-23T00:00:00"/>
    <d v="1899-12-30T12:30:54"/>
    <s v="Feb"/>
    <n v="216430"/>
    <s v="INR"/>
    <n v="38700"/>
    <x v="7"/>
    <x v="0"/>
    <s v="NA"/>
    <s v="NA"/>
    <s v="Tuesday"/>
    <s v="Within"/>
    <x v="0"/>
    <x v="0"/>
    <s v="Feb"/>
    <x v="0"/>
  </r>
  <r>
    <n v="237"/>
    <s v="2021S61275"/>
    <n v="2021237"/>
    <s v="CC730239"/>
    <s v="C215"/>
    <d v="2021-02-24T00:00:00"/>
    <d v="1899-12-30T15:55:40"/>
    <s v="Feb"/>
    <n v="201920"/>
    <s v="INR"/>
    <n v="36180"/>
    <x v="0"/>
    <x v="1"/>
    <s v="NA"/>
    <s v="NA"/>
    <s v="Wednesday"/>
    <s v="Within"/>
    <x v="0"/>
    <x v="0"/>
    <s v="Feb"/>
    <x v="0"/>
  </r>
  <r>
    <n v="238"/>
    <s v="2021D91627"/>
    <n v="2021238"/>
    <s v="CC485002"/>
    <s v="C202"/>
    <d v="2021-02-24T00:00:00"/>
    <d v="1899-12-30T11:38:50"/>
    <s v="Feb"/>
    <n v="383620"/>
    <s v="INR"/>
    <n v="68580"/>
    <x v="2"/>
    <x v="6"/>
    <s v="NA"/>
    <s v="NA"/>
    <s v="Wednesday"/>
    <s v="Within"/>
    <x v="0"/>
    <x v="0"/>
    <s v="Feb"/>
    <x v="0"/>
  </r>
  <r>
    <n v="239"/>
    <s v="2021O71083"/>
    <n v="2021239"/>
    <s v="CC108593"/>
    <s v="C246"/>
    <d v="2021-02-27T00:00:00"/>
    <d v="1899-12-30T16:55:49"/>
    <s v="Jan"/>
    <n v="495540"/>
    <s v="INR"/>
    <n v="88740"/>
    <x v="7"/>
    <x v="10"/>
    <s v="NA"/>
    <s v="NA"/>
    <s v="Saturday"/>
    <s v="Within"/>
    <x v="0"/>
    <x v="0"/>
    <s v="Feb"/>
    <x v="0"/>
  </r>
  <r>
    <n v="240"/>
    <s v="2021V31530"/>
    <n v="2021240"/>
    <s v="CC710839"/>
    <s v="C233"/>
    <d v="2021-03-01T00:00:00"/>
    <d v="1899-12-30T16:01:17"/>
    <s v="Mar"/>
    <n v="285080"/>
    <s v="INR"/>
    <n v="51120"/>
    <x v="8"/>
    <x v="1"/>
    <s v="NA"/>
    <s v="NA"/>
    <s v="Monday"/>
    <s v="Within"/>
    <x v="0"/>
    <x v="0"/>
    <s v="Mar"/>
    <x v="0"/>
  </r>
  <r>
    <n v="241"/>
    <s v="2021E91338"/>
    <n v="2021241"/>
    <s v="CC735962"/>
    <s v="C236"/>
    <d v="2021-03-01T00:00:00"/>
    <d v="1899-12-30T14:09:59"/>
    <s v="Mar"/>
    <n v="441790"/>
    <s v="INR"/>
    <n v="79200"/>
    <x v="2"/>
    <x v="10"/>
    <s v="NA"/>
    <s v="NA"/>
    <s v="Monday"/>
    <s v="Within"/>
    <x v="0"/>
    <x v="0"/>
    <s v="Mar"/>
    <x v="1"/>
  </r>
  <r>
    <n v="242"/>
    <s v="2021W91822"/>
    <n v="2021242"/>
    <s v="CC819433"/>
    <s v="C212"/>
    <d v="2021-03-02T00:00:00"/>
    <d v="1899-12-30T12:00:52"/>
    <s v="Mar"/>
    <n v="339640"/>
    <s v="INR"/>
    <n v="60660"/>
    <x v="0"/>
    <x v="1"/>
    <s v="NA"/>
    <s v="NA"/>
    <s v="Tuesday"/>
    <s v="Within"/>
    <x v="0"/>
    <x v="0"/>
    <s v="Mar"/>
    <x v="0"/>
  </r>
  <r>
    <n v="243"/>
    <s v="2021V51135"/>
    <n v="2021243"/>
    <s v="CC839432"/>
    <s v="C200"/>
    <d v="2021-03-09T00:00:00"/>
    <d v="1899-12-30T11:28:57"/>
    <s v="Mar"/>
    <n v="494660"/>
    <s v="INR"/>
    <n v="88740"/>
    <x v="7"/>
    <x v="10"/>
    <s v="NA"/>
    <s v="NA"/>
    <s v="Tuesday"/>
    <s v="Within"/>
    <x v="0"/>
    <x v="0"/>
    <s v="Mar"/>
    <x v="0"/>
  </r>
  <r>
    <n v="244"/>
    <s v="2021U51868"/>
    <n v="2021244"/>
    <s v="CC767295"/>
    <s v="C209"/>
    <d v="2021-03-09T00:00:00"/>
    <d v="1899-12-30T14:01:03"/>
    <s v="Mar"/>
    <n v="463590"/>
    <s v="INR"/>
    <n v="82980"/>
    <x v="0"/>
    <x v="0"/>
    <s v="NA"/>
    <s v="NA"/>
    <s v="Tuesday"/>
    <s v="Within"/>
    <x v="0"/>
    <x v="0"/>
    <s v="Mar"/>
    <x v="0"/>
  </r>
  <r>
    <n v="245"/>
    <s v="2021R11888"/>
    <n v="2021245"/>
    <s v="CC320123"/>
    <s v="C234"/>
    <d v="2021-03-10T00:00:00"/>
    <d v="1899-12-30T13:07:48"/>
    <s v="Mar"/>
    <n v="474470"/>
    <s v="INR"/>
    <n v="85140"/>
    <x v="6"/>
    <x v="6"/>
    <s v="NA"/>
    <s v="NA"/>
    <s v="Wednesday"/>
    <s v="Within"/>
    <x v="0"/>
    <x v="0"/>
    <s v="Mar"/>
    <x v="0"/>
  </r>
  <r>
    <n v="246"/>
    <s v="2021Y51752"/>
    <n v="2021246"/>
    <s v="CC678700"/>
    <s v="C216"/>
    <d v="2021-03-11T00:00:00"/>
    <d v="1899-12-30T13:54:37"/>
    <s v="Mar"/>
    <n v="236850"/>
    <s v="INR"/>
    <n v="42120"/>
    <x v="7"/>
    <x v="5"/>
    <s v="NA"/>
    <s v="NA"/>
    <s v="Thursday"/>
    <s v="Within"/>
    <x v="0"/>
    <x v="0"/>
    <s v="Mar"/>
    <x v="0"/>
  </r>
  <r>
    <n v="247"/>
    <s v="2021Q71203"/>
    <n v="2021247"/>
    <s v="CC589880"/>
    <s v="C230"/>
    <d v="2021-03-12T00:00:00"/>
    <d v="1899-12-30T12:41:43"/>
    <s v="Mar"/>
    <n v="37380"/>
    <s v="INR"/>
    <n v="6660"/>
    <x v="10"/>
    <x v="2"/>
    <s v="NA"/>
    <s v="NA"/>
    <s v="Friday"/>
    <s v="Within"/>
    <x v="0"/>
    <x v="0"/>
    <s v="Mar"/>
    <x v="0"/>
  </r>
  <r>
    <n v="248"/>
    <s v="2021I71095"/>
    <n v="2021248"/>
    <s v="CC477089"/>
    <s v="C205"/>
    <d v="2021-03-13T00:00:00"/>
    <d v="1899-12-30T14:39:00"/>
    <s v="Mar"/>
    <n v="474250"/>
    <s v="INR"/>
    <n v="85140"/>
    <x v="11"/>
    <x v="5"/>
    <s v="NA"/>
    <s v="NA"/>
    <s v="Saturday"/>
    <s v="Within"/>
    <x v="0"/>
    <x v="0"/>
    <s v="Mar"/>
    <x v="0"/>
  </r>
  <r>
    <n v="249"/>
    <s v="2021R81881"/>
    <n v="2021249"/>
    <s v="CC184376"/>
    <s v="C228"/>
    <d v="2021-03-15T00:00:00"/>
    <d v="1899-12-30T13:26:18"/>
    <s v="Mar"/>
    <n v="322680"/>
    <s v="INR"/>
    <n v="57600"/>
    <x v="1"/>
    <x v="1"/>
    <s v="NA"/>
    <s v="NA"/>
    <s v="Monday"/>
    <s v="Within"/>
    <x v="0"/>
    <x v="0"/>
    <s v="Mar"/>
    <x v="0"/>
  </r>
  <r>
    <n v="250"/>
    <s v="2021P51427"/>
    <n v="2021250"/>
    <s v="CC235801"/>
    <s v="C202"/>
    <d v="2021-03-15T00:00:00"/>
    <d v="1899-12-30T14:31:59"/>
    <s v="Mar"/>
    <n v="245600"/>
    <s v="INR"/>
    <n v="43740"/>
    <x v="8"/>
    <x v="10"/>
    <s v="NA"/>
    <s v="NA"/>
    <s v="Monday"/>
    <s v="Within"/>
    <x v="0"/>
    <x v="0"/>
    <s v="Mar"/>
    <x v="0"/>
  </r>
  <r>
    <n v="251"/>
    <s v="2021U71300"/>
    <n v="2021251"/>
    <s v="CC198375"/>
    <s v="C234"/>
    <d v="2021-03-15T00:00:00"/>
    <d v="1899-12-30T16:37:08"/>
    <s v="Mar"/>
    <n v="276510"/>
    <s v="INR"/>
    <n v="49320"/>
    <x v="11"/>
    <x v="0"/>
    <s v="NA"/>
    <s v="NA"/>
    <s v="Monday"/>
    <s v="Within"/>
    <x v="0"/>
    <x v="0"/>
    <s v="Mar"/>
    <x v="0"/>
  </r>
  <r>
    <n v="252"/>
    <s v="2021B41753"/>
    <n v="2021252"/>
    <s v="CC169643"/>
    <s v="C224"/>
    <d v="2021-03-17T00:00:00"/>
    <d v="1899-12-30T13:20:37"/>
    <s v="Mar"/>
    <n v="290150"/>
    <s v="INR"/>
    <n v="51840"/>
    <x v="2"/>
    <x v="6"/>
    <s v="NA"/>
    <s v="NA"/>
    <s v="Wednesday"/>
    <s v="Within"/>
    <x v="0"/>
    <x v="0"/>
    <s v="Mar"/>
    <x v="0"/>
  </r>
  <r>
    <n v="253"/>
    <s v="2021U91446"/>
    <n v="2021253"/>
    <s v="CC960587"/>
    <s v="C206"/>
    <d v="2021-03-17T00:00:00"/>
    <d v="1899-12-30T14:31:31"/>
    <s v="Mar"/>
    <n v="215830"/>
    <s v="INR"/>
    <n v="38340"/>
    <x v="1"/>
    <x v="1"/>
    <s v="NA"/>
    <s v="NA"/>
    <s v="Wednesday"/>
    <s v="Within"/>
    <x v="0"/>
    <x v="0"/>
    <s v="Mar"/>
    <x v="0"/>
  </r>
  <r>
    <n v="254"/>
    <s v="2021K71243"/>
    <n v="2021254"/>
    <s v="CC971074"/>
    <s v="C218"/>
    <d v="2021-03-18T00:00:00"/>
    <d v="1899-12-30T14:08:48"/>
    <s v="Mar"/>
    <n v="310790"/>
    <s v="INR"/>
    <n v="55440"/>
    <x v="11"/>
    <x v="10"/>
    <s v="NA"/>
    <s v="NA"/>
    <s v="Thursday"/>
    <s v="Within"/>
    <x v="0"/>
    <x v="0"/>
    <s v="Mar"/>
    <x v="0"/>
  </r>
  <r>
    <n v="255"/>
    <s v="2021S11451"/>
    <n v="2021255"/>
    <s v="CC392995"/>
    <s v="C239"/>
    <d v="2021-03-23T00:00:00"/>
    <d v="1899-12-30T13:30:16"/>
    <s v="Mar"/>
    <n v="275200"/>
    <s v="INR"/>
    <n v="49140"/>
    <x v="7"/>
    <x v="1"/>
    <s v="NA"/>
    <s v="NA"/>
    <s v="Tuesday"/>
    <s v="Within"/>
    <x v="0"/>
    <x v="0"/>
    <s v="Mar"/>
    <x v="1"/>
  </r>
  <r>
    <n v="256"/>
    <s v="2021F71106"/>
    <n v="2021256"/>
    <s v="CC519070"/>
    <s v="C243"/>
    <d v="2021-03-24T00:00:00"/>
    <d v="1899-12-30T14:26:04"/>
    <s v="Mar"/>
    <n v="347560"/>
    <s v="INR"/>
    <n v="62100"/>
    <x v="0"/>
    <x v="0"/>
    <s v="NA"/>
    <s v="NA"/>
    <s v="Wednesday"/>
    <s v="Within"/>
    <x v="0"/>
    <x v="0"/>
    <s v="Mar"/>
    <x v="0"/>
  </r>
  <r>
    <n v="257"/>
    <s v="2021E41460"/>
    <n v="2021257"/>
    <s v="CC351804"/>
    <s v="C215"/>
    <d v="2021-03-25T00:00:00"/>
    <d v="1899-12-30T15:25:45"/>
    <s v="Mar"/>
    <n v="463330"/>
    <s v="INR"/>
    <n v="83340"/>
    <x v="6"/>
    <x v="1"/>
    <s v="NA"/>
    <s v="NA"/>
    <s v="Thursday"/>
    <s v="Within"/>
    <x v="0"/>
    <x v="0"/>
    <s v="Mar"/>
    <x v="0"/>
  </r>
  <r>
    <n v="258"/>
    <s v="2021X51076"/>
    <n v="2021258"/>
    <s v="CC561355"/>
    <s v="C216"/>
    <d v="2021-03-31T00:00:00"/>
    <d v="1899-12-30T16:50:13"/>
    <s v="Mar"/>
    <n v="237420"/>
    <s v="INR"/>
    <n v="42660"/>
    <x v="8"/>
    <x v="5"/>
    <s v="NA"/>
    <s v="NA"/>
    <s v="Wednesday"/>
    <s v="Within"/>
    <x v="0"/>
    <x v="0"/>
    <s v="Mar"/>
    <x v="0"/>
  </r>
  <r>
    <n v="259"/>
    <s v="2021I91390"/>
    <n v="2021259"/>
    <s v="CC971207"/>
    <s v="C207"/>
    <d v="2021-03-31T00:00:00"/>
    <d v="1899-12-30T14:04:50"/>
    <s v="Mar"/>
    <n v="367870"/>
    <s v="INR"/>
    <n v="65700"/>
    <x v="8"/>
    <x v="0"/>
    <s v="NA"/>
    <s v="NA"/>
    <s v="Wednesday"/>
    <s v="Within"/>
    <x v="0"/>
    <x v="0"/>
    <s v="Mar"/>
    <x v="0"/>
  </r>
  <r>
    <n v="260"/>
    <s v="2122E41682"/>
    <n v="21221"/>
    <s v="CC244019"/>
    <s v="C235"/>
    <d v="2021-04-01T00:00:00"/>
    <d v="1899-12-30T16:29:32"/>
    <s v="Apr"/>
    <n v="10252420"/>
    <s v="INR"/>
    <n v="1845000"/>
    <x v="5"/>
    <x v="4"/>
    <s v="Approved"/>
    <s v="BM/CC244019C235"/>
    <s v="Thursday"/>
    <s v="Within"/>
    <x v="0"/>
    <x v="1"/>
    <s v="Apr"/>
    <x v="0"/>
  </r>
  <r>
    <n v="261"/>
    <s v="2122W31073"/>
    <n v="21222"/>
    <s v="CC881381"/>
    <s v="C230"/>
    <d v="2021-04-03T00:00:00"/>
    <d v="1899-12-30T17:07:06"/>
    <s v="Apr"/>
    <n v="277050"/>
    <s v="INR"/>
    <n v="49680"/>
    <x v="2"/>
    <x v="0"/>
    <s v="NA"/>
    <s v="NA"/>
    <s v="Saturday"/>
    <s v="Within"/>
    <x v="0"/>
    <x v="1"/>
    <s v="Apr"/>
    <x v="0"/>
  </r>
  <r>
    <n v="262"/>
    <s v="2122J21075"/>
    <n v="21223"/>
    <s v="CC316029"/>
    <s v="C215"/>
    <d v="2021-04-03T00:00:00"/>
    <d v="1899-12-30T10:51:36"/>
    <s v="Apr"/>
    <n v="234800"/>
    <s v="INR"/>
    <n v="41760"/>
    <x v="0"/>
    <x v="1"/>
    <s v="NA"/>
    <s v="NA"/>
    <s v="Saturday"/>
    <s v="Within"/>
    <x v="0"/>
    <x v="1"/>
    <s v="Apr"/>
    <x v="0"/>
  </r>
  <r>
    <n v="263"/>
    <s v="2122Q81980"/>
    <n v="21224"/>
    <s v="CC926037"/>
    <s v="C227"/>
    <d v="2021-04-05T00:00:00"/>
    <d v="1899-12-30T15:53:47"/>
    <s v="Apr"/>
    <n v="491400"/>
    <s v="INR"/>
    <n v="88380"/>
    <x v="6"/>
    <x v="0"/>
    <s v="NA"/>
    <s v="NA"/>
    <s v="Monday"/>
    <s v="Within"/>
    <x v="0"/>
    <x v="1"/>
    <s v="Apr"/>
    <x v="0"/>
  </r>
  <r>
    <n v="264"/>
    <s v="2122R91504"/>
    <n v="21225"/>
    <s v="CC748469"/>
    <s v="C238"/>
    <d v="2021-04-06T00:00:00"/>
    <d v="1899-12-30T13:53:19"/>
    <s v="Apr"/>
    <n v="203540"/>
    <s v="INR"/>
    <n v="36360"/>
    <x v="8"/>
    <x v="6"/>
    <s v="NA"/>
    <s v="NA"/>
    <s v="Tuesday"/>
    <s v="Within"/>
    <x v="0"/>
    <x v="1"/>
    <s v="Apr"/>
    <x v="1"/>
  </r>
  <r>
    <n v="265"/>
    <s v="2122E61635"/>
    <n v="21226"/>
    <s v="CC373590"/>
    <s v="C201"/>
    <d v="2021-04-07T00:00:00"/>
    <d v="1899-12-30T16:56:38"/>
    <s v="Apr"/>
    <n v="255220"/>
    <s v="INR"/>
    <n v="45900"/>
    <x v="6"/>
    <x v="6"/>
    <s v="NA"/>
    <s v="NA"/>
    <s v="Wednesday"/>
    <s v="Within"/>
    <x v="0"/>
    <x v="1"/>
    <s v="Apr"/>
    <x v="0"/>
  </r>
  <r>
    <n v="266"/>
    <s v="2122I21455"/>
    <n v="21227"/>
    <s v="CC757405"/>
    <s v="C235"/>
    <d v="2021-04-08T00:00:00"/>
    <d v="1899-12-30T16:13:21"/>
    <s v="Apr"/>
    <n v="233510"/>
    <s v="INR"/>
    <n v="41580"/>
    <x v="11"/>
    <x v="1"/>
    <s v="NA"/>
    <s v="NA"/>
    <s v="Thursday"/>
    <s v="Within"/>
    <x v="0"/>
    <x v="1"/>
    <s v="Apr"/>
    <x v="0"/>
  </r>
  <r>
    <n v="267"/>
    <s v="2122S41901"/>
    <n v="21228"/>
    <s v="CC810183"/>
    <s v="C212"/>
    <d v="2021-04-08T00:00:00"/>
    <d v="1899-12-30T12:23:21"/>
    <s v="Apr"/>
    <n v="287430"/>
    <s v="INR"/>
    <n v="51660"/>
    <x v="8"/>
    <x v="6"/>
    <s v="NA"/>
    <s v="NA"/>
    <s v="Thursday"/>
    <s v="Within"/>
    <x v="0"/>
    <x v="1"/>
    <s v="Apr"/>
    <x v="0"/>
  </r>
  <r>
    <n v="268"/>
    <s v="2122H61160"/>
    <n v="21229"/>
    <s v="CC306959"/>
    <s v="C206"/>
    <d v="2021-04-09T00:00:00"/>
    <d v="1899-12-30T13:44:04"/>
    <s v="Apr"/>
    <n v="448190"/>
    <s v="INR"/>
    <n v="80460"/>
    <x v="11"/>
    <x v="5"/>
    <s v="NA"/>
    <s v="NA"/>
    <s v="Friday"/>
    <s v="Within"/>
    <x v="0"/>
    <x v="1"/>
    <s v="Apr"/>
    <x v="0"/>
  </r>
  <r>
    <n v="269"/>
    <s v="2122W21972"/>
    <n v="212210"/>
    <s v="CC220009"/>
    <s v="C214"/>
    <d v="2021-04-09T00:00:00"/>
    <d v="1899-12-30T17:16:18"/>
    <s v="Apr"/>
    <n v="443830"/>
    <s v="INR"/>
    <n v="79560"/>
    <x v="8"/>
    <x v="10"/>
    <s v="NA"/>
    <s v="NA"/>
    <s v="Friday"/>
    <s v="Within"/>
    <x v="0"/>
    <x v="1"/>
    <s v="Apr"/>
    <x v="0"/>
  </r>
  <r>
    <n v="270"/>
    <s v="2122R71388"/>
    <n v="212211"/>
    <s v="CC522619"/>
    <s v="C207"/>
    <d v="2021-04-12T00:00:00"/>
    <d v="1899-12-30T15:34:38"/>
    <s v="Apr"/>
    <n v="322290"/>
    <s v="INR"/>
    <n v="57960"/>
    <x v="6"/>
    <x v="0"/>
    <s v="NA"/>
    <s v="NA"/>
    <s v="Monday"/>
    <s v="Within"/>
    <x v="0"/>
    <x v="1"/>
    <s v="Apr"/>
    <x v="0"/>
  </r>
  <r>
    <n v="271"/>
    <s v="2122O41500"/>
    <n v="212212"/>
    <s v="CC486761"/>
    <s v="C236"/>
    <d v="2021-04-12T00:00:00"/>
    <d v="1899-12-30T17:26:07"/>
    <s v="Apr"/>
    <n v="202040"/>
    <s v="INR"/>
    <n v="36180"/>
    <x v="1"/>
    <x v="6"/>
    <s v="NA"/>
    <s v="NA"/>
    <s v="Monday"/>
    <s v="Within"/>
    <x v="0"/>
    <x v="1"/>
    <s v="Apr"/>
    <x v="1"/>
  </r>
  <r>
    <n v="272"/>
    <s v="2122R61882"/>
    <n v="212213"/>
    <s v="CC891736"/>
    <s v="C235"/>
    <d v="2021-04-12T00:00:00"/>
    <d v="1899-12-30T13:00:14"/>
    <s v="Apr"/>
    <n v="254090"/>
    <s v="INR"/>
    <n v="45540"/>
    <x v="11"/>
    <x v="10"/>
    <s v="NA"/>
    <s v="NA"/>
    <s v="Monday"/>
    <s v="Within"/>
    <x v="0"/>
    <x v="1"/>
    <s v="Apr"/>
    <x v="0"/>
  </r>
  <r>
    <n v="273"/>
    <s v="2122N51414"/>
    <n v="212214"/>
    <s v="CC829313"/>
    <s v="C211"/>
    <d v="2021-04-12T00:00:00"/>
    <d v="1899-12-30T12:41:27"/>
    <s v="Apr"/>
    <n v="449120"/>
    <s v="INR"/>
    <n v="80820"/>
    <x v="8"/>
    <x v="0"/>
    <s v="NA"/>
    <s v="NA"/>
    <s v="Monday"/>
    <s v="Within"/>
    <x v="0"/>
    <x v="1"/>
    <s v="Apr"/>
    <x v="0"/>
  </r>
  <r>
    <n v="274"/>
    <s v="2122Y71890"/>
    <n v="212215"/>
    <s v="CC592980"/>
    <s v="C207"/>
    <d v="2021-04-14T00:00:00"/>
    <d v="1899-12-30T12:58:00"/>
    <s v="Apr"/>
    <n v="403890"/>
    <s v="INR"/>
    <n v="72540"/>
    <x v="6"/>
    <x v="6"/>
    <s v="NA"/>
    <s v="NA"/>
    <s v="Wednesday"/>
    <s v="Within"/>
    <x v="0"/>
    <x v="1"/>
    <s v="Apr"/>
    <x v="0"/>
  </r>
  <r>
    <n v="275"/>
    <s v="2122H91695"/>
    <n v="212216"/>
    <s v="CC432437"/>
    <s v="C240"/>
    <d v="2021-04-16T00:00:00"/>
    <d v="1899-12-30T14:39:52"/>
    <s v="Apr"/>
    <n v="284840"/>
    <s v="INR"/>
    <n v="51120"/>
    <x v="2"/>
    <x v="5"/>
    <s v="NA"/>
    <s v="NA"/>
    <s v="Friday"/>
    <s v="Within"/>
    <x v="0"/>
    <x v="1"/>
    <s v="Apr"/>
    <x v="1"/>
  </r>
  <r>
    <n v="276"/>
    <s v="2122A71300"/>
    <n v="212217"/>
    <s v="CC299835"/>
    <s v="C236"/>
    <d v="2021-04-16T00:00:00"/>
    <d v="1899-12-30T17:35:19"/>
    <s v="Apr"/>
    <n v="400460"/>
    <s v="INR"/>
    <n v="71820"/>
    <x v="1"/>
    <x v="1"/>
    <s v="NA"/>
    <s v="NA"/>
    <s v="Friday"/>
    <s v="Within"/>
    <x v="0"/>
    <x v="1"/>
    <s v="Apr"/>
    <x v="1"/>
  </r>
  <r>
    <n v="277"/>
    <s v="2122C41326"/>
    <n v="212218"/>
    <s v="CC665938"/>
    <s v="C248"/>
    <d v="2021-04-17T00:00:00"/>
    <d v="1899-12-30T11:15:48"/>
    <s v="Apr"/>
    <n v="281550"/>
    <s v="INR"/>
    <n v="50220"/>
    <x v="2"/>
    <x v="10"/>
    <s v="NA"/>
    <s v="NA"/>
    <s v="Saturday"/>
    <s v="Within"/>
    <x v="0"/>
    <x v="1"/>
    <s v="Apr"/>
    <x v="0"/>
  </r>
  <r>
    <n v="278"/>
    <s v="2122Y21532"/>
    <n v="212219"/>
    <s v="CC161282"/>
    <s v="C221"/>
    <d v="2021-04-17T00:00:00"/>
    <d v="1899-12-30T10:42:51"/>
    <s v="Apr"/>
    <n v="283210"/>
    <s v="INR"/>
    <n v="50580"/>
    <x v="6"/>
    <x v="0"/>
    <s v="NA"/>
    <s v="NA"/>
    <s v="Saturday"/>
    <s v="Within"/>
    <x v="0"/>
    <x v="1"/>
    <s v="Apr"/>
    <x v="0"/>
  </r>
  <r>
    <n v="279"/>
    <s v="2122W21540"/>
    <n v="212220"/>
    <s v="CC756683"/>
    <s v="C206"/>
    <d v="2021-04-19T00:00:00"/>
    <d v="1899-12-30T17:24:49"/>
    <s v="Apr"/>
    <n v="277600"/>
    <s v="INR"/>
    <n v="49680"/>
    <x v="7"/>
    <x v="10"/>
    <s v="NA"/>
    <s v="NA"/>
    <s v="Monday"/>
    <s v="Within"/>
    <x v="0"/>
    <x v="1"/>
    <s v="Apr"/>
    <x v="0"/>
  </r>
  <r>
    <n v="280"/>
    <s v="2122P81088"/>
    <n v="212221"/>
    <s v="CC162344"/>
    <s v="C232"/>
    <d v="2021-04-19T00:00:00"/>
    <d v="1899-12-30T11:55:20"/>
    <s v="Apr"/>
    <n v="24700"/>
    <s v="INR"/>
    <n v="4140"/>
    <x v="14"/>
    <x v="14"/>
    <s v="NA"/>
    <s v="NA"/>
    <s v="Monday"/>
    <s v="Within"/>
    <x v="0"/>
    <x v="1"/>
    <s v="Apr"/>
    <x v="0"/>
  </r>
  <r>
    <n v="281"/>
    <s v="2122D01344"/>
    <n v="212222"/>
    <s v="CC714981"/>
    <s v="C211"/>
    <d v="2021-04-19T00:00:00"/>
    <d v="1899-12-30T11:49:13"/>
    <s v="Apr"/>
    <n v="449990"/>
    <s v="INR"/>
    <n v="80820"/>
    <x v="0"/>
    <x v="6"/>
    <s v="NA"/>
    <s v="NA"/>
    <s v="Monday"/>
    <s v="Within"/>
    <x v="0"/>
    <x v="1"/>
    <s v="Apr"/>
    <x v="0"/>
  </r>
  <r>
    <n v="282"/>
    <s v="2122G11410"/>
    <n v="212223"/>
    <s v="CC323347"/>
    <s v="C218"/>
    <d v="2021-04-19T00:00:00"/>
    <d v="1899-12-30T17:00:54"/>
    <s v="Apr"/>
    <n v="397160"/>
    <s v="INR"/>
    <n v="71100"/>
    <x v="11"/>
    <x v="0"/>
    <s v="NA"/>
    <s v="NA"/>
    <s v="Monday"/>
    <s v="Within"/>
    <x v="0"/>
    <x v="1"/>
    <s v="Apr"/>
    <x v="0"/>
  </r>
  <r>
    <n v="283"/>
    <s v="2122M91677"/>
    <n v="212224"/>
    <s v="CC327526"/>
    <s v="C246"/>
    <d v="2021-04-20T00:00:00"/>
    <d v="1899-12-30T11:07:44"/>
    <s v="Apr"/>
    <n v="428840"/>
    <s v="INR"/>
    <n v="77040"/>
    <x v="1"/>
    <x v="5"/>
    <s v="NA"/>
    <s v="NA"/>
    <s v="Tuesday"/>
    <s v="Within"/>
    <x v="0"/>
    <x v="1"/>
    <s v="Apr"/>
    <x v="0"/>
  </r>
  <r>
    <n v="284"/>
    <s v="2122Y51906"/>
    <n v="212225"/>
    <s v="CC373965"/>
    <s v="C233"/>
    <d v="2021-04-22T00:00:00"/>
    <d v="1899-12-30T12:02:48"/>
    <s v="Apr"/>
    <n v="397150"/>
    <s v="INR"/>
    <n v="71100"/>
    <x v="6"/>
    <x v="5"/>
    <s v="NA"/>
    <s v="NA"/>
    <s v="Thursday"/>
    <s v="Within"/>
    <x v="0"/>
    <x v="1"/>
    <s v="Apr"/>
    <x v="0"/>
  </r>
  <r>
    <n v="285"/>
    <s v="2122H21009"/>
    <n v="212226"/>
    <s v="CC854841"/>
    <s v="C242"/>
    <d v="2021-04-22T00:00:00"/>
    <d v="1899-12-30T13:49:41"/>
    <s v="Apr"/>
    <n v="413530"/>
    <s v="INR"/>
    <n v="74160"/>
    <x v="8"/>
    <x v="1"/>
    <s v="NA"/>
    <s v="NA"/>
    <s v="Thursday"/>
    <s v="Within"/>
    <x v="0"/>
    <x v="1"/>
    <s v="Apr"/>
    <x v="0"/>
  </r>
  <r>
    <n v="286"/>
    <s v="2122T21938"/>
    <n v="212227"/>
    <s v="CC342728"/>
    <s v="C205"/>
    <d v="2021-04-23T00:00:00"/>
    <d v="1899-12-30T16:09:38"/>
    <s v="Apr"/>
    <n v="489190"/>
    <s v="INR"/>
    <n v="88020"/>
    <x v="2"/>
    <x v="1"/>
    <s v="NA"/>
    <s v="NA"/>
    <s v="Friday"/>
    <s v="Within"/>
    <x v="0"/>
    <x v="1"/>
    <s v="Apr"/>
    <x v="0"/>
  </r>
  <r>
    <n v="287"/>
    <s v="2122V91827"/>
    <n v="212228"/>
    <s v="CC382291"/>
    <s v="C238"/>
    <d v="2021-04-26T00:00:00"/>
    <d v="1899-12-30T13:48:02"/>
    <s v="Apr"/>
    <n v="274850"/>
    <s v="INR"/>
    <n v="49140"/>
    <x v="2"/>
    <x v="10"/>
    <s v="NA"/>
    <s v="NA"/>
    <s v="Monday"/>
    <s v="Within"/>
    <x v="0"/>
    <x v="1"/>
    <s v="Apr"/>
    <x v="1"/>
  </r>
  <r>
    <n v="288"/>
    <s v="2122F81122"/>
    <n v="212229"/>
    <s v="CC388791"/>
    <s v="C226"/>
    <d v="2021-04-26T00:00:00"/>
    <d v="1899-12-30T16:35:35"/>
    <s v="Apr"/>
    <n v="333930"/>
    <s v="INR"/>
    <n v="59940"/>
    <x v="2"/>
    <x v="5"/>
    <s v="NA"/>
    <s v="NA"/>
    <s v="Monday"/>
    <s v="Within"/>
    <x v="0"/>
    <x v="1"/>
    <s v="Apr"/>
    <x v="0"/>
  </r>
  <r>
    <n v="289"/>
    <s v="2122K71403"/>
    <n v="212230"/>
    <s v="CC719146"/>
    <s v="C234"/>
    <d v="2021-04-26T00:00:00"/>
    <d v="1899-12-30T17:23:12"/>
    <s v="Apr"/>
    <n v="330040"/>
    <s v="INR"/>
    <n v="59040"/>
    <x v="6"/>
    <x v="5"/>
    <s v="NA"/>
    <s v="NA"/>
    <s v="Monday"/>
    <s v="Within"/>
    <x v="0"/>
    <x v="1"/>
    <s v="Apr"/>
    <x v="0"/>
  </r>
  <r>
    <n v="290"/>
    <s v="2122O11519"/>
    <n v="212231"/>
    <s v="CC154932"/>
    <s v="C209"/>
    <d v="2021-04-27T00:00:00"/>
    <d v="1899-12-30T15:03:42"/>
    <s v="Apr"/>
    <n v="212740"/>
    <s v="INR"/>
    <n v="38160"/>
    <x v="8"/>
    <x v="1"/>
    <s v="NA"/>
    <s v="NA"/>
    <s v="Tuesday"/>
    <s v="Within"/>
    <x v="0"/>
    <x v="1"/>
    <s v="Apr"/>
    <x v="0"/>
  </r>
  <r>
    <n v="291"/>
    <s v="2122W31052"/>
    <n v="212232"/>
    <s v="CC991683"/>
    <s v="C216"/>
    <d v="2021-04-29T00:00:00"/>
    <d v="1899-12-30T15:27:09"/>
    <s v="Apr"/>
    <n v="229650"/>
    <s v="INR"/>
    <n v="40860"/>
    <x v="2"/>
    <x v="1"/>
    <s v="NA"/>
    <s v="NA"/>
    <s v="Thursday"/>
    <s v="Within"/>
    <x v="0"/>
    <x v="1"/>
    <s v="Apr"/>
    <x v="0"/>
  </r>
  <r>
    <n v="292"/>
    <s v="2122S31761"/>
    <n v="212233"/>
    <s v="CC737026"/>
    <s v="C213"/>
    <d v="2021-04-30T00:00:00"/>
    <d v="1899-12-30T11:37:48"/>
    <s v="Apr"/>
    <n v="276090"/>
    <s v="INR"/>
    <n v="49500"/>
    <x v="6"/>
    <x v="0"/>
    <s v="NA"/>
    <s v="NA"/>
    <s v="Friday"/>
    <s v="Within"/>
    <x v="0"/>
    <x v="1"/>
    <s v="Apr"/>
    <x v="0"/>
  </r>
  <r>
    <n v="293"/>
    <s v="2122A71503"/>
    <n v="212234"/>
    <s v="CC740841"/>
    <s v="C206"/>
    <d v="2021-04-30T00:00:00"/>
    <d v="1899-12-30T10:14:03"/>
    <s v="Apr"/>
    <n v="250910"/>
    <s v="INR"/>
    <n v="44820"/>
    <x v="2"/>
    <x v="5"/>
    <s v="NA"/>
    <s v="NA"/>
    <s v="Friday"/>
    <s v="Within"/>
    <x v="0"/>
    <x v="1"/>
    <s v="Apr"/>
    <x v="0"/>
  </r>
  <r>
    <n v="294"/>
    <s v="2122L81527"/>
    <n v="212235"/>
    <s v="CC786502"/>
    <s v="C210"/>
    <d v="2021-05-01T00:00:00"/>
    <d v="1899-12-30T14:52:08"/>
    <s v="May"/>
    <n v="498030"/>
    <s v="INR"/>
    <n v="89280"/>
    <x v="6"/>
    <x v="10"/>
    <s v="NA"/>
    <s v="NA"/>
    <s v="Saturday"/>
    <s v="Within"/>
    <x v="0"/>
    <x v="1"/>
    <s v="May"/>
    <x v="0"/>
  </r>
  <r>
    <n v="295"/>
    <s v="2122Q51651"/>
    <n v="212236"/>
    <s v="CC753187"/>
    <s v="C219"/>
    <d v="2021-05-03T00:00:00"/>
    <d v="1899-12-30T12:04:55"/>
    <s v="May"/>
    <n v="258340"/>
    <s v="INR"/>
    <n v="46260"/>
    <x v="8"/>
    <x v="5"/>
    <s v="NA"/>
    <s v="NA"/>
    <s v="Monday"/>
    <s v="Within"/>
    <x v="0"/>
    <x v="1"/>
    <s v="May"/>
    <x v="0"/>
  </r>
  <r>
    <n v="296"/>
    <s v="2122J41238"/>
    <n v="212237"/>
    <s v="CC826713"/>
    <s v="C204"/>
    <d v="2021-05-03T00:00:00"/>
    <d v="1899-12-30T16:22:27"/>
    <s v="May"/>
    <n v="240520"/>
    <s v="INR"/>
    <n v="42840"/>
    <x v="7"/>
    <x v="0"/>
    <s v="NA"/>
    <s v="NA"/>
    <s v="Monday"/>
    <s v="Within"/>
    <x v="0"/>
    <x v="1"/>
    <s v="May"/>
    <x v="0"/>
  </r>
  <r>
    <n v="297"/>
    <s v="2122C31086"/>
    <n v="212238"/>
    <s v="CC945706"/>
    <s v="C245"/>
    <d v="2021-05-05T00:00:00"/>
    <d v="1899-12-30T17:26:39"/>
    <s v="May"/>
    <n v="403020"/>
    <s v="INR"/>
    <n v="72180"/>
    <x v="7"/>
    <x v="0"/>
    <s v="NA"/>
    <s v="NA"/>
    <s v="Wednesday"/>
    <s v="Within"/>
    <x v="0"/>
    <x v="1"/>
    <s v="May"/>
    <x v="0"/>
  </r>
  <r>
    <n v="298"/>
    <s v="2122X11877"/>
    <n v="212239"/>
    <s v="CC279086"/>
    <s v="C219"/>
    <d v="2021-05-05T00:00:00"/>
    <d v="1899-12-30T14:57:53"/>
    <s v="May"/>
    <n v="328460"/>
    <s v="INR"/>
    <n v="58860"/>
    <x v="11"/>
    <x v="5"/>
    <s v="NA"/>
    <s v="NA"/>
    <s v="Wednesday"/>
    <s v="Within"/>
    <x v="0"/>
    <x v="1"/>
    <s v="May"/>
    <x v="0"/>
  </r>
  <r>
    <n v="299"/>
    <s v="2122P61734"/>
    <n v="212240"/>
    <s v="CC572393"/>
    <s v="C220"/>
    <d v="2021-05-06T00:00:00"/>
    <d v="1899-12-30T11:47:06"/>
    <s v="May"/>
    <n v="321090"/>
    <s v="INR"/>
    <n v="57600"/>
    <x v="8"/>
    <x v="6"/>
    <s v="NA"/>
    <s v="NA"/>
    <s v="Thursday"/>
    <s v="Within"/>
    <x v="0"/>
    <x v="1"/>
    <s v="May"/>
    <x v="0"/>
  </r>
  <r>
    <n v="300"/>
    <s v="2122H31456"/>
    <n v="212241"/>
    <s v="CC199480"/>
    <s v="C211"/>
    <d v="2021-05-06T00:00:00"/>
    <d v="1899-12-30T17:38:35"/>
    <s v="May"/>
    <n v="27380"/>
    <s v="INR"/>
    <n v="4500"/>
    <x v="4"/>
    <x v="14"/>
    <s v="NA"/>
    <s v="NA"/>
    <s v="Thursday"/>
    <s v="Within"/>
    <x v="0"/>
    <x v="1"/>
    <s v="May"/>
    <x v="0"/>
  </r>
  <r>
    <n v="301"/>
    <s v="2122U51176"/>
    <n v="212242"/>
    <s v="CC915591"/>
    <s v="C223"/>
    <d v="2021-05-07T00:00:00"/>
    <d v="1899-12-30T13:58:22"/>
    <s v="May"/>
    <n v="494080"/>
    <s v="INR"/>
    <n v="88560"/>
    <x v="0"/>
    <x v="6"/>
    <s v="NA"/>
    <s v="NA"/>
    <s v="Friday"/>
    <s v="Within"/>
    <x v="0"/>
    <x v="1"/>
    <s v="May"/>
    <x v="0"/>
  </r>
  <r>
    <n v="302"/>
    <s v="2122R81752"/>
    <n v="212243"/>
    <s v="CC714760"/>
    <s v="C239"/>
    <d v="2021-05-09T00:00:00"/>
    <d v="1899-12-30T11:54:24"/>
    <s v="May"/>
    <n v="4279450"/>
    <s v="INR"/>
    <n v="770040"/>
    <x v="17"/>
    <x v="13"/>
    <s v="NA"/>
    <s v="NA"/>
    <s v="Sunday"/>
    <s v="Within"/>
    <x v="1"/>
    <x v="1"/>
    <s v="May"/>
    <x v="1"/>
  </r>
  <r>
    <n v="303"/>
    <s v="2122J71071"/>
    <n v="212244"/>
    <s v="CC779996"/>
    <s v="C225"/>
    <d v="2021-05-10T00:00:00"/>
    <d v="1899-12-30T11:31:57"/>
    <s v="May"/>
    <n v="42630"/>
    <s v="INR"/>
    <n v="7200"/>
    <x v="18"/>
    <x v="2"/>
    <s v="NA"/>
    <s v="NA"/>
    <s v="Monday"/>
    <s v="Within"/>
    <x v="0"/>
    <x v="1"/>
    <s v="May"/>
    <x v="0"/>
  </r>
  <r>
    <n v="304"/>
    <s v="2122P71588"/>
    <n v="212245"/>
    <s v="CC712750"/>
    <s v="C247"/>
    <d v="2021-05-10T00:00:00"/>
    <d v="1899-12-30T10:54:29"/>
    <s v="May"/>
    <n v="491380"/>
    <s v="INR"/>
    <n v="88020"/>
    <x v="1"/>
    <x v="6"/>
    <s v="NA"/>
    <s v="NA"/>
    <s v="Monday"/>
    <s v="Within"/>
    <x v="0"/>
    <x v="1"/>
    <s v="May"/>
    <x v="0"/>
  </r>
  <r>
    <n v="305"/>
    <s v="2122E11194"/>
    <n v="212246"/>
    <s v="CC936408"/>
    <s v="C206"/>
    <d v="2021-05-11T00:00:00"/>
    <d v="1899-12-30T10:23:44"/>
    <s v="May"/>
    <n v="35080"/>
    <s v="INR"/>
    <n v="5940"/>
    <x v="10"/>
    <x v="2"/>
    <s v="NA"/>
    <s v="NA"/>
    <s v="Tuesday"/>
    <s v="Within"/>
    <x v="0"/>
    <x v="1"/>
    <s v="May"/>
    <x v="0"/>
  </r>
  <r>
    <n v="306"/>
    <s v="2122E92000"/>
    <n v="212247"/>
    <s v="CC913421"/>
    <s v="C210"/>
    <d v="2021-05-12T00:00:00"/>
    <d v="1899-12-30T16:37:13"/>
    <s v="May"/>
    <n v="33330"/>
    <s v="INR"/>
    <n v="5580"/>
    <x v="12"/>
    <x v="12"/>
    <s v="NA"/>
    <s v="NA"/>
    <s v="Wednesday"/>
    <s v="Within"/>
    <x v="0"/>
    <x v="1"/>
    <s v="May"/>
    <x v="0"/>
  </r>
  <r>
    <n v="307"/>
    <s v="2122A51332"/>
    <n v="212248"/>
    <s v="CC694145"/>
    <s v="C243"/>
    <d v="2021-05-13T00:00:00"/>
    <d v="1899-12-30T11:58:45"/>
    <s v="May"/>
    <n v="29410"/>
    <s v="INR"/>
    <n v="5040"/>
    <x v="15"/>
    <x v="11"/>
    <s v="NA"/>
    <s v="NA"/>
    <s v="Thursday"/>
    <s v="Within"/>
    <x v="0"/>
    <x v="1"/>
    <s v="May"/>
    <x v="0"/>
  </r>
  <r>
    <n v="308"/>
    <s v="2122N21290"/>
    <n v="212249"/>
    <s v="CC812055"/>
    <s v="C210"/>
    <d v="2021-05-13T00:00:00"/>
    <d v="1899-12-30T17:14:16"/>
    <s v="May"/>
    <n v="488580"/>
    <s v="INR"/>
    <n v="87480"/>
    <x v="1"/>
    <x v="10"/>
    <s v="NA"/>
    <s v="NA"/>
    <s v="Thursday"/>
    <s v="Within"/>
    <x v="0"/>
    <x v="1"/>
    <s v="May"/>
    <x v="0"/>
  </r>
  <r>
    <n v="309"/>
    <s v="2122H61356"/>
    <n v="212250"/>
    <s v="CC533198"/>
    <s v="C202"/>
    <d v="2021-05-15T00:00:00"/>
    <d v="1899-12-30T14:47:20"/>
    <s v="May"/>
    <n v="458040"/>
    <s v="INR"/>
    <n v="82260"/>
    <x v="0"/>
    <x v="10"/>
    <s v="NA"/>
    <s v="NA"/>
    <s v="Saturday"/>
    <s v="Within"/>
    <x v="0"/>
    <x v="1"/>
    <s v="May"/>
    <x v="0"/>
  </r>
  <r>
    <n v="310"/>
    <s v="2122G71828"/>
    <n v="212251"/>
    <s v="CC403177"/>
    <s v="C202"/>
    <d v="2021-05-17T00:00:00"/>
    <d v="1899-12-30T15:12:05"/>
    <s v="May"/>
    <n v="31230"/>
    <s v="INR"/>
    <n v="5400"/>
    <x v="14"/>
    <x v="11"/>
    <s v="NA"/>
    <s v="NA"/>
    <s v="Monday"/>
    <s v="Within"/>
    <x v="0"/>
    <x v="1"/>
    <s v="May"/>
    <x v="0"/>
  </r>
  <r>
    <n v="311"/>
    <s v="2122Z81727"/>
    <n v="212252"/>
    <s v="CC834403"/>
    <s v="C225"/>
    <d v="2021-05-17T00:00:00"/>
    <d v="1899-12-30T10:11:05"/>
    <s v="May"/>
    <n v="492890"/>
    <s v="INR"/>
    <n v="88560"/>
    <x v="1"/>
    <x v="1"/>
    <s v="NA"/>
    <s v="NA"/>
    <s v="Monday"/>
    <s v="Within"/>
    <x v="0"/>
    <x v="1"/>
    <s v="May"/>
    <x v="0"/>
  </r>
  <r>
    <n v="312"/>
    <s v="2122C71512"/>
    <n v="212253"/>
    <s v="CC464231"/>
    <s v="C239"/>
    <d v="2021-05-16T00:00:00"/>
    <d v="1899-12-30T12:31:43"/>
    <s v="May"/>
    <n v="4951880"/>
    <s v="INR"/>
    <n v="891000"/>
    <x v="5"/>
    <x v="4"/>
    <s v="NA"/>
    <s v="NA"/>
    <s v="Sunday"/>
    <s v="Within"/>
    <x v="1"/>
    <x v="1"/>
    <s v="May"/>
    <x v="1"/>
  </r>
  <r>
    <n v="313"/>
    <s v="2122I51463"/>
    <n v="212254"/>
    <s v="CC228462"/>
    <s v="C247"/>
    <d v="2021-05-18T00:00:00"/>
    <d v="1899-12-30T17:24:41"/>
    <s v="May"/>
    <n v="422770"/>
    <s v="INR"/>
    <n v="75600"/>
    <x v="2"/>
    <x v="0"/>
    <s v="NA"/>
    <s v="NA"/>
    <s v="Tuesday"/>
    <s v="Within"/>
    <x v="0"/>
    <x v="1"/>
    <s v="May"/>
    <x v="0"/>
  </r>
  <r>
    <n v="314"/>
    <s v="2122E81958"/>
    <n v="212255"/>
    <s v="CC329189"/>
    <s v="C247"/>
    <d v="2021-05-18T00:00:00"/>
    <d v="1899-12-30T13:49:58"/>
    <s v="May"/>
    <n v="471550"/>
    <s v="INR"/>
    <n v="84600"/>
    <x v="2"/>
    <x v="6"/>
    <s v="NA"/>
    <s v="NA"/>
    <s v="Tuesday"/>
    <s v="Within"/>
    <x v="0"/>
    <x v="1"/>
    <s v="May"/>
    <x v="0"/>
  </r>
  <r>
    <n v="315"/>
    <s v="2122U21721"/>
    <n v="212256"/>
    <s v="CC219614"/>
    <s v="C221"/>
    <d v="2021-05-19T00:00:00"/>
    <d v="1899-12-30T11:13:18"/>
    <s v="Apr"/>
    <n v="493100"/>
    <s v="INR"/>
    <n v="88380"/>
    <x v="11"/>
    <x v="1"/>
    <s v="NA"/>
    <s v="NA"/>
    <s v="Wednesday"/>
    <s v="Within"/>
    <x v="0"/>
    <x v="1"/>
    <s v="May"/>
    <x v="0"/>
  </r>
  <r>
    <n v="316"/>
    <s v="2122A91382"/>
    <n v="212257"/>
    <s v="CC360973"/>
    <s v="C214"/>
    <d v="2021-05-19T00:00:00"/>
    <d v="1899-12-30T16:59:54"/>
    <s v="May"/>
    <n v="32770"/>
    <s v="INR"/>
    <n v="5760"/>
    <x v="15"/>
    <x v="3"/>
    <s v="NA"/>
    <s v="NA"/>
    <s v="Wednesday"/>
    <s v="Within"/>
    <x v="0"/>
    <x v="1"/>
    <s v="May"/>
    <x v="0"/>
  </r>
  <r>
    <n v="317"/>
    <s v="2122F51501"/>
    <n v="212258"/>
    <s v="CC996672"/>
    <s v="C227"/>
    <d v="2021-05-21T00:00:00"/>
    <d v="1899-12-30T11:07:50"/>
    <s v="May"/>
    <n v="33370"/>
    <s v="INR"/>
    <n v="5760"/>
    <x v="15"/>
    <x v="14"/>
    <s v="NA"/>
    <s v="NA"/>
    <s v="Friday"/>
    <s v="Within"/>
    <x v="0"/>
    <x v="1"/>
    <s v="May"/>
    <x v="0"/>
  </r>
  <r>
    <n v="318"/>
    <s v="2122I71828"/>
    <n v="212259"/>
    <s v="CC402764"/>
    <s v="C246"/>
    <d v="2021-05-21T00:00:00"/>
    <d v="1899-12-30T13:18:34"/>
    <s v="May"/>
    <n v="33290"/>
    <s v="INR"/>
    <n v="5580"/>
    <x v="14"/>
    <x v="7"/>
    <s v="NA"/>
    <s v="NA"/>
    <s v="Friday"/>
    <s v="Within"/>
    <x v="0"/>
    <x v="1"/>
    <s v="May"/>
    <x v="0"/>
  </r>
  <r>
    <n v="319"/>
    <s v="2122P31207"/>
    <n v="212260"/>
    <s v="CC822579"/>
    <s v="C226"/>
    <d v="2021-05-21T00:00:00"/>
    <d v="1899-12-30T12:59:38"/>
    <s v="May"/>
    <n v="31350"/>
    <s v="INR"/>
    <n v="5580"/>
    <x v="19"/>
    <x v="3"/>
    <s v="NA"/>
    <s v="NA"/>
    <s v="Friday"/>
    <s v="Within"/>
    <x v="0"/>
    <x v="1"/>
    <s v="May"/>
    <x v="0"/>
  </r>
  <r>
    <n v="320"/>
    <s v="2122S11948"/>
    <n v="212261"/>
    <s v="CC551324"/>
    <s v="C240"/>
    <d v="2021-05-23T00:00:00"/>
    <d v="1899-12-30T10:37:15"/>
    <s v="May"/>
    <n v="4062620"/>
    <s v="INR"/>
    <n v="730800"/>
    <x v="17"/>
    <x v="13"/>
    <s v="NA"/>
    <s v="NA"/>
    <s v="Sunday"/>
    <s v="Within"/>
    <x v="1"/>
    <x v="1"/>
    <s v="May"/>
    <x v="1"/>
  </r>
  <r>
    <n v="321"/>
    <s v="2122T61344"/>
    <n v="212262"/>
    <s v="CC117699"/>
    <s v="C240"/>
    <d v="2021-05-22T00:00:00"/>
    <d v="1899-12-30T19:35:18"/>
    <s v="May"/>
    <n v="4672170"/>
    <s v="INR"/>
    <n v="840780"/>
    <x v="5"/>
    <x v="4"/>
    <s v="NA"/>
    <s v="NA"/>
    <s v="Saturday"/>
    <s v="Outside"/>
    <x v="1"/>
    <x v="1"/>
    <s v="May"/>
    <x v="1"/>
  </r>
  <r>
    <n v="322"/>
    <s v="2122K41100"/>
    <n v="212263"/>
    <s v="CC345184"/>
    <s v="C212"/>
    <d v="2021-05-22T00:00:00"/>
    <d v="1899-12-30T10:54:50"/>
    <s v="May"/>
    <n v="33750"/>
    <s v="INR"/>
    <n v="5760"/>
    <x v="18"/>
    <x v="14"/>
    <s v="NA"/>
    <s v="NA"/>
    <s v="Saturday"/>
    <s v="Within"/>
    <x v="0"/>
    <x v="1"/>
    <s v="May"/>
    <x v="0"/>
  </r>
  <r>
    <n v="323"/>
    <s v="2122Y01059"/>
    <n v="212264"/>
    <s v="CC328264"/>
    <s v="C220"/>
    <d v="2021-05-22T00:00:00"/>
    <d v="1899-12-30T10:32:01"/>
    <s v="May"/>
    <n v="31040"/>
    <s v="INR"/>
    <n v="5220"/>
    <x v="13"/>
    <x v="11"/>
    <s v="NA"/>
    <s v="NA"/>
    <s v="Saturday"/>
    <s v="Within"/>
    <x v="0"/>
    <x v="1"/>
    <s v="May"/>
    <x v="0"/>
  </r>
  <r>
    <n v="324"/>
    <s v="2122C91143"/>
    <n v="212265"/>
    <s v="CC616697"/>
    <s v="C230"/>
    <d v="2021-05-24T00:00:00"/>
    <d v="1899-12-30T12:15:54"/>
    <s v="May"/>
    <n v="36470"/>
    <s v="INR"/>
    <n v="6120"/>
    <x v="4"/>
    <x v="14"/>
    <s v="NA"/>
    <s v="NA"/>
    <s v="Monday"/>
    <s v="Within"/>
    <x v="0"/>
    <x v="1"/>
    <s v="May"/>
    <x v="0"/>
  </r>
  <r>
    <n v="325"/>
    <s v="2122Z91814"/>
    <n v="212266"/>
    <s v="CC296237"/>
    <s v="C247"/>
    <d v="2021-05-24T00:00:00"/>
    <d v="1899-12-30T17:22:02"/>
    <s v="May"/>
    <n v="31200"/>
    <s v="INR"/>
    <n v="5400"/>
    <x v="4"/>
    <x v="12"/>
    <s v="NA"/>
    <s v="NA"/>
    <s v="Monday"/>
    <s v="Within"/>
    <x v="0"/>
    <x v="1"/>
    <s v="May"/>
    <x v="0"/>
  </r>
  <r>
    <n v="326"/>
    <s v="2122Y31120"/>
    <n v="212267"/>
    <s v="CC431429"/>
    <s v="C200"/>
    <d v="2021-05-28T00:00:00"/>
    <d v="1899-12-30T10:58:48"/>
    <s v="May"/>
    <n v="384050"/>
    <s v="INR"/>
    <n v="68940"/>
    <x v="1"/>
    <x v="10"/>
    <s v="NA"/>
    <s v="NA"/>
    <s v="Friday"/>
    <s v="Within"/>
    <x v="0"/>
    <x v="1"/>
    <s v="May"/>
    <x v="0"/>
  </r>
  <r>
    <n v="327"/>
    <s v="2122W11173"/>
    <n v="212268"/>
    <s v="CC793013"/>
    <s v="C207"/>
    <d v="2021-05-28T00:00:00"/>
    <d v="1899-12-30T13:17:00"/>
    <s v="May"/>
    <n v="487120"/>
    <s v="INR"/>
    <n v="87300"/>
    <x v="8"/>
    <x v="5"/>
    <s v="NA"/>
    <s v="NA"/>
    <s v="Friday"/>
    <s v="Within"/>
    <x v="0"/>
    <x v="1"/>
    <s v="May"/>
    <x v="0"/>
  </r>
  <r>
    <n v="328"/>
    <s v="2122K21518"/>
    <n v="212269"/>
    <s v="CC609741"/>
    <s v="C236"/>
    <d v="2021-05-29T00:00:00"/>
    <d v="1899-12-30T19:45:36"/>
    <s v="May"/>
    <n v="4611710"/>
    <s v="INR"/>
    <n v="829800"/>
    <x v="5"/>
    <x v="4"/>
    <s v="NA"/>
    <s v="NA"/>
    <s v="Saturday"/>
    <s v="Outside"/>
    <x v="1"/>
    <x v="1"/>
    <s v="May"/>
    <x v="1"/>
  </r>
  <r>
    <n v="329"/>
    <s v="2122O11507"/>
    <n v="212270"/>
    <s v="CC724728"/>
    <s v="C218"/>
    <d v="2021-05-31T00:00:00"/>
    <d v="1899-12-30T13:18:29"/>
    <s v="May"/>
    <n v="302270"/>
    <s v="INR"/>
    <n v="54360"/>
    <x v="11"/>
    <x v="5"/>
    <s v="NA"/>
    <s v="NA"/>
    <s v="Monday"/>
    <s v="Within"/>
    <x v="0"/>
    <x v="1"/>
    <s v="May"/>
    <x v="0"/>
  </r>
  <r>
    <n v="330"/>
    <s v="2122F91688"/>
    <n v="212271"/>
    <s v="CC328767"/>
    <s v="C223"/>
    <d v="2021-05-31T00:00:00"/>
    <d v="1899-12-30T10:37:14"/>
    <s v="May"/>
    <n v="255750"/>
    <s v="INR"/>
    <n v="45720"/>
    <x v="6"/>
    <x v="1"/>
    <s v="NA"/>
    <s v="NA"/>
    <s v="Monday"/>
    <s v="Within"/>
    <x v="0"/>
    <x v="1"/>
    <s v="May"/>
    <x v="0"/>
  </r>
  <r>
    <n v="331"/>
    <s v="2122W01822"/>
    <n v="212272"/>
    <s v="CC288213"/>
    <s v="C244"/>
    <d v="2021-06-01T00:00:00"/>
    <d v="1899-12-30T11:39:48"/>
    <s v="Jun"/>
    <n v="371830"/>
    <s v="INR"/>
    <n v="66420"/>
    <x v="2"/>
    <x v="1"/>
    <s v="NA"/>
    <s v="NA"/>
    <s v="Tuesday"/>
    <s v="Within"/>
    <x v="0"/>
    <x v="1"/>
    <s v="Jun"/>
    <x v="0"/>
  </r>
  <r>
    <n v="332"/>
    <s v="2122P41977"/>
    <n v="212273"/>
    <s v="CC701641"/>
    <s v="C229"/>
    <d v="2021-06-01T00:00:00"/>
    <d v="1899-12-30T14:45:29"/>
    <s v="Jun"/>
    <n v="493750"/>
    <s v="INR"/>
    <n v="88740"/>
    <x v="1"/>
    <x v="1"/>
    <s v="NA"/>
    <s v="NA"/>
    <s v="Tuesday"/>
    <s v="Within"/>
    <x v="0"/>
    <x v="1"/>
    <s v="Jun"/>
    <x v="0"/>
  </r>
  <r>
    <n v="333"/>
    <s v="2122N31667"/>
    <n v="212274"/>
    <s v="CC311492"/>
    <s v="C217"/>
    <d v="2021-06-03T00:00:00"/>
    <d v="1899-12-30T15:53:46"/>
    <s v="Jun"/>
    <n v="407360"/>
    <s v="INR"/>
    <n v="73080"/>
    <x v="2"/>
    <x v="5"/>
    <s v="NA"/>
    <s v="NA"/>
    <s v="Thursday"/>
    <s v="Within"/>
    <x v="0"/>
    <x v="1"/>
    <s v="Jun"/>
    <x v="0"/>
  </r>
  <r>
    <n v="334"/>
    <s v="2122D01537"/>
    <n v="212275"/>
    <s v="CC709724"/>
    <s v="C205"/>
    <d v="2021-06-03T00:00:00"/>
    <d v="1899-12-30T10:28:34"/>
    <s v="Jun"/>
    <n v="262680"/>
    <s v="INR"/>
    <n v="47160"/>
    <x v="2"/>
    <x v="10"/>
    <s v="NA"/>
    <s v="NA"/>
    <s v="Thursday"/>
    <s v="Within"/>
    <x v="0"/>
    <x v="1"/>
    <s v="Jun"/>
    <x v="0"/>
  </r>
  <r>
    <n v="335"/>
    <s v="2122D91262"/>
    <n v="212276"/>
    <s v="CC889005"/>
    <s v="C236"/>
    <d v="2021-06-06T00:00:00"/>
    <d v="1899-12-30T13:42:19"/>
    <s v="Jun"/>
    <n v="4080130"/>
    <s v="INR"/>
    <n v="734400"/>
    <x v="16"/>
    <x v="13"/>
    <s v="NA"/>
    <s v="NA"/>
    <s v="Sunday"/>
    <s v="Within"/>
    <x v="1"/>
    <x v="1"/>
    <s v="Jun"/>
    <x v="1"/>
  </r>
  <r>
    <n v="336"/>
    <s v="2122L61433"/>
    <n v="212277"/>
    <s v="CC248245"/>
    <s v="C220"/>
    <d v="2021-06-04T00:00:00"/>
    <d v="1899-12-30T12:30:19"/>
    <s v="Jun"/>
    <n v="490650"/>
    <s v="INR"/>
    <n v="88020"/>
    <x v="2"/>
    <x v="5"/>
    <s v="NA"/>
    <s v="NA"/>
    <s v="Friday"/>
    <s v="Within"/>
    <x v="0"/>
    <x v="1"/>
    <s v="Jun"/>
    <x v="0"/>
  </r>
  <r>
    <n v="337"/>
    <s v="2122A51824"/>
    <n v="212278"/>
    <s v="CC462512"/>
    <s v="C223"/>
    <d v="2021-06-05T00:00:00"/>
    <d v="1899-12-30T12:58:18"/>
    <s v="Jun"/>
    <n v="262560"/>
    <s v="INR"/>
    <n v="46800"/>
    <x v="0"/>
    <x v="5"/>
    <s v="NA"/>
    <s v="NA"/>
    <s v="Saturday"/>
    <s v="Within"/>
    <x v="0"/>
    <x v="1"/>
    <s v="Jun"/>
    <x v="0"/>
  </r>
  <r>
    <n v="338"/>
    <s v="2122C91935"/>
    <n v="212279"/>
    <s v="CC382059"/>
    <s v="C234"/>
    <d v="2021-06-09T00:00:00"/>
    <d v="1899-12-30T16:50:48"/>
    <s v="Jun"/>
    <n v="2262240"/>
    <s v="INR"/>
    <n v="406800"/>
    <x v="16"/>
    <x v="13"/>
    <s v="NA"/>
    <s v="NA"/>
    <s v="Wednesday"/>
    <s v="Within"/>
    <x v="0"/>
    <x v="1"/>
    <s v="Jun"/>
    <x v="0"/>
  </r>
  <r>
    <n v="339"/>
    <s v="2122G01509"/>
    <n v="212280"/>
    <s v="CC571554"/>
    <s v="C230"/>
    <d v="2021-06-10T00:00:00"/>
    <d v="1899-12-30T11:56:30"/>
    <s v="Jun"/>
    <n v="354620"/>
    <s v="INR"/>
    <n v="63720"/>
    <x v="6"/>
    <x v="1"/>
    <s v="NA"/>
    <s v="NA"/>
    <s v="Thursday"/>
    <s v="Within"/>
    <x v="0"/>
    <x v="1"/>
    <s v="Jun"/>
    <x v="0"/>
  </r>
  <r>
    <n v="340"/>
    <s v="2122M81287"/>
    <n v="212281"/>
    <s v="CC438230"/>
    <s v="C247"/>
    <d v="2021-06-14T00:00:00"/>
    <d v="1899-12-30T10:33:58"/>
    <s v="May"/>
    <n v="346810"/>
    <s v="INR"/>
    <n v="61920"/>
    <x v="8"/>
    <x v="5"/>
    <s v="NA"/>
    <s v="NA"/>
    <s v="Monday"/>
    <s v="Within"/>
    <x v="0"/>
    <x v="1"/>
    <s v="Jun"/>
    <x v="0"/>
  </r>
  <r>
    <n v="341"/>
    <s v="2122X11995"/>
    <n v="212282"/>
    <s v="CC157174"/>
    <s v="C231"/>
    <d v="2021-06-14T00:00:00"/>
    <d v="1899-12-30T11:38:10"/>
    <s v="Jun"/>
    <n v="268040"/>
    <s v="INR"/>
    <n v="47880"/>
    <x v="11"/>
    <x v="10"/>
    <s v="NA"/>
    <s v="NA"/>
    <s v="Monday"/>
    <s v="Within"/>
    <x v="0"/>
    <x v="1"/>
    <s v="Jun"/>
    <x v="0"/>
  </r>
  <r>
    <n v="342"/>
    <s v="2122P01373"/>
    <n v="212283"/>
    <s v="CC667613"/>
    <s v="C204"/>
    <d v="2021-06-17T00:00:00"/>
    <d v="1899-12-30T11:59:18"/>
    <s v="Jun"/>
    <n v="447580"/>
    <s v="INR"/>
    <n v="80280"/>
    <x v="2"/>
    <x v="1"/>
    <s v="NA"/>
    <s v="NA"/>
    <s v="Thursday"/>
    <s v="Within"/>
    <x v="0"/>
    <x v="1"/>
    <s v="Jun"/>
    <x v="0"/>
  </r>
  <r>
    <n v="343"/>
    <s v="2122D11524"/>
    <n v="212284"/>
    <s v="CC986776"/>
    <s v="C230"/>
    <d v="2021-06-18T00:00:00"/>
    <d v="1899-12-30T17:01:33"/>
    <s v="May"/>
    <n v="293240"/>
    <s v="INR"/>
    <n v="52380"/>
    <x v="11"/>
    <x v="1"/>
    <s v="NA"/>
    <s v="NA"/>
    <s v="Friday"/>
    <s v="Within"/>
    <x v="0"/>
    <x v="1"/>
    <s v="Jun"/>
    <x v="0"/>
  </r>
  <r>
    <n v="344"/>
    <s v="2122K31734"/>
    <n v="212285"/>
    <s v="CC917205"/>
    <s v="C203"/>
    <d v="2021-06-19T00:00:00"/>
    <d v="1899-12-30T11:36:12"/>
    <s v="Jun"/>
    <n v="455400"/>
    <s v="INR"/>
    <n v="81540"/>
    <x v="11"/>
    <x v="1"/>
    <s v="NA"/>
    <s v="NA"/>
    <s v="Saturday"/>
    <s v="Within"/>
    <x v="0"/>
    <x v="1"/>
    <s v="Jun"/>
    <x v="0"/>
  </r>
  <r>
    <n v="345"/>
    <s v="2122W51264"/>
    <n v="212286"/>
    <s v="CC744505"/>
    <s v="C204"/>
    <d v="2021-06-21T00:00:00"/>
    <d v="1899-12-30T10:50:30"/>
    <s v="Jun"/>
    <n v="451620"/>
    <s v="INR"/>
    <n v="81180"/>
    <x v="8"/>
    <x v="6"/>
    <s v="NA"/>
    <s v="NA"/>
    <s v="Monday"/>
    <s v="Within"/>
    <x v="0"/>
    <x v="1"/>
    <s v="Jun"/>
    <x v="0"/>
  </r>
  <r>
    <n v="346"/>
    <s v="2122E81308"/>
    <n v="212287"/>
    <s v="CC368408"/>
    <s v="C215"/>
    <d v="2021-06-21T00:00:00"/>
    <d v="1899-12-30T11:34:13"/>
    <s v="Jun"/>
    <n v="253470"/>
    <s v="INR"/>
    <n v="45360"/>
    <x v="1"/>
    <x v="0"/>
    <s v="NA"/>
    <s v="NA"/>
    <s v="Monday"/>
    <s v="Within"/>
    <x v="0"/>
    <x v="1"/>
    <s v="Jun"/>
    <x v="0"/>
  </r>
  <r>
    <n v="347"/>
    <s v="2122M11324"/>
    <n v="212288"/>
    <s v="CC351025"/>
    <s v="C229"/>
    <d v="2021-06-24T00:00:00"/>
    <d v="1899-12-30T15:35:20"/>
    <s v="Jun"/>
    <n v="459760"/>
    <s v="INR"/>
    <n v="82260"/>
    <x v="11"/>
    <x v="1"/>
    <s v="NA"/>
    <s v="NA"/>
    <s v="Thursday"/>
    <s v="Within"/>
    <x v="0"/>
    <x v="1"/>
    <s v="Jun"/>
    <x v="0"/>
  </r>
  <r>
    <n v="348"/>
    <s v="2122Q71449"/>
    <n v="212289"/>
    <s v="CC843843"/>
    <s v="C220"/>
    <d v="2021-06-24T00:00:00"/>
    <d v="1899-12-30T17:52:51"/>
    <s v="Jun"/>
    <n v="334490"/>
    <s v="INR"/>
    <n v="59760"/>
    <x v="11"/>
    <x v="1"/>
    <s v="NA"/>
    <s v="NA"/>
    <s v="Thursday"/>
    <s v="Within"/>
    <x v="0"/>
    <x v="1"/>
    <s v="Jun"/>
    <x v="0"/>
  </r>
  <r>
    <n v="349"/>
    <s v="2122J41040"/>
    <n v="212290"/>
    <s v="CC758767"/>
    <s v="C240"/>
    <d v="2021-06-26T00:00:00"/>
    <d v="1899-12-30T19:32:42"/>
    <s v="Jun"/>
    <n v="4330520"/>
    <s v="INR"/>
    <n v="779400"/>
    <x v="17"/>
    <x v="13"/>
    <s v="NA"/>
    <s v="NA"/>
    <s v="Saturday"/>
    <s v="Outside"/>
    <x v="1"/>
    <x v="1"/>
    <s v="Jun"/>
    <x v="1"/>
  </r>
  <r>
    <n v="350"/>
    <s v="2122M71189"/>
    <n v="212291"/>
    <s v="CC845878"/>
    <s v="C229"/>
    <d v="2021-06-29T00:00:00"/>
    <d v="1899-12-30T12:32:27"/>
    <s v="Jun"/>
    <n v="372550"/>
    <s v="INR"/>
    <n v="66600"/>
    <x v="11"/>
    <x v="1"/>
    <s v="NA"/>
    <s v="NA"/>
    <s v="Tuesday"/>
    <s v="Within"/>
    <x v="0"/>
    <x v="1"/>
    <s v="Jun"/>
    <x v="0"/>
  </r>
  <r>
    <n v="351"/>
    <s v="2122O01612"/>
    <n v="212292"/>
    <s v="CC397746"/>
    <s v="C223"/>
    <d v="2021-06-30T00:00:00"/>
    <d v="1899-12-30T10:13:01"/>
    <s v="Jun"/>
    <n v="218040"/>
    <s v="INR"/>
    <n v="38880"/>
    <x v="8"/>
    <x v="6"/>
    <s v="NA"/>
    <s v="NA"/>
    <s v="Wednesday"/>
    <s v="Within"/>
    <x v="0"/>
    <x v="1"/>
    <s v="Jun"/>
    <x v="0"/>
  </r>
  <r>
    <n v="352"/>
    <s v="2122K21667"/>
    <n v="212293"/>
    <s v="CC611971"/>
    <s v="C241"/>
    <d v="2021-06-30T00:00:00"/>
    <d v="1899-12-30T13:22:07"/>
    <s v="Jun"/>
    <n v="304750"/>
    <s v="INR"/>
    <n v="54540"/>
    <x v="8"/>
    <x v="10"/>
    <s v="NA"/>
    <s v="NA"/>
    <s v="Wednesday"/>
    <s v="Within"/>
    <x v="0"/>
    <x v="1"/>
    <s v="Jun"/>
    <x v="0"/>
  </r>
  <r>
    <n v="353"/>
    <s v="2122R41764"/>
    <n v="212294"/>
    <s v="CC958168"/>
    <s v="C236"/>
    <d v="2021-07-04T00:00:00"/>
    <d v="1899-12-30T11:46:31"/>
    <s v="Jul"/>
    <n v="4673740"/>
    <s v="INR"/>
    <n v="841140"/>
    <x v="5"/>
    <x v="4"/>
    <s v="NA"/>
    <s v="NA"/>
    <s v="Sunday"/>
    <s v="Within"/>
    <x v="1"/>
    <x v="1"/>
    <s v="Jul"/>
    <x v="1"/>
  </r>
  <r>
    <n v="354"/>
    <s v="2122X11966"/>
    <n v="212295"/>
    <s v="CC760438"/>
    <s v="C243"/>
    <d v="2021-07-02T00:00:00"/>
    <d v="1899-12-30T16:39:50"/>
    <s v="Jul"/>
    <n v="223240"/>
    <s v="INR"/>
    <n v="40140"/>
    <x v="1"/>
    <x v="5"/>
    <s v="NA"/>
    <s v="NA"/>
    <s v="Friday"/>
    <s v="Within"/>
    <x v="0"/>
    <x v="1"/>
    <s v="Jul"/>
    <x v="0"/>
  </r>
  <r>
    <n v="355"/>
    <s v="2122R41436"/>
    <n v="212296"/>
    <s v="CC113941"/>
    <s v="C229"/>
    <d v="2021-07-03T00:00:00"/>
    <d v="1899-12-30T11:26:32"/>
    <s v="Jul"/>
    <n v="4880550"/>
    <s v="INR"/>
    <n v="878040"/>
    <x v="5"/>
    <x v="4"/>
    <s v="NA"/>
    <s v="NA"/>
    <s v="Saturday"/>
    <s v="Within"/>
    <x v="0"/>
    <x v="1"/>
    <s v="Jul"/>
    <x v="0"/>
  </r>
  <r>
    <n v="356"/>
    <s v="2122X51421"/>
    <n v="212297"/>
    <s v="CC414518"/>
    <s v="C210"/>
    <d v="2021-07-03T00:00:00"/>
    <d v="1899-12-30T12:28:21"/>
    <s v="Jul"/>
    <n v="4982880"/>
    <s v="INR"/>
    <n v="896400"/>
    <x v="5"/>
    <x v="4"/>
    <s v="NA"/>
    <s v="NA"/>
    <s v="Saturday"/>
    <s v="Within"/>
    <x v="0"/>
    <x v="1"/>
    <s v="Jul"/>
    <x v="0"/>
  </r>
  <r>
    <n v="357"/>
    <s v="2122K41582"/>
    <n v="212298"/>
    <s v="CC855150"/>
    <s v="C243"/>
    <d v="2021-07-03T00:00:00"/>
    <d v="1899-12-30T15:15:08"/>
    <s v="Jul"/>
    <n v="335690"/>
    <s v="INR"/>
    <n v="60300"/>
    <x v="6"/>
    <x v="6"/>
    <s v="NA"/>
    <s v="NA"/>
    <s v="Saturday"/>
    <s v="Within"/>
    <x v="0"/>
    <x v="1"/>
    <s v="Jul"/>
    <x v="0"/>
  </r>
  <r>
    <n v="358"/>
    <s v="2122R71561"/>
    <n v="212299"/>
    <s v="CC688525"/>
    <s v="C223"/>
    <d v="2021-07-05T00:00:00"/>
    <d v="1899-12-30T13:51:31"/>
    <s v="Jul"/>
    <n v="337610"/>
    <s v="INR"/>
    <n v="60480"/>
    <x v="8"/>
    <x v="1"/>
    <s v="NA"/>
    <s v="NA"/>
    <s v="Monday"/>
    <s v="Within"/>
    <x v="0"/>
    <x v="1"/>
    <s v="Jul"/>
    <x v="0"/>
  </r>
  <r>
    <n v="359"/>
    <s v="2122Y51297"/>
    <n v="2122100"/>
    <s v="CC909635"/>
    <s v="C208"/>
    <d v="2021-07-05T00:00:00"/>
    <d v="1899-12-30T10:57:19"/>
    <s v="Jul"/>
    <n v="315160"/>
    <s v="INR"/>
    <n v="56340"/>
    <x v="1"/>
    <x v="5"/>
    <s v="NA"/>
    <s v="NA"/>
    <s v="Monday"/>
    <s v="Within"/>
    <x v="0"/>
    <x v="1"/>
    <s v="Jul"/>
    <x v="0"/>
  </r>
  <r>
    <n v="360"/>
    <s v="2122A21810"/>
    <n v="2122101"/>
    <s v="CC462535"/>
    <s v="C218"/>
    <d v="2021-07-06T00:00:00"/>
    <d v="1899-12-30T17:46:03"/>
    <s v="Jul"/>
    <n v="258880"/>
    <s v="INR"/>
    <n v="46440"/>
    <x v="2"/>
    <x v="10"/>
    <s v="NA"/>
    <s v="NA"/>
    <s v="Tuesday"/>
    <s v="Within"/>
    <x v="0"/>
    <x v="1"/>
    <s v="Jul"/>
    <x v="0"/>
  </r>
  <r>
    <n v="361"/>
    <s v="2122K81299"/>
    <n v="2122102"/>
    <s v="CC730025"/>
    <s v="C245"/>
    <d v="2021-07-07T00:00:00"/>
    <d v="1899-12-30T12:50:19"/>
    <s v="Jul"/>
    <n v="4879050"/>
    <s v="INR"/>
    <n v="878040"/>
    <x v="5"/>
    <x v="4"/>
    <s v="NA"/>
    <s v="NA"/>
    <s v="Wednesday"/>
    <s v="Within"/>
    <x v="0"/>
    <x v="1"/>
    <s v="Jul"/>
    <x v="0"/>
  </r>
  <r>
    <n v="362"/>
    <s v="2122E81303"/>
    <n v="2122103"/>
    <s v="CC295581"/>
    <s v="C248"/>
    <d v="2021-07-07T00:00:00"/>
    <d v="1899-12-30T16:27:49"/>
    <s v="Jul"/>
    <n v="4517900"/>
    <s v="INR"/>
    <n v="812880"/>
    <x v="5"/>
    <x v="4"/>
    <s v="NA"/>
    <s v="NA"/>
    <s v="Wednesday"/>
    <s v="Within"/>
    <x v="0"/>
    <x v="1"/>
    <s v="Jul"/>
    <x v="0"/>
  </r>
  <r>
    <n v="363"/>
    <s v="2122O71438"/>
    <n v="2122104"/>
    <s v="CC504719"/>
    <s v="C240"/>
    <d v="2021-07-11T00:00:00"/>
    <d v="1899-12-30T12:06:17"/>
    <s v="Jul"/>
    <n v="4059510"/>
    <s v="INR"/>
    <n v="730440"/>
    <x v="17"/>
    <x v="13"/>
    <s v="NA"/>
    <s v="NA"/>
    <s v="Sunday"/>
    <s v="Within"/>
    <x v="1"/>
    <x v="1"/>
    <s v="Jul"/>
    <x v="1"/>
  </r>
  <r>
    <n v="364"/>
    <s v="2122Y51662"/>
    <n v="2122105"/>
    <s v="CC122844"/>
    <s v="C242"/>
    <d v="2021-07-07T00:00:00"/>
    <d v="1899-12-30T10:09:49"/>
    <s v="Jul"/>
    <n v="420600"/>
    <s v="INR"/>
    <n v="75420"/>
    <x v="6"/>
    <x v="1"/>
    <s v="NA"/>
    <s v="NA"/>
    <s v="Wednesday"/>
    <s v="Within"/>
    <x v="0"/>
    <x v="1"/>
    <s v="Jul"/>
    <x v="0"/>
  </r>
  <r>
    <n v="365"/>
    <s v="2122U21295"/>
    <n v="2122106"/>
    <s v="CC955812"/>
    <s v="C208"/>
    <d v="2021-07-08T00:00:00"/>
    <d v="1899-12-30T11:56:09"/>
    <s v="Jun"/>
    <n v="247030"/>
    <s v="INR"/>
    <n v="44100"/>
    <x v="6"/>
    <x v="10"/>
    <s v="NA"/>
    <s v="NA"/>
    <s v="Thursday"/>
    <s v="Within"/>
    <x v="0"/>
    <x v="1"/>
    <s v="Jul"/>
    <x v="0"/>
  </r>
  <r>
    <n v="366"/>
    <s v="2122H51580"/>
    <n v="2122107"/>
    <s v="CC124053"/>
    <s v="C226"/>
    <d v="2021-07-08T00:00:00"/>
    <d v="1899-12-30T11:49:36"/>
    <s v="Jul"/>
    <n v="254270"/>
    <s v="INR"/>
    <n v="45540"/>
    <x v="8"/>
    <x v="1"/>
    <s v="NA"/>
    <s v="NA"/>
    <s v="Thursday"/>
    <s v="Within"/>
    <x v="0"/>
    <x v="1"/>
    <s v="Jul"/>
    <x v="0"/>
  </r>
  <r>
    <n v="367"/>
    <s v="2122F21054"/>
    <n v="2122108"/>
    <s v="CC905493"/>
    <s v="C228"/>
    <d v="2021-07-08T00:00:00"/>
    <d v="1899-12-30T14:58:18"/>
    <s v="Jul"/>
    <n v="344300"/>
    <s v="INR"/>
    <n v="61560"/>
    <x v="6"/>
    <x v="6"/>
    <s v="NA"/>
    <s v="NA"/>
    <s v="Thursday"/>
    <s v="Within"/>
    <x v="0"/>
    <x v="1"/>
    <s v="Jul"/>
    <x v="0"/>
  </r>
  <r>
    <n v="368"/>
    <s v="2122R91732"/>
    <n v="2122109"/>
    <s v="CC775724"/>
    <s v="C234"/>
    <d v="2021-07-08T00:00:00"/>
    <d v="1899-12-30T13:13:03"/>
    <s v="Jun"/>
    <n v="457400"/>
    <s v="INR"/>
    <n v="81900"/>
    <x v="8"/>
    <x v="0"/>
    <s v="NA"/>
    <s v="NA"/>
    <s v="Thursday"/>
    <s v="Within"/>
    <x v="0"/>
    <x v="1"/>
    <s v="Jul"/>
    <x v="0"/>
  </r>
  <r>
    <n v="369"/>
    <s v="2122S21537"/>
    <n v="2122110"/>
    <s v="CC705770"/>
    <s v="C223"/>
    <d v="2021-07-09T00:00:00"/>
    <d v="1899-12-30T14:11:38"/>
    <s v="Jul"/>
    <n v="314630"/>
    <s v="INR"/>
    <n v="56340"/>
    <x v="2"/>
    <x v="6"/>
    <s v="NA"/>
    <s v="NA"/>
    <s v="Friday"/>
    <s v="Within"/>
    <x v="0"/>
    <x v="1"/>
    <s v="Jul"/>
    <x v="0"/>
  </r>
  <r>
    <n v="370"/>
    <s v="2122T11612"/>
    <n v="2122111"/>
    <s v="CC923656"/>
    <s v="C222"/>
    <d v="2021-07-10T00:00:00"/>
    <d v="1899-12-30T15:04:40"/>
    <s v="Jul"/>
    <n v="403900"/>
    <s v="INR"/>
    <n v="72360"/>
    <x v="1"/>
    <x v="6"/>
    <s v="NA"/>
    <s v="NA"/>
    <s v="Saturday"/>
    <s v="Within"/>
    <x v="0"/>
    <x v="1"/>
    <s v="Jul"/>
    <x v="0"/>
  </r>
  <r>
    <n v="371"/>
    <s v="2122H01575"/>
    <n v="2122112"/>
    <s v="CC427384"/>
    <s v="C221"/>
    <d v="2021-07-12T00:00:00"/>
    <d v="1899-12-30T12:16:36"/>
    <s v="Jul"/>
    <n v="318940"/>
    <s v="INR"/>
    <n v="57060"/>
    <x v="1"/>
    <x v="10"/>
    <s v="NA"/>
    <s v="NA"/>
    <s v="Monday"/>
    <s v="Within"/>
    <x v="0"/>
    <x v="1"/>
    <s v="Jul"/>
    <x v="0"/>
  </r>
  <r>
    <n v="372"/>
    <s v="2122O91217"/>
    <n v="2122113"/>
    <s v="CC605545"/>
    <s v="C217"/>
    <d v="2021-07-12T00:00:00"/>
    <d v="1899-12-30T13:01:22"/>
    <s v="Jul"/>
    <n v="345820"/>
    <s v="INR"/>
    <n v="61740"/>
    <x v="7"/>
    <x v="10"/>
    <s v="NA"/>
    <s v="NA"/>
    <s v="Monday"/>
    <s v="Within"/>
    <x v="0"/>
    <x v="1"/>
    <s v="Jul"/>
    <x v="0"/>
  </r>
  <r>
    <n v="373"/>
    <s v="2122N81684"/>
    <n v="2122114"/>
    <s v="CC757772"/>
    <s v="C220"/>
    <d v="2021-07-12T00:00:00"/>
    <d v="1899-12-30T12:32:17"/>
    <s v="Jul"/>
    <n v="475420"/>
    <s v="INR"/>
    <n v="85140"/>
    <x v="0"/>
    <x v="6"/>
    <s v="NA"/>
    <s v="NA"/>
    <s v="Monday"/>
    <s v="Within"/>
    <x v="0"/>
    <x v="1"/>
    <s v="Jul"/>
    <x v="0"/>
  </r>
  <r>
    <n v="374"/>
    <s v="2122T11572"/>
    <n v="2122115"/>
    <s v="CC776809"/>
    <s v="C223"/>
    <d v="2021-07-12T00:00:00"/>
    <d v="1899-12-30T16:58:02"/>
    <s v="Jul"/>
    <n v="307180"/>
    <s v="INR"/>
    <n v="55260"/>
    <x v="6"/>
    <x v="1"/>
    <s v="NA"/>
    <s v="NA"/>
    <s v="Monday"/>
    <s v="Within"/>
    <x v="0"/>
    <x v="1"/>
    <s v="Jul"/>
    <x v="0"/>
  </r>
  <r>
    <n v="375"/>
    <s v="2122N41639"/>
    <n v="2122116"/>
    <s v="CC481370"/>
    <s v="C247"/>
    <d v="2021-07-12T00:00:00"/>
    <d v="1899-12-30T15:27:42"/>
    <s v="Jul"/>
    <n v="337680"/>
    <s v="INR"/>
    <n v="60300"/>
    <x v="8"/>
    <x v="1"/>
    <s v="NA"/>
    <s v="NA"/>
    <s v="Monday"/>
    <s v="Within"/>
    <x v="0"/>
    <x v="1"/>
    <s v="Jul"/>
    <x v="0"/>
  </r>
  <r>
    <n v="376"/>
    <s v="2122T31362"/>
    <n v="2122117"/>
    <s v="CC156411"/>
    <s v="C222"/>
    <d v="2021-07-14T00:00:00"/>
    <d v="1899-12-30T16:31:28"/>
    <s v="Jul"/>
    <n v="234720"/>
    <s v="INR"/>
    <n v="42120"/>
    <x v="0"/>
    <x v="5"/>
    <s v="NA"/>
    <s v="NA"/>
    <s v="Wednesday"/>
    <s v="Within"/>
    <x v="0"/>
    <x v="1"/>
    <s v="Jul"/>
    <x v="0"/>
  </r>
  <r>
    <n v="377"/>
    <s v="2122I01269"/>
    <n v="2122118"/>
    <s v="CC535979"/>
    <s v="C222"/>
    <d v="2021-07-19T00:00:00"/>
    <d v="1899-12-30T14:53:51"/>
    <s v="Jul"/>
    <n v="4996140"/>
    <s v="INR"/>
    <n v="899100"/>
    <x v="5"/>
    <x v="4"/>
    <s v="NA"/>
    <s v="NA"/>
    <s v="Monday"/>
    <s v="Within"/>
    <x v="0"/>
    <x v="1"/>
    <s v="Jul"/>
    <x v="0"/>
  </r>
  <r>
    <n v="378"/>
    <s v="2122J91871"/>
    <n v="2122119"/>
    <s v="CC129392"/>
    <s v="C232"/>
    <d v="2021-07-19T00:00:00"/>
    <d v="1899-12-30T15:10:19"/>
    <s v="Jul"/>
    <n v="214640"/>
    <s v="INR"/>
    <n v="38160"/>
    <x v="8"/>
    <x v="0"/>
    <s v="NA"/>
    <s v="NA"/>
    <s v="Monday"/>
    <s v="Within"/>
    <x v="0"/>
    <x v="1"/>
    <s v="Jul"/>
    <x v="0"/>
  </r>
  <r>
    <n v="379"/>
    <s v="2122E11145"/>
    <n v="2122120"/>
    <s v="CC483508"/>
    <s v="C240"/>
    <d v="2021-07-18T00:00:00"/>
    <d v="1899-12-30T12:04:55"/>
    <s v="Jul"/>
    <n v="4211080"/>
    <s v="INR"/>
    <n v="757800"/>
    <x v="16"/>
    <x v="13"/>
    <s v="NA"/>
    <s v="NA"/>
    <s v="Sunday"/>
    <s v="Within"/>
    <x v="1"/>
    <x v="1"/>
    <s v="Jul"/>
    <x v="1"/>
  </r>
  <r>
    <n v="380"/>
    <s v="2122B11824"/>
    <n v="2122121"/>
    <s v="CC402552"/>
    <s v="C224"/>
    <d v="2021-07-20T00:00:00"/>
    <d v="1899-12-30T13:34:13"/>
    <s v="Jul"/>
    <n v="247860"/>
    <s v="INR"/>
    <n v="44280"/>
    <x v="2"/>
    <x v="0"/>
    <s v="NA"/>
    <s v="NA"/>
    <s v="Tuesday"/>
    <s v="Within"/>
    <x v="0"/>
    <x v="1"/>
    <s v="Jul"/>
    <x v="0"/>
  </r>
  <r>
    <n v="381"/>
    <s v="2122L61350"/>
    <n v="2122122"/>
    <s v="CC861125"/>
    <s v="C216"/>
    <d v="2021-07-21T00:00:00"/>
    <d v="1899-12-30T16:04:11"/>
    <s v="Jul"/>
    <n v="229830"/>
    <s v="INR"/>
    <n v="40860"/>
    <x v="8"/>
    <x v="5"/>
    <s v="NA"/>
    <s v="NA"/>
    <s v="Wednesday"/>
    <s v="Within"/>
    <x v="0"/>
    <x v="1"/>
    <s v="Jul"/>
    <x v="0"/>
  </r>
  <r>
    <n v="382"/>
    <s v="2122V51057"/>
    <n v="2122123"/>
    <s v="CC665733"/>
    <s v="C218"/>
    <d v="2021-07-21T00:00:00"/>
    <d v="1899-12-30T15:39:30"/>
    <s v="Jul"/>
    <n v="399460"/>
    <s v="INR"/>
    <n v="71460"/>
    <x v="6"/>
    <x v="5"/>
    <s v="NA"/>
    <s v="NA"/>
    <s v="Wednesday"/>
    <s v="Within"/>
    <x v="0"/>
    <x v="1"/>
    <s v="Jul"/>
    <x v="0"/>
  </r>
  <r>
    <n v="383"/>
    <s v="2122A01733"/>
    <n v="2122124"/>
    <s v="CC732825"/>
    <s v="C225"/>
    <d v="2021-07-22T00:00:00"/>
    <d v="1899-12-30T15:02:16"/>
    <s v="Jul"/>
    <n v="352720"/>
    <s v="INR"/>
    <n v="63360"/>
    <x v="8"/>
    <x v="10"/>
    <s v="NA"/>
    <s v="NA"/>
    <s v="Thursday"/>
    <s v="Within"/>
    <x v="0"/>
    <x v="1"/>
    <s v="Jul"/>
    <x v="0"/>
  </r>
  <r>
    <n v="384"/>
    <s v="2122H01711"/>
    <n v="2122125"/>
    <s v="CC701593"/>
    <s v="C248"/>
    <d v="2021-07-24T00:00:00"/>
    <d v="1899-12-30T16:34:48"/>
    <s v="Jul"/>
    <n v="297520"/>
    <s v="INR"/>
    <n v="53460"/>
    <x v="8"/>
    <x v="1"/>
    <s v="NA"/>
    <s v="NA"/>
    <s v="Saturday"/>
    <s v="Within"/>
    <x v="0"/>
    <x v="1"/>
    <s v="Jul"/>
    <x v="0"/>
  </r>
  <r>
    <n v="385"/>
    <s v="2122P91585"/>
    <n v="2122126"/>
    <s v="CC538768"/>
    <s v="C212"/>
    <d v="2021-07-24T00:00:00"/>
    <d v="1899-12-30T14:26:27"/>
    <s v="Jul"/>
    <n v="4531660"/>
    <s v="INR"/>
    <n v="815580"/>
    <x v="5"/>
    <x v="4"/>
    <s v="NA"/>
    <s v="NA"/>
    <s v="Saturday"/>
    <s v="Within"/>
    <x v="0"/>
    <x v="1"/>
    <s v="Jul"/>
    <x v="0"/>
  </r>
  <r>
    <n v="386"/>
    <s v="2122F01599"/>
    <n v="2122127"/>
    <s v="CC258004"/>
    <s v="C204"/>
    <d v="2021-07-24T00:00:00"/>
    <d v="1899-12-30T11:58:50"/>
    <s v="Jul"/>
    <n v="471240"/>
    <s v="INR"/>
    <n v="84780"/>
    <x v="11"/>
    <x v="1"/>
    <s v="NA"/>
    <s v="NA"/>
    <s v="Saturday"/>
    <s v="Within"/>
    <x v="0"/>
    <x v="1"/>
    <s v="Jul"/>
    <x v="0"/>
  </r>
  <r>
    <n v="387"/>
    <s v="2122E31833"/>
    <n v="2122128"/>
    <s v="CC102948"/>
    <s v="C242"/>
    <d v="2021-07-28T00:00:00"/>
    <d v="1899-12-30T10:55:04"/>
    <s v="Jul"/>
    <n v="4229320"/>
    <s v="INR"/>
    <n v="760860"/>
    <x v="16"/>
    <x v="13"/>
    <s v="NA"/>
    <s v="NA"/>
    <s v="Wednesday"/>
    <s v="Within"/>
    <x v="0"/>
    <x v="1"/>
    <s v="Jul"/>
    <x v="0"/>
  </r>
  <r>
    <n v="388"/>
    <s v="2122j61071"/>
    <n v="2122129"/>
    <s v="CC833477"/>
    <s v="C227"/>
    <d v="2021-07-29T00:00:00"/>
    <d v="1899-12-30T10:28:16"/>
    <s v="Jul"/>
    <n v="4620700"/>
    <s v="INR"/>
    <n v="831600"/>
    <x v="5"/>
    <x v="4"/>
    <s v="NA"/>
    <s v="NA"/>
    <s v="Thursday"/>
    <s v="Within"/>
    <x v="0"/>
    <x v="1"/>
    <s v="Jul"/>
    <x v="0"/>
  </r>
  <r>
    <n v="389"/>
    <s v="2122K51946"/>
    <n v="2122130"/>
    <s v="CC669865"/>
    <s v="C216"/>
    <d v="2021-08-02T00:00:00"/>
    <d v="1899-12-30T16:21:23"/>
    <s v="Aug"/>
    <n v="307480"/>
    <s v="INR"/>
    <n v="55080"/>
    <x v="2"/>
    <x v="6"/>
    <s v="NA"/>
    <s v="NA"/>
    <s v="Monday"/>
    <s v="Within"/>
    <x v="0"/>
    <x v="1"/>
    <s v="Aug"/>
    <x v="0"/>
  </r>
  <r>
    <n v="390"/>
    <s v="2122L71265"/>
    <n v="2122131"/>
    <s v="CC687030"/>
    <s v="C219"/>
    <d v="2021-08-02T00:00:00"/>
    <d v="1899-12-30T11:37:35"/>
    <s v="Aug"/>
    <n v="423590"/>
    <s v="INR"/>
    <n v="76140"/>
    <x v="1"/>
    <x v="10"/>
    <s v="NA"/>
    <s v="NA"/>
    <s v="Monday"/>
    <s v="Within"/>
    <x v="0"/>
    <x v="1"/>
    <s v="Aug"/>
    <x v="0"/>
  </r>
  <r>
    <n v="391"/>
    <s v="2122P71661"/>
    <n v="2122132"/>
    <s v="CC159657"/>
    <s v="C207"/>
    <d v="2021-08-02T00:00:00"/>
    <d v="1899-12-30T11:40:08"/>
    <s v="Aug"/>
    <n v="276420"/>
    <s v="INR"/>
    <n v="49680"/>
    <x v="2"/>
    <x v="10"/>
    <s v="NA"/>
    <s v="NA"/>
    <s v="Monday"/>
    <s v="Within"/>
    <x v="0"/>
    <x v="1"/>
    <s v="Aug"/>
    <x v="0"/>
  </r>
  <r>
    <n v="392"/>
    <s v="2122C41426"/>
    <n v="2122133"/>
    <s v="CC837422"/>
    <s v="C215"/>
    <d v="2021-08-02T00:00:00"/>
    <d v="1899-12-30T13:48:16"/>
    <s v="Aug"/>
    <n v="270730"/>
    <s v="INR"/>
    <n v="48600"/>
    <x v="7"/>
    <x v="10"/>
    <s v="NA"/>
    <s v="NA"/>
    <s v="Monday"/>
    <s v="Within"/>
    <x v="0"/>
    <x v="1"/>
    <s v="Aug"/>
    <x v="0"/>
  </r>
  <r>
    <n v="393"/>
    <s v="2122C41965"/>
    <n v="2122134"/>
    <s v="CC974419"/>
    <s v="C241"/>
    <d v="2021-08-03T00:00:00"/>
    <d v="1899-12-30T13:52:17"/>
    <s v="Aug"/>
    <n v="319200"/>
    <s v="INR"/>
    <n v="57060"/>
    <x v="7"/>
    <x v="10"/>
    <s v="NA"/>
    <s v="NA"/>
    <s v="Tuesday"/>
    <s v="Within"/>
    <x v="0"/>
    <x v="1"/>
    <s v="Aug"/>
    <x v="0"/>
  </r>
  <r>
    <n v="394"/>
    <s v="2122Q91600"/>
    <n v="2122135"/>
    <s v="CC158828"/>
    <s v="C240"/>
    <d v="2021-08-07T00:00:00"/>
    <d v="1899-12-30T19:23:10"/>
    <s v="Aug"/>
    <n v="4250210"/>
    <s v="INR"/>
    <n v="764820"/>
    <x v="17"/>
    <x v="13"/>
    <s v="NA"/>
    <s v="NA"/>
    <s v="Saturday"/>
    <s v="Outside"/>
    <x v="1"/>
    <x v="1"/>
    <s v="Aug"/>
    <x v="1"/>
  </r>
  <r>
    <n v="395"/>
    <s v="2122N41091"/>
    <n v="2122136"/>
    <s v="CC733634"/>
    <s v="C235"/>
    <d v="2021-08-04T00:00:00"/>
    <d v="1899-12-30T16:46:05"/>
    <s v="Aug"/>
    <n v="338300"/>
    <s v="INR"/>
    <n v="60660"/>
    <x v="7"/>
    <x v="6"/>
    <s v="NA"/>
    <s v="NA"/>
    <s v="Wednesday"/>
    <s v="Within"/>
    <x v="0"/>
    <x v="1"/>
    <s v="Aug"/>
    <x v="0"/>
  </r>
  <r>
    <n v="396"/>
    <s v="2122J71298"/>
    <n v="2122137"/>
    <s v="CC612045"/>
    <s v="C216"/>
    <d v="2021-08-04T00:00:00"/>
    <d v="1899-12-30T16:49:19"/>
    <s v="Aug"/>
    <n v="344160"/>
    <s v="INR"/>
    <n v="61560"/>
    <x v="2"/>
    <x v="1"/>
    <s v="NA"/>
    <s v="NA"/>
    <s v="Wednesday"/>
    <s v="Within"/>
    <x v="0"/>
    <x v="1"/>
    <s v="Aug"/>
    <x v="0"/>
  </r>
  <r>
    <n v="397"/>
    <s v="2122R51511"/>
    <n v="2122138"/>
    <s v="CC196780"/>
    <s v="C234"/>
    <d v="2021-08-05T00:00:00"/>
    <d v="1899-12-30T16:21:03"/>
    <s v="Aug"/>
    <n v="41820"/>
    <s v="INR"/>
    <n v="7020"/>
    <x v="19"/>
    <x v="12"/>
    <s v="NA"/>
    <s v="NA"/>
    <s v="Thursday"/>
    <s v="Within"/>
    <x v="0"/>
    <x v="1"/>
    <s v="Aug"/>
    <x v="0"/>
  </r>
  <r>
    <n v="398"/>
    <s v="2122I21394"/>
    <n v="2122139"/>
    <s v="CC345385"/>
    <s v="C206"/>
    <d v="2021-08-05T00:00:00"/>
    <d v="1899-12-30T14:02:18"/>
    <s v="Aug"/>
    <n v="21320"/>
    <s v="INR"/>
    <n v="3780"/>
    <x v="12"/>
    <x v="3"/>
    <s v="NA"/>
    <s v="NA"/>
    <s v="Thursday"/>
    <s v="Within"/>
    <x v="0"/>
    <x v="1"/>
    <s v="Aug"/>
    <x v="0"/>
  </r>
  <r>
    <n v="399"/>
    <s v="2122S81625"/>
    <n v="2122140"/>
    <s v="CC140319"/>
    <s v="C228"/>
    <d v="2021-08-06T00:00:00"/>
    <d v="1899-12-30T16:47:28"/>
    <s v="Aug"/>
    <n v="35390"/>
    <s v="INR"/>
    <n v="6300"/>
    <x v="4"/>
    <x v="14"/>
    <s v="NA"/>
    <s v="NA"/>
    <s v="Friday"/>
    <s v="Within"/>
    <x v="0"/>
    <x v="1"/>
    <s v="Aug"/>
    <x v="0"/>
  </r>
  <r>
    <n v="400"/>
    <s v="2122H31439"/>
    <n v="2122141"/>
    <s v="CC721275"/>
    <s v="C241"/>
    <d v="2021-08-06T00:00:00"/>
    <d v="1899-12-30T11:50:38"/>
    <s v="Aug"/>
    <n v="31300"/>
    <s v="INR"/>
    <n v="5400"/>
    <x v="19"/>
    <x v="11"/>
    <s v="NA"/>
    <s v="NA"/>
    <s v="Friday"/>
    <s v="Within"/>
    <x v="0"/>
    <x v="1"/>
    <s v="Aug"/>
    <x v="0"/>
  </r>
  <r>
    <n v="401"/>
    <s v="2122Z91491"/>
    <n v="2122142"/>
    <s v="CC188057"/>
    <s v="C207"/>
    <d v="2021-08-07T00:00:00"/>
    <d v="1899-12-30T10:48:37"/>
    <s v="Aug"/>
    <n v="33140"/>
    <s v="INR"/>
    <n v="5580"/>
    <x v="13"/>
    <x v="2"/>
    <s v="NA"/>
    <s v="NA"/>
    <s v="Saturday"/>
    <s v="Within"/>
    <x v="0"/>
    <x v="1"/>
    <s v="Aug"/>
    <x v="0"/>
  </r>
  <r>
    <n v="402"/>
    <s v="2122P61430"/>
    <n v="2122143"/>
    <s v="CC967396"/>
    <s v="C222"/>
    <d v="2021-08-09T00:00:00"/>
    <d v="1899-12-30T13:38:31"/>
    <s v="Aug"/>
    <n v="37350"/>
    <s v="INR"/>
    <n v="6660"/>
    <x v="15"/>
    <x v="3"/>
    <s v="NA"/>
    <s v="NA"/>
    <s v="Monday"/>
    <s v="Within"/>
    <x v="0"/>
    <x v="1"/>
    <s v="Aug"/>
    <x v="0"/>
  </r>
  <r>
    <n v="403"/>
    <s v="2122X71228"/>
    <n v="2122144"/>
    <s v="CC544567"/>
    <s v="C206"/>
    <d v="2021-08-10T00:00:00"/>
    <d v="1899-12-30T11:17:44"/>
    <s v="Aug"/>
    <n v="34190"/>
    <s v="INR"/>
    <n v="5940"/>
    <x v="14"/>
    <x v="14"/>
    <s v="NA"/>
    <s v="NA"/>
    <s v="Tuesday"/>
    <s v="Within"/>
    <x v="0"/>
    <x v="1"/>
    <s v="Aug"/>
    <x v="0"/>
  </r>
  <r>
    <n v="404"/>
    <s v="2122A41190"/>
    <n v="2122145"/>
    <s v="CC463984"/>
    <s v="C218"/>
    <d v="2021-08-10T00:00:00"/>
    <d v="1899-12-30T14:03:32"/>
    <s v="Aug"/>
    <n v="40780"/>
    <s v="INR"/>
    <n v="7020"/>
    <x v="12"/>
    <x v="7"/>
    <s v="NA"/>
    <s v="NA"/>
    <s v="Tuesday"/>
    <s v="Within"/>
    <x v="0"/>
    <x v="1"/>
    <s v="Aug"/>
    <x v="0"/>
  </r>
  <r>
    <n v="405"/>
    <s v="2122E31771"/>
    <n v="2122146"/>
    <s v="CC210486"/>
    <s v="C217"/>
    <d v="2021-08-10T00:00:00"/>
    <d v="1899-12-30T10:52:10"/>
    <s v="Aug"/>
    <n v="31620"/>
    <s v="INR"/>
    <n v="5220"/>
    <x v="14"/>
    <x v="2"/>
    <s v="NA"/>
    <s v="NA"/>
    <s v="Tuesday"/>
    <s v="Within"/>
    <x v="0"/>
    <x v="1"/>
    <s v="Aug"/>
    <x v="0"/>
  </r>
  <r>
    <n v="406"/>
    <s v="2122J21302"/>
    <n v="2122147"/>
    <s v="CC562343"/>
    <s v="C216"/>
    <d v="2021-08-11T00:00:00"/>
    <d v="1899-12-30T12:45:47"/>
    <s v="Jun"/>
    <n v="494490"/>
    <s v="INR"/>
    <n v="88920"/>
    <x v="2"/>
    <x v="5"/>
    <s v="NA"/>
    <s v="NA"/>
    <s v="Wednesday"/>
    <s v="Within"/>
    <x v="0"/>
    <x v="1"/>
    <s v="Aug"/>
    <x v="0"/>
  </r>
  <r>
    <n v="407"/>
    <s v="2122U71686"/>
    <n v="2122148"/>
    <s v="CC859081"/>
    <s v="C239"/>
    <d v="2021-08-15T00:00:00"/>
    <d v="1899-12-30T11:16:20"/>
    <s v="Aug"/>
    <n v="4927020"/>
    <s v="INR"/>
    <n v="886500"/>
    <x v="5"/>
    <x v="4"/>
    <s v="NA"/>
    <s v="NA"/>
    <s v="Sunday"/>
    <s v="Within"/>
    <x v="1"/>
    <x v="1"/>
    <s v="Aug"/>
    <x v="1"/>
  </r>
  <r>
    <n v="408"/>
    <s v="2122S11655"/>
    <n v="2122149"/>
    <s v="CC823880"/>
    <s v="C212"/>
    <d v="2021-08-11T00:00:00"/>
    <d v="1899-12-30T12:44:06"/>
    <s v="Aug"/>
    <n v="31490"/>
    <s v="INR"/>
    <n v="5580"/>
    <x v="14"/>
    <x v="9"/>
    <s v="NA"/>
    <s v="NA"/>
    <s v="Wednesday"/>
    <s v="Within"/>
    <x v="0"/>
    <x v="1"/>
    <s v="Aug"/>
    <x v="0"/>
  </r>
  <r>
    <n v="409"/>
    <s v="2122X71658"/>
    <n v="2122150"/>
    <s v="CC162983"/>
    <s v="C234"/>
    <d v="2021-08-12T00:00:00"/>
    <d v="1899-12-30T16:14:22"/>
    <s v="Aug"/>
    <n v="423580"/>
    <s v="INR"/>
    <n v="76140"/>
    <x v="7"/>
    <x v="6"/>
    <s v="NA"/>
    <s v="NA"/>
    <s v="Thursday"/>
    <s v="Within"/>
    <x v="0"/>
    <x v="1"/>
    <s v="Aug"/>
    <x v="0"/>
  </r>
  <r>
    <n v="410"/>
    <s v="2122V81417"/>
    <n v="2122151"/>
    <s v="CC681538"/>
    <s v="C232"/>
    <d v="2021-08-12T00:00:00"/>
    <d v="1899-12-30T12:35:20"/>
    <s v="Aug"/>
    <n v="30970"/>
    <s v="INR"/>
    <n v="5400"/>
    <x v="13"/>
    <x v="12"/>
    <s v="NA"/>
    <s v="NA"/>
    <s v="Thursday"/>
    <s v="Within"/>
    <x v="0"/>
    <x v="1"/>
    <s v="Aug"/>
    <x v="0"/>
  </r>
  <r>
    <n v="411"/>
    <s v="2122A81307"/>
    <n v="2122152"/>
    <s v="CC237623"/>
    <s v="C223"/>
    <d v="2021-08-12T00:00:00"/>
    <d v="1899-12-30T12:53:39"/>
    <s v="Aug"/>
    <n v="461700"/>
    <s v="INR"/>
    <n v="82800"/>
    <x v="0"/>
    <x v="5"/>
    <s v="NA"/>
    <s v="NA"/>
    <s v="Thursday"/>
    <s v="Within"/>
    <x v="0"/>
    <x v="1"/>
    <s v="Aug"/>
    <x v="0"/>
  </r>
  <r>
    <n v="412"/>
    <s v="2122V01001"/>
    <n v="2122153"/>
    <s v="CC547030"/>
    <s v="C228"/>
    <d v="2021-08-13T00:00:00"/>
    <d v="1899-12-30T13:22:57"/>
    <s v="Aug"/>
    <n v="40120"/>
    <s v="INR"/>
    <n v="7020"/>
    <x v="20"/>
    <x v="11"/>
    <s v="NA"/>
    <s v="NA"/>
    <s v="Friday"/>
    <s v="Within"/>
    <x v="0"/>
    <x v="1"/>
    <s v="Aug"/>
    <x v="0"/>
  </r>
  <r>
    <n v="413"/>
    <s v="2122T51691"/>
    <n v="2122154"/>
    <s v="CC298816"/>
    <s v="C244"/>
    <d v="2021-08-13T00:00:00"/>
    <d v="1899-12-30T13:58:33"/>
    <s v="Aug"/>
    <n v="30120"/>
    <s v="INR"/>
    <n v="5040"/>
    <x v="13"/>
    <x v="3"/>
    <s v="NA"/>
    <s v="NA"/>
    <s v="Friday"/>
    <s v="Within"/>
    <x v="0"/>
    <x v="1"/>
    <s v="Aug"/>
    <x v="0"/>
  </r>
  <r>
    <n v="414"/>
    <s v="2122R21294"/>
    <n v="2122155"/>
    <s v="CC694544"/>
    <s v="C216"/>
    <d v="2021-08-16T00:00:00"/>
    <d v="1899-12-30T11:06:22"/>
    <s v="Aug"/>
    <n v="13417040"/>
    <s v="INR"/>
    <n v="2414700"/>
    <x v="5"/>
    <x v="4"/>
    <s v="Approved"/>
    <s v="BM/CC694544C216"/>
    <s v="Monday"/>
    <s v="Within"/>
    <x v="0"/>
    <x v="1"/>
    <s v="Aug"/>
    <x v="0"/>
  </r>
  <r>
    <n v="415"/>
    <s v="2122F51085"/>
    <n v="2122156"/>
    <s v="CC406497"/>
    <s v="C232"/>
    <d v="2021-08-16T00:00:00"/>
    <d v="1899-12-30T15:51:23"/>
    <s v="Aug"/>
    <n v="6976300"/>
    <s v="INR"/>
    <n v="1255320"/>
    <x v="5"/>
    <x v="4"/>
    <s v="Approved"/>
    <s v="BM/CC406497C232"/>
    <s v="Monday"/>
    <s v="Within"/>
    <x v="0"/>
    <x v="1"/>
    <s v="Aug"/>
    <x v="0"/>
  </r>
  <r>
    <n v="416"/>
    <s v="2122E51505"/>
    <n v="2122157"/>
    <s v="CC878457"/>
    <s v="C224"/>
    <d v="2021-08-17T00:00:00"/>
    <d v="1899-12-30T11:29:11"/>
    <s v="Aug"/>
    <n v="274140"/>
    <s v="INR"/>
    <n v="48960"/>
    <x v="8"/>
    <x v="0"/>
    <s v="NA"/>
    <s v="NA"/>
    <s v="Tuesday"/>
    <s v="Within"/>
    <x v="0"/>
    <x v="1"/>
    <s v="Aug"/>
    <x v="0"/>
  </r>
  <r>
    <n v="417"/>
    <s v="2122T81850"/>
    <n v="2122158"/>
    <s v="CC120821"/>
    <s v="C209"/>
    <d v="2021-08-18T00:00:00"/>
    <d v="1899-12-30T11:41:04"/>
    <s v="Aug"/>
    <n v="462050"/>
    <s v="INR"/>
    <n v="82980"/>
    <x v="0"/>
    <x v="10"/>
    <s v="NA"/>
    <s v="NA"/>
    <s v="Wednesday"/>
    <s v="Within"/>
    <x v="0"/>
    <x v="1"/>
    <s v="Aug"/>
    <x v="0"/>
  </r>
  <r>
    <n v="418"/>
    <s v="2122M11446"/>
    <n v="2122159"/>
    <s v="CC988090"/>
    <s v="C221"/>
    <d v="2021-08-18T00:00:00"/>
    <d v="1899-12-30T16:21:52"/>
    <s v="Aug"/>
    <n v="297220"/>
    <s v="INR"/>
    <n v="53100"/>
    <x v="0"/>
    <x v="6"/>
    <s v="NA"/>
    <s v="NA"/>
    <s v="Wednesday"/>
    <s v="Within"/>
    <x v="0"/>
    <x v="1"/>
    <s v="Aug"/>
    <x v="0"/>
  </r>
  <r>
    <n v="419"/>
    <s v="2122Q11447"/>
    <n v="2122160"/>
    <s v="CC910656"/>
    <s v="C220"/>
    <d v="2021-08-18T00:00:00"/>
    <d v="1899-12-30T10:44:50"/>
    <s v="Aug"/>
    <n v="4002900"/>
    <s v="INR"/>
    <n v="720000"/>
    <x v="17"/>
    <x v="13"/>
    <s v="NA"/>
    <s v="NA"/>
    <s v="Wednesday"/>
    <s v="Within"/>
    <x v="0"/>
    <x v="1"/>
    <s v="Aug"/>
    <x v="0"/>
  </r>
  <r>
    <n v="420"/>
    <s v="2122G51832"/>
    <n v="2122161"/>
    <s v="CC843051"/>
    <s v="C201"/>
    <d v="2021-08-19T00:00:00"/>
    <d v="1899-12-30T14:57:19"/>
    <s v="Aug"/>
    <n v="283880"/>
    <s v="INR"/>
    <n v="50760"/>
    <x v="2"/>
    <x v="10"/>
    <s v="NA"/>
    <s v="NA"/>
    <s v="Thursday"/>
    <s v="Within"/>
    <x v="0"/>
    <x v="1"/>
    <s v="Aug"/>
    <x v="0"/>
  </r>
  <r>
    <n v="421"/>
    <s v="2122P01616"/>
    <n v="2122162"/>
    <s v="CC345294"/>
    <s v="C245"/>
    <d v="2021-08-20T00:00:00"/>
    <d v="1899-12-30T12:32:45"/>
    <s v="Aug"/>
    <n v="221870"/>
    <s v="INR"/>
    <n v="39780"/>
    <x v="2"/>
    <x v="6"/>
    <s v="NA"/>
    <s v="NA"/>
    <s v="Friday"/>
    <s v="Within"/>
    <x v="0"/>
    <x v="1"/>
    <s v="Aug"/>
    <x v="0"/>
  </r>
  <r>
    <n v="422"/>
    <s v="2122N91580"/>
    <n v="2122163"/>
    <s v="CC816936"/>
    <s v="C237"/>
    <d v="2021-08-21T00:00:00"/>
    <d v="1899-12-30T19:47:18"/>
    <s v="Aug"/>
    <n v="4728180"/>
    <s v="INR"/>
    <n v="851040"/>
    <x v="5"/>
    <x v="4"/>
    <s v="NA"/>
    <s v="NA"/>
    <s v="Saturday"/>
    <s v="Outside"/>
    <x v="1"/>
    <x v="1"/>
    <s v="Aug"/>
    <x v="1"/>
  </r>
  <r>
    <n v="423"/>
    <s v="2122F61573"/>
    <n v="2122164"/>
    <s v="CC860498"/>
    <s v="C225"/>
    <d v="2021-08-24T00:00:00"/>
    <d v="1899-12-30T14:25:55"/>
    <s v="Aug"/>
    <n v="217350"/>
    <s v="INR"/>
    <n v="39060"/>
    <x v="0"/>
    <x v="10"/>
    <s v="NA"/>
    <s v="NA"/>
    <s v="Tuesday"/>
    <s v="Within"/>
    <x v="0"/>
    <x v="1"/>
    <s v="Aug"/>
    <x v="0"/>
  </r>
  <r>
    <n v="424"/>
    <s v="2122H91571"/>
    <n v="2122165"/>
    <s v="CC571576"/>
    <s v="C207"/>
    <d v="2021-08-24T00:00:00"/>
    <d v="1899-12-30T14:37:22"/>
    <s v="Aug"/>
    <n v="377140"/>
    <s v="INR"/>
    <n v="67860"/>
    <x v="2"/>
    <x v="1"/>
    <s v="NA"/>
    <s v="NA"/>
    <s v="Tuesday"/>
    <s v="Within"/>
    <x v="0"/>
    <x v="1"/>
    <s v="Aug"/>
    <x v="0"/>
  </r>
  <r>
    <n v="425"/>
    <s v="2122L91760"/>
    <n v="2122166"/>
    <s v="CC208170"/>
    <s v="C233"/>
    <d v="2021-08-27T00:00:00"/>
    <d v="1899-12-30T10:36:41"/>
    <s v="Aug"/>
    <n v="469720"/>
    <s v="INR"/>
    <n v="84060"/>
    <x v="1"/>
    <x v="10"/>
    <s v="NA"/>
    <s v="NA"/>
    <s v="Friday"/>
    <s v="Within"/>
    <x v="0"/>
    <x v="1"/>
    <s v="Aug"/>
    <x v="0"/>
  </r>
  <r>
    <n v="426"/>
    <s v="2122P21233"/>
    <n v="2122167"/>
    <s v="CC432116"/>
    <s v="C223"/>
    <d v="2021-08-28T00:00:00"/>
    <d v="1899-12-30T16:48:09"/>
    <s v="Jul"/>
    <n v="309030"/>
    <s v="INR"/>
    <n v="55260"/>
    <x v="2"/>
    <x v="1"/>
    <s v="NA"/>
    <s v="NA"/>
    <s v="Saturday"/>
    <s v="Within"/>
    <x v="0"/>
    <x v="1"/>
    <s v="Aug"/>
    <x v="0"/>
  </r>
  <r>
    <n v="427"/>
    <s v="2122G81159"/>
    <n v="2122168"/>
    <s v="CC483264"/>
    <s v="C246"/>
    <d v="2021-08-31T00:00:00"/>
    <d v="1899-12-30T13:36:01"/>
    <s v="Aug"/>
    <n v="495900"/>
    <s v="INR"/>
    <n v="88920"/>
    <x v="0"/>
    <x v="1"/>
    <s v="NA"/>
    <s v="NA"/>
    <s v="Tuesday"/>
    <s v="Within"/>
    <x v="0"/>
    <x v="1"/>
    <s v="Aug"/>
    <x v="0"/>
  </r>
  <r>
    <n v="428"/>
    <s v="2122Q71751"/>
    <n v="2122169"/>
    <s v="CC597321"/>
    <s v="C248"/>
    <d v="2021-08-31T00:00:00"/>
    <d v="1899-12-30T11:48:16"/>
    <s v="Aug"/>
    <n v="247110"/>
    <s v="INR"/>
    <n v="44460"/>
    <x v="7"/>
    <x v="6"/>
    <s v="NA"/>
    <s v="NA"/>
    <s v="Tuesday"/>
    <s v="Within"/>
    <x v="0"/>
    <x v="1"/>
    <s v="Aug"/>
    <x v="0"/>
  </r>
  <r>
    <n v="429"/>
    <s v="2122I61666"/>
    <n v="2122170"/>
    <s v="CC649415"/>
    <s v="C205"/>
    <d v="2021-09-01T00:00:00"/>
    <d v="1899-12-30T13:53:30"/>
    <s v="Sep"/>
    <n v="448830"/>
    <s v="INR"/>
    <n v="80280"/>
    <x v="0"/>
    <x v="0"/>
    <s v="NA"/>
    <s v="NA"/>
    <s v="Wednesday"/>
    <s v="Within"/>
    <x v="0"/>
    <x v="1"/>
    <s v="Sep"/>
    <x v="0"/>
  </r>
  <r>
    <n v="430"/>
    <s v="2122W31596"/>
    <n v="2122171"/>
    <s v="CC206586"/>
    <s v="C238"/>
    <d v="2021-09-04T00:00:00"/>
    <d v="1899-12-30T19:40:04"/>
    <s v="Sep"/>
    <n v="4497060"/>
    <s v="INR"/>
    <n v="809100"/>
    <x v="16"/>
    <x v="13"/>
    <s v="NA"/>
    <s v="NA"/>
    <s v="Saturday"/>
    <s v="Outside"/>
    <x v="1"/>
    <x v="1"/>
    <s v="Sep"/>
    <x v="1"/>
  </r>
  <r>
    <n v="431"/>
    <s v="2122J71793"/>
    <n v="2122172"/>
    <s v="CC980696"/>
    <s v="C200"/>
    <d v="2021-09-06T00:00:00"/>
    <d v="1899-12-30T10:41:48"/>
    <s v="Sep"/>
    <n v="377400"/>
    <s v="INR"/>
    <n v="67860"/>
    <x v="0"/>
    <x v="0"/>
    <s v="NA"/>
    <s v="NA"/>
    <s v="Monday"/>
    <s v="Within"/>
    <x v="0"/>
    <x v="1"/>
    <s v="Sep"/>
    <x v="0"/>
  </r>
  <r>
    <n v="432"/>
    <s v="2122H31632"/>
    <n v="2122173"/>
    <s v="CC277275"/>
    <s v="C248"/>
    <d v="2021-09-09T00:00:00"/>
    <d v="1899-12-30T11:23:17"/>
    <s v="Sep"/>
    <n v="370800"/>
    <s v="INR"/>
    <n v="66420"/>
    <x v="1"/>
    <x v="0"/>
    <s v="NA"/>
    <s v="NA"/>
    <s v="Thursday"/>
    <s v="Within"/>
    <x v="0"/>
    <x v="1"/>
    <s v="Sep"/>
    <x v="0"/>
  </r>
  <r>
    <n v="433"/>
    <s v="2122Q21787"/>
    <n v="2122174"/>
    <s v="CC404319"/>
    <s v="C237"/>
    <d v="2021-09-11T00:00:00"/>
    <d v="1899-12-30T19:45:19"/>
    <s v="Sep"/>
    <n v="4648620"/>
    <s v="INR"/>
    <n v="836280"/>
    <x v="5"/>
    <x v="4"/>
    <s v="NA"/>
    <s v="NA"/>
    <s v="Saturday"/>
    <s v="Outside"/>
    <x v="1"/>
    <x v="1"/>
    <s v="Sep"/>
    <x v="1"/>
  </r>
  <r>
    <n v="434"/>
    <s v="2122X31193"/>
    <n v="2122175"/>
    <s v="CC412329"/>
    <s v="C237"/>
    <d v="2021-09-18T00:00:00"/>
    <d v="1899-12-30T19:53:55"/>
    <s v="Sep"/>
    <n v="4232840"/>
    <s v="INR"/>
    <n v="761580"/>
    <x v="16"/>
    <x v="13"/>
    <s v="NA"/>
    <s v="NA"/>
    <s v="Saturday"/>
    <s v="Outside"/>
    <x v="1"/>
    <x v="1"/>
    <s v="Sep"/>
    <x v="1"/>
  </r>
  <r>
    <n v="435"/>
    <s v="2122E81653"/>
    <n v="2122176"/>
    <s v="CC909238"/>
    <s v="C217"/>
    <d v="2021-09-17T00:00:00"/>
    <d v="1899-12-30T11:48:54"/>
    <s v="Sep"/>
    <n v="347860"/>
    <s v="INR"/>
    <n v="62100"/>
    <x v="2"/>
    <x v="5"/>
    <s v="NA"/>
    <s v="NA"/>
    <s v="Friday"/>
    <s v="Within"/>
    <x v="0"/>
    <x v="1"/>
    <s v="Sep"/>
    <x v="0"/>
  </r>
  <r>
    <n v="436"/>
    <s v="2122M31759"/>
    <n v="2122177"/>
    <s v="CC120381"/>
    <s v="C227"/>
    <d v="2021-09-18T00:00:00"/>
    <d v="1899-12-30T13:51:36"/>
    <s v="Sep"/>
    <n v="342020"/>
    <s v="INR"/>
    <n v="61380"/>
    <x v="6"/>
    <x v="6"/>
    <s v="NA"/>
    <s v="NA"/>
    <s v="Saturday"/>
    <s v="Within"/>
    <x v="0"/>
    <x v="1"/>
    <s v="Sep"/>
    <x v="0"/>
  </r>
  <r>
    <n v="437"/>
    <s v="2122O31910"/>
    <n v="2122178"/>
    <s v="CC756388"/>
    <s v="C219"/>
    <d v="2021-09-21T00:00:00"/>
    <d v="1899-12-30T17:53:57"/>
    <s v="Sep"/>
    <n v="460310"/>
    <s v="INR"/>
    <n v="82800"/>
    <x v="1"/>
    <x v="5"/>
    <s v="NA"/>
    <s v="NA"/>
    <s v="Tuesday"/>
    <s v="Within"/>
    <x v="0"/>
    <x v="1"/>
    <s v="Sep"/>
    <x v="0"/>
  </r>
  <r>
    <n v="438"/>
    <s v="2122O21380"/>
    <n v="2122179"/>
    <s v="CC448654"/>
    <s v="C210"/>
    <d v="2021-09-22T00:00:00"/>
    <d v="1899-12-30T10:32:17"/>
    <s v="Sep"/>
    <n v="270810"/>
    <s v="INR"/>
    <n v="48240"/>
    <x v="1"/>
    <x v="1"/>
    <s v="NA"/>
    <s v="NA"/>
    <s v="Wednesday"/>
    <s v="Within"/>
    <x v="0"/>
    <x v="1"/>
    <s v="Sep"/>
    <x v="0"/>
  </r>
  <r>
    <n v="439"/>
    <s v="2122B11327"/>
    <n v="2122180"/>
    <s v="CC759851"/>
    <s v="C235"/>
    <d v="2021-09-24T00:00:00"/>
    <d v="1899-12-30T13:03:01"/>
    <s v="Sep"/>
    <n v="386860"/>
    <s v="INR"/>
    <n v="69300"/>
    <x v="1"/>
    <x v="1"/>
    <s v="NA"/>
    <s v="NA"/>
    <s v="Friday"/>
    <s v="Within"/>
    <x v="0"/>
    <x v="1"/>
    <s v="Sep"/>
    <x v="0"/>
  </r>
  <r>
    <n v="440"/>
    <s v="2122H61816"/>
    <n v="2122181"/>
    <s v="CC945796"/>
    <s v="C211"/>
    <d v="2021-09-28T00:00:00"/>
    <d v="1899-12-30T15:03:24"/>
    <s v="Sep"/>
    <n v="263750"/>
    <s v="INR"/>
    <n v="47160"/>
    <x v="8"/>
    <x v="1"/>
    <s v="NA"/>
    <s v="NA"/>
    <s v="Tuesday"/>
    <s v="Within"/>
    <x v="0"/>
    <x v="1"/>
    <s v="Sep"/>
    <x v="0"/>
  </r>
  <r>
    <n v="441"/>
    <s v="2122V61573"/>
    <n v="2122182"/>
    <s v="CC167058"/>
    <s v="C220"/>
    <d v="2021-09-28T00:00:00"/>
    <d v="1899-12-30T16:10:55"/>
    <s v="Sep"/>
    <n v="319680"/>
    <s v="INR"/>
    <n v="57060"/>
    <x v="2"/>
    <x v="0"/>
    <s v="NA"/>
    <s v="NA"/>
    <s v="Tuesday"/>
    <s v="Within"/>
    <x v="0"/>
    <x v="1"/>
    <s v="Sep"/>
    <x v="0"/>
  </r>
  <r>
    <n v="442"/>
    <s v="2122X41270"/>
    <n v="2122183"/>
    <s v="CC426487"/>
    <s v="C243"/>
    <d v="2021-10-02T00:00:00"/>
    <d v="1899-12-30T17:36:44"/>
    <s v="Oct"/>
    <n v="471860"/>
    <s v="INR"/>
    <n v="84780"/>
    <x v="11"/>
    <x v="1"/>
    <s v="NA"/>
    <s v="NA"/>
    <s v="Saturday"/>
    <s v="Within"/>
    <x v="0"/>
    <x v="1"/>
    <s v="Oct"/>
    <x v="0"/>
  </r>
  <r>
    <n v="443"/>
    <s v="2122N81731"/>
    <n v="2122184"/>
    <s v="CC770793"/>
    <s v="C201"/>
    <d v="2021-10-05T00:00:00"/>
    <d v="1899-12-30T17:00:00"/>
    <s v="Oct"/>
    <n v="290660"/>
    <s v="INR"/>
    <n v="52200"/>
    <x v="1"/>
    <x v="10"/>
    <s v="NA"/>
    <s v="NA"/>
    <s v="Tuesday"/>
    <s v="Within"/>
    <x v="0"/>
    <x v="1"/>
    <s v="Oct"/>
    <x v="0"/>
  </r>
  <r>
    <n v="444"/>
    <s v="2122S51948"/>
    <n v="2122185"/>
    <s v="CC309870"/>
    <s v="C209"/>
    <d v="2021-10-05T00:00:00"/>
    <d v="1899-12-30T13:04:58"/>
    <s v="Oct"/>
    <n v="300150"/>
    <s v="INR"/>
    <n v="54000"/>
    <x v="11"/>
    <x v="6"/>
    <s v="NA"/>
    <s v="NA"/>
    <s v="Tuesday"/>
    <s v="Within"/>
    <x v="0"/>
    <x v="1"/>
    <s v="Oct"/>
    <x v="0"/>
  </r>
  <r>
    <n v="445"/>
    <s v="2122I01680"/>
    <n v="2122186"/>
    <s v="CC202660"/>
    <s v="C225"/>
    <d v="2021-10-08T00:00:00"/>
    <d v="1899-12-30T10:50:01"/>
    <s v="Oct"/>
    <n v="236150"/>
    <s v="INR"/>
    <n v="42300"/>
    <x v="6"/>
    <x v="10"/>
    <s v="NA"/>
    <s v="NA"/>
    <s v="Friday"/>
    <s v="Within"/>
    <x v="0"/>
    <x v="1"/>
    <s v="Oct"/>
    <x v="0"/>
  </r>
  <r>
    <n v="446"/>
    <s v="2122j61624"/>
    <n v="2122187"/>
    <s v="CC927496"/>
    <s v="C205"/>
    <d v="2021-10-09T00:00:00"/>
    <d v="1899-12-30T11:10:43"/>
    <s v="Oct"/>
    <n v="484220"/>
    <s v="INR"/>
    <n v="86760"/>
    <x v="1"/>
    <x v="6"/>
    <s v="NA"/>
    <s v="NA"/>
    <s v="Saturday"/>
    <s v="Within"/>
    <x v="0"/>
    <x v="1"/>
    <s v="Oct"/>
    <x v="0"/>
  </r>
  <r>
    <n v="447"/>
    <s v="2122P01599"/>
    <n v="2122188"/>
    <s v="CC652766"/>
    <s v="C232"/>
    <d v="2021-10-11T00:00:00"/>
    <d v="1899-12-30T16:55:32"/>
    <s v="Oct"/>
    <n v="255870"/>
    <s v="INR"/>
    <n v="45540"/>
    <x v="7"/>
    <x v="5"/>
    <s v="NA"/>
    <s v="NA"/>
    <s v="Monday"/>
    <s v="Within"/>
    <x v="0"/>
    <x v="1"/>
    <s v="Oct"/>
    <x v="0"/>
  </r>
  <r>
    <n v="448"/>
    <s v="2122H91641"/>
    <n v="2122189"/>
    <s v="CC410282"/>
    <s v="C233"/>
    <d v="2021-10-11T00:00:00"/>
    <d v="1899-12-30T10:18:12"/>
    <s v="Sep"/>
    <n v="347200"/>
    <s v="INR"/>
    <n v="62100"/>
    <x v="0"/>
    <x v="6"/>
    <s v="NA"/>
    <s v="NA"/>
    <s v="Monday"/>
    <s v="Within"/>
    <x v="0"/>
    <x v="1"/>
    <s v="Oct"/>
    <x v="0"/>
  </r>
  <r>
    <n v="449"/>
    <s v="2122U31051"/>
    <n v="2122190"/>
    <s v="CC220785"/>
    <s v="C248"/>
    <d v="2021-10-16T00:00:00"/>
    <d v="1899-12-30T11:15:08"/>
    <s v="Oct"/>
    <n v="445290"/>
    <s v="INR"/>
    <n v="80100"/>
    <x v="2"/>
    <x v="5"/>
    <s v="NA"/>
    <s v="NA"/>
    <s v="Saturday"/>
    <s v="Within"/>
    <x v="0"/>
    <x v="1"/>
    <s v="Oct"/>
    <x v="0"/>
  </r>
  <r>
    <n v="450"/>
    <s v="2122Y11202"/>
    <n v="2122191"/>
    <s v="CC171939"/>
    <s v="C212"/>
    <d v="2021-10-18T00:00:00"/>
    <d v="1899-12-30T14:03:49"/>
    <s v="Oct"/>
    <n v="383380"/>
    <s v="INR"/>
    <n v="68580"/>
    <x v="11"/>
    <x v="0"/>
    <s v="NA"/>
    <s v="NA"/>
    <s v="Monday"/>
    <s v="Within"/>
    <x v="0"/>
    <x v="1"/>
    <s v="Oct"/>
    <x v="0"/>
  </r>
  <r>
    <n v="451"/>
    <s v="2122U21743"/>
    <n v="2122192"/>
    <s v="CC402401"/>
    <s v="C233"/>
    <d v="2021-10-18T00:00:00"/>
    <d v="1899-12-30T12:43:50"/>
    <s v="Oct"/>
    <n v="457640"/>
    <s v="INR"/>
    <n v="82080"/>
    <x v="7"/>
    <x v="0"/>
    <s v="NA"/>
    <s v="NA"/>
    <s v="Monday"/>
    <s v="Within"/>
    <x v="0"/>
    <x v="1"/>
    <s v="Oct"/>
    <x v="0"/>
  </r>
  <r>
    <n v="452"/>
    <s v="2122K31194"/>
    <n v="2122193"/>
    <s v="CC553014"/>
    <s v="C230"/>
    <d v="2021-10-19T00:00:00"/>
    <d v="1899-12-30T17:06:07"/>
    <s v="Oct"/>
    <n v="303020"/>
    <s v="INR"/>
    <n v="54180"/>
    <x v="8"/>
    <x v="6"/>
    <s v="NA"/>
    <s v="NA"/>
    <s v="Tuesday"/>
    <s v="Within"/>
    <x v="0"/>
    <x v="1"/>
    <s v="Oct"/>
    <x v="0"/>
  </r>
  <r>
    <n v="453"/>
    <s v="2122J11325"/>
    <n v="2122194"/>
    <s v="CC332846"/>
    <s v="C247"/>
    <d v="2021-10-20T00:00:00"/>
    <d v="1899-12-30T13:45:33"/>
    <s v="Oct"/>
    <n v="207730"/>
    <s v="INR"/>
    <n v="36900"/>
    <x v="11"/>
    <x v="5"/>
    <s v="NA"/>
    <s v="NA"/>
    <s v="Wednesday"/>
    <s v="Within"/>
    <x v="0"/>
    <x v="1"/>
    <s v="Oct"/>
    <x v="0"/>
  </r>
  <r>
    <n v="454"/>
    <s v="2122Z91298"/>
    <n v="2122195"/>
    <s v="CC358419"/>
    <s v="C202"/>
    <d v="2021-10-20T00:00:00"/>
    <d v="1899-12-30T10:20:39"/>
    <s v="Oct"/>
    <n v="308420"/>
    <s v="INR"/>
    <n v="55440"/>
    <x v="2"/>
    <x v="1"/>
    <s v="NA"/>
    <s v="NA"/>
    <s v="Wednesday"/>
    <s v="Within"/>
    <x v="0"/>
    <x v="1"/>
    <s v="Oct"/>
    <x v="0"/>
  </r>
  <r>
    <n v="455"/>
    <s v="2122X71648"/>
    <n v="2122196"/>
    <s v="CC585198"/>
    <s v="C209"/>
    <d v="2021-10-21T00:00:00"/>
    <d v="1899-12-30T10:55:32"/>
    <s v="Oct"/>
    <n v="408590"/>
    <s v="INR"/>
    <n v="73080"/>
    <x v="8"/>
    <x v="0"/>
    <s v="NA"/>
    <s v="NA"/>
    <s v="Thursday"/>
    <s v="Within"/>
    <x v="0"/>
    <x v="1"/>
    <s v="Oct"/>
    <x v="0"/>
  </r>
  <r>
    <n v="456"/>
    <s v="2122I01855"/>
    <n v="2122197"/>
    <s v="CC993639"/>
    <s v="C222"/>
    <d v="2021-10-21T00:00:00"/>
    <d v="1899-12-30T12:54:36"/>
    <s v="Oct"/>
    <n v="438200"/>
    <s v="INR"/>
    <n v="78840"/>
    <x v="8"/>
    <x v="0"/>
    <s v="NA"/>
    <s v="NA"/>
    <s v="Thursday"/>
    <s v="Within"/>
    <x v="0"/>
    <x v="1"/>
    <s v="Oct"/>
    <x v="0"/>
  </r>
  <r>
    <n v="457"/>
    <s v="2122H01013"/>
    <n v="2122198"/>
    <s v="CC890404"/>
    <s v="C210"/>
    <d v="2021-10-21T00:00:00"/>
    <d v="1899-12-30T15:20:57"/>
    <s v="Sep"/>
    <n v="336050"/>
    <s v="INR"/>
    <n v="60300"/>
    <x v="8"/>
    <x v="0"/>
    <s v="NA"/>
    <s v="NA"/>
    <s v="Thursday"/>
    <s v="Within"/>
    <x v="0"/>
    <x v="1"/>
    <s v="Oct"/>
    <x v="0"/>
  </r>
  <r>
    <n v="458"/>
    <s v="2122T51891"/>
    <n v="2122199"/>
    <s v="CC215924"/>
    <s v="C227"/>
    <d v="2021-10-22T00:00:00"/>
    <d v="1899-12-30T15:22:18"/>
    <s v="Oct"/>
    <n v="454830"/>
    <s v="INR"/>
    <n v="81540"/>
    <x v="0"/>
    <x v="6"/>
    <s v="NA"/>
    <s v="NA"/>
    <s v="Friday"/>
    <s v="Within"/>
    <x v="0"/>
    <x v="1"/>
    <s v="Oct"/>
    <x v="0"/>
  </r>
  <r>
    <n v="459"/>
    <s v="2122K51689"/>
    <n v="2122200"/>
    <s v="CC971575"/>
    <s v="C228"/>
    <d v="2021-10-22T00:00:00"/>
    <d v="1899-12-30T16:02:16"/>
    <s v="Oct"/>
    <n v="491000"/>
    <s v="INR"/>
    <n v="88020"/>
    <x v="7"/>
    <x v="6"/>
    <s v="NA"/>
    <s v="NA"/>
    <s v="Friday"/>
    <s v="Within"/>
    <x v="0"/>
    <x v="1"/>
    <s v="Oct"/>
    <x v="0"/>
  </r>
  <r>
    <n v="460"/>
    <s v="2122J21387"/>
    <n v="2122201"/>
    <s v="CC589485"/>
    <s v="C223"/>
    <d v="2021-10-25T00:00:00"/>
    <d v="1899-12-30T17:56:21"/>
    <s v="Oct"/>
    <n v="415680"/>
    <s v="INR"/>
    <n v="74700"/>
    <x v="11"/>
    <x v="1"/>
    <s v="NA"/>
    <s v="NA"/>
    <s v="Monday"/>
    <s v="Within"/>
    <x v="0"/>
    <x v="1"/>
    <s v="Oct"/>
    <x v="0"/>
  </r>
  <r>
    <n v="461"/>
    <s v="2122F11390"/>
    <n v="2122202"/>
    <s v="CC222731"/>
    <s v="C224"/>
    <d v="2021-10-25T00:00:00"/>
    <d v="1899-12-30T12:44:19"/>
    <s v="Oct"/>
    <n v="374850"/>
    <s v="INR"/>
    <n v="66960"/>
    <x v="8"/>
    <x v="1"/>
    <s v="NA"/>
    <s v="NA"/>
    <s v="Monday"/>
    <s v="Within"/>
    <x v="0"/>
    <x v="1"/>
    <s v="Oct"/>
    <x v="0"/>
  </r>
  <r>
    <n v="462"/>
    <s v="2122R81540"/>
    <n v="2122203"/>
    <s v="CC338239"/>
    <s v="C233"/>
    <d v="2021-10-25T00:00:00"/>
    <d v="1899-12-30T13:29:05"/>
    <s v="Oct"/>
    <n v="325900"/>
    <s v="INR"/>
    <n v="58500"/>
    <x v="11"/>
    <x v="6"/>
    <s v="NA"/>
    <s v="NA"/>
    <s v="Monday"/>
    <s v="Within"/>
    <x v="0"/>
    <x v="1"/>
    <s v="Oct"/>
    <x v="0"/>
  </r>
  <r>
    <n v="463"/>
    <s v="2122H21048"/>
    <n v="2122204"/>
    <s v="CC394986"/>
    <s v="C213"/>
    <d v="2021-10-26T00:00:00"/>
    <d v="1899-12-30T10:59:35"/>
    <s v="Oct"/>
    <n v="356110"/>
    <s v="INR"/>
    <n v="63720"/>
    <x v="7"/>
    <x v="6"/>
    <s v="NA"/>
    <s v="NA"/>
    <s v="Tuesday"/>
    <s v="Within"/>
    <x v="0"/>
    <x v="1"/>
    <s v="Oct"/>
    <x v="0"/>
  </r>
  <r>
    <n v="464"/>
    <s v="2122U01744"/>
    <n v="2122205"/>
    <s v="CC820923"/>
    <s v="C245"/>
    <d v="2021-10-27T00:00:00"/>
    <d v="1899-12-30T15:16:46"/>
    <s v="Oct"/>
    <n v="419000"/>
    <s v="INR"/>
    <n v="75060"/>
    <x v="1"/>
    <x v="1"/>
    <s v="NA"/>
    <s v="NA"/>
    <s v="Wednesday"/>
    <s v="Within"/>
    <x v="0"/>
    <x v="1"/>
    <s v="Oct"/>
    <x v="0"/>
  </r>
  <r>
    <n v="465"/>
    <s v="2122F11203"/>
    <n v="2122206"/>
    <s v="CC774762"/>
    <s v="C224"/>
    <d v="2021-10-30T00:00:00"/>
    <d v="1899-12-30T16:14:11"/>
    <s v="Oct"/>
    <n v="356860"/>
    <s v="INR"/>
    <n v="63720"/>
    <x v="8"/>
    <x v="5"/>
    <s v="NA"/>
    <s v="NA"/>
    <s v="Saturday"/>
    <s v="Within"/>
    <x v="0"/>
    <x v="1"/>
    <s v="Oct"/>
    <x v="0"/>
  </r>
  <r>
    <n v="466"/>
    <s v="2122O31918"/>
    <n v="2122207"/>
    <s v="CC704438"/>
    <s v="C231"/>
    <d v="2021-11-03T00:00:00"/>
    <d v="1899-12-30T10:57:08"/>
    <s v="Nov"/>
    <n v="491750"/>
    <s v="INR"/>
    <n v="88020"/>
    <x v="1"/>
    <x v="6"/>
    <s v="NA"/>
    <s v="NA"/>
    <s v="Wednesday"/>
    <s v="Within"/>
    <x v="0"/>
    <x v="1"/>
    <s v="Nov"/>
    <x v="0"/>
  </r>
  <r>
    <n v="467"/>
    <s v="2122U81415"/>
    <n v="2122208"/>
    <s v="CC294370"/>
    <s v="C226"/>
    <d v="2021-11-06T00:00:00"/>
    <d v="1899-12-30T15:12:54"/>
    <s v="Nov"/>
    <n v="479490"/>
    <s v="INR"/>
    <n v="86040"/>
    <x v="7"/>
    <x v="1"/>
    <s v="NA"/>
    <s v="NA"/>
    <s v="Saturday"/>
    <s v="Within"/>
    <x v="0"/>
    <x v="1"/>
    <s v="Nov"/>
    <x v="0"/>
  </r>
  <r>
    <n v="468"/>
    <s v="2122T51475"/>
    <n v="2122209"/>
    <s v="CC508805"/>
    <s v="C236"/>
    <d v="2021-11-06T00:00:00"/>
    <d v="1899-12-30T19:54:02"/>
    <s v="Nov"/>
    <n v="4817700"/>
    <s v="INR"/>
    <n v="866700"/>
    <x v="5"/>
    <x v="4"/>
    <s v="NA"/>
    <s v="NA"/>
    <s v="Saturday"/>
    <s v="Outside"/>
    <x v="1"/>
    <x v="1"/>
    <s v="Nov"/>
    <x v="1"/>
  </r>
  <r>
    <n v="469"/>
    <s v="2122Y71672"/>
    <n v="2122210"/>
    <s v="CC931961"/>
    <s v="C207"/>
    <d v="2021-11-08T00:00:00"/>
    <d v="1899-12-30T15:27:04"/>
    <s v="Nov"/>
    <n v="314800"/>
    <s v="INR"/>
    <n v="56340"/>
    <x v="11"/>
    <x v="5"/>
    <s v="NA"/>
    <s v="NA"/>
    <s v="Monday"/>
    <s v="Within"/>
    <x v="0"/>
    <x v="1"/>
    <s v="Nov"/>
    <x v="0"/>
  </r>
  <r>
    <n v="470"/>
    <s v="2122j61318"/>
    <n v="2122211"/>
    <s v="CC223399"/>
    <s v="C231"/>
    <d v="2021-11-09T00:00:00"/>
    <d v="1899-12-30T12:11:16"/>
    <s v="Nov"/>
    <n v="357640"/>
    <s v="INR"/>
    <n v="63900"/>
    <x v="8"/>
    <x v="0"/>
    <s v="NA"/>
    <s v="NA"/>
    <s v="Tuesday"/>
    <s v="Within"/>
    <x v="0"/>
    <x v="1"/>
    <s v="Nov"/>
    <x v="0"/>
  </r>
  <r>
    <n v="471"/>
    <s v="2122L01942"/>
    <n v="2122212"/>
    <s v="CC199052"/>
    <s v="C246"/>
    <d v="2021-11-09T00:00:00"/>
    <d v="1899-12-30T13:31:27"/>
    <s v="Nov"/>
    <n v="450470"/>
    <s v="INR"/>
    <n v="80640"/>
    <x v="1"/>
    <x v="6"/>
    <s v="NA"/>
    <s v="NA"/>
    <s v="Tuesday"/>
    <s v="Within"/>
    <x v="0"/>
    <x v="1"/>
    <s v="Nov"/>
    <x v="0"/>
  </r>
  <r>
    <n v="472"/>
    <s v="2122Y91398"/>
    <n v="2122213"/>
    <s v="CC986010"/>
    <s v="C239"/>
    <d v="2021-11-07T00:00:00"/>
    <d v="1899-12-30T13:05:03"/>
    <s v="Nov"/>
    <n v="4275330"/>
    <s v="INR"/>
    <n v="769500"/>
    <x v="17"/>
    <x v="13"/>
    <s v="NA"/>
    <s v="NA"/>
    <s v="Sunday"/>
    <s v="Within"/>
    <x v="1"/>
    <x v="1"/>
    <s v="Nov"/>
    <x v="1"/>
  </r>
  <r>
    <n v="473"/>
    <s v="2122I11621"/>
    <n v="2122214"/>
    <s v="CC114003"/>
    <s v="C218"/>
    <d v="2021-11-09T00:00:00"/>
    <d v="1899-12-30T17:00:41"/>
    <s v="Nov"/>
    <n v="425000"/>
    <s v="INR"/>
    <n v="76140"/>
    <x v="6"/>
    <x v="6"/>
    <s v="NA"/>
    <s v="NA"/>
    <s v="Tuesday"/>
    <s v="Within"/>
    <x v="0"/>
    <x v="1"/>
    <s v="Nov"/>
    <x v="0"/>
  </r>
  <r>
    <n v="474"/>
    <s v="2122S81658"/>
    <n v="2122215"/>
    <s v="CC886642"/>
    <s v="C209"/>
    <d v="2021-11-10T00:00:00"/>
    <d v="1899-12-30T11:56:06"/>
    <s v="Nov"/>
    <n v="399870"/>
    <s v="INR"/>
    <n v="71640"/>
    <x v="1"/>
    <x v="1"/>
    <s v="NA"/>
    <s v="NA"/>
    <s v="Wednesday"/>
    <s v="Within"/>
    <x v="0"/>
    <x v="1"/>
    <s v="Nov"/>
    <x v="0"/>
  </r>
  <r>
    <n v="475"/>
    <s v="2122R41318"/>
    <n v="2122216"/>
    <s v="CC164169"/>
    <s v="C215"/>
    <d v="2021-11-11T00:00:00"/>
    <d v="1899-12-30T15:22:57"/>
    <s v="Nov"/>
    <n v="462420"/>
    <s v="INR"/>
    <n v="82800"/>
    <x v="11"/>
    <x v="1"/>
    <s v="NA"/>
    <s v="NA"/>
    <s v="Thursday"/>
    <s v="Within"/>
    <x v="0"/>
    <x v="1"/>
    <s v="Nov"/>
    <x v="0"/>
  </r>
  <r>
    <n v="476"/>
    <s v="2122W41943"/>
    <n v="2122217"/>
    <s v="CC214748"/>
    <s v="C238"/>
    <d v="2021-11-14T00:00:00"/>
    <d v="1899-12-30T11:36:59"/>
    <s v="Nov"/>
    <n v="4441560"/>
    <s v="INR"/>
    <n v="799200"/>
    <x v="17"/>
    <x v="13"/>
    <s v="NA"/>
    <s v="NA"/>
    <s v="Sunday"/>
    <s v="Within"/>
    <x v="1"/>
    <x v="1"/>
    <s v="Nov"/>
    <x v="1"/>
  </r>
  <r>
    <n v="477"/>
    <s v="2122A01575"/>
    <n v="2122218"/>
    <s v="CC969173"/>
    <s v="C233"/>
    <d v="2021-11-12T00:00:00"/>
    <d v="1899-12-30T11:28:43"/>
    <s v="Nov"/>
    <n v="473280"/>
    <s v="INR"/>
    <n v="85140"/>
    <x v="1"/>
    <x v="5"/>
    <s v="NA"/>
    <s v="NA"/>
    <s v="Friday"/>
    <s v="Within"/>
    <x v="0"/>
    <x v="1"/>
    <s v="Nov"/>
    <x v="0"/>
  </r>
  <r>
    <n v="478"/>
    <s v="2122M61002"/>
    <n v="2122219"/>
    <s v="CC356315"/>
    <s v="C222"/>
    <d v="2021-11-12T00:00:00"/>
    <d v="1899-12-30T14:21:35"/>
    <s v="Nov"/>
    <n v="408230"/>
    <s v="INR"/>
    <n v="73260"/>
    <x v="8"/>
    <x v="1"/>
    <s v="NA"/>
    <s v="NA"/>
    <s v="Friday"/>
    <s v="Within"/>
    <x v="0"/>
    <x v="1"/>
    <s v="Nov"/>
    <x v="0"/>
  </r>
  <r>
    <n v="479"/>
    <s v="2122P81586"/>
    <n v="2122220"/>
    <s v="CC610632"/>
    <s v="C228"/>
    <d v="2021-11-13T00:00:00"/>
    <d v="1899-12-30T13:51:47"/>
    <s v="Nov"/>
    <n v="331750"/>
    <s v="INR"/>
    <n v="59580"/>
    <x v="11"/>
    <x v="1"/>
    <s v="NA"/>
    <s v="NA"/>
    <s v="Saturday"/>
    <s v="Within"/>
    <x v="0"/>
    <x v="1"/>
    <s v="Nov"/>
    <x v="0"/>
  </r>
  <r>
    <n v="480"/>
    <s v="2122C01362"/>
    <n v="2122221"/>
    <s v="CC213253"/>
    <s v="C218"/>
    <d v="2021-11-19T00:00:00"/>
    <d v="1899-12-30T15:15:33"/>
    <s v="Nov"/>
    <n v="223880"/>
    <s v="INR"/>
    <n v="39780"/>
    <x v="0"/>
    <x v="10"/>
    <s v="NA"/>
    <s v="NA"/>
    <s v="Friday"/>
    <s v="Within"/>
    <x v="0"/>
    <x v="1"/>
    <s v="Nov"/>
    <x v="0"/>
  </r>
  <r>
    <n v="481"/>
    <s v="2122V41231"/>
    <n v="2122222"/>
    <s v="CC840595"/>
    <s v="C231"/>
    <d v="2021-11-23T00:00:00"/>
    <d v="1899-12-30T16:34:02"/>
    <s v="Nov"/>
    <n v="12222570"/>
    <s v="INR"/>
    <n v="2199960"/>
    <x v="5"/>
    <x v="4"/>
    <s v="Approved"/>
    <s v="BM/CC840595C231"/>
    <s v="Tuesday"/>
    <s v="Within"/>
    <x v="0"/>
    <x v="1"/>
    <s v="Nov"/>
    <x v="0"/>
  </r>
  <r>
    <n v="482"/>
    <s v="2122E51863"/>
    <n v="2122223"/>
    <s v="CC285789"/>
    <s v="C213"/>
    <d v="2021-11-25T00:00:00"/>
    <d v="1899-12-30T16:15:24"/>
    <s v="Oct"/>
    <n v="285500"/>
    <s v="INR"/>
    <n v="51120"/>
    <x v="7"/>
    <x v="10"/>
    <s v="NA"/>
    <s v="NA"/>
    <s v="Thursday"/>
    <s v="Within"/>
    <x v="0"/>
    <x v="1"/>
    <s v="Nov"/>
    <x v="0"/>
  </r>
  <r>
    <n v="483"/>
    <s v="2122V91192"/>
    <n v="2122224"/>
    <s v="CC130624"/>
    <s v="C224"/>
    <d v="2021-11-25T00:00:00"/>
    <d v="1899-12-30T11:37:15"/>
    <s v="Nov"/>
    <n v="302180"/>
    <s v="INR"/>
    <n v="54000"/>
    <x v="8"/>
    <x v="5"/>
    <s v="NA"/>
    <s v="NA"/>
    <s v="Thursday"/>
    <s v="Within"/>
    <x v="0"/>
    <x v="1"/>
    <s v="Nov"/>
    <x v="0"/>
  </r>
  <r>
    <n v="484"/>
    <s v="2122M41710"/>
    <n v="2122225"/>
    <s v="CC703229"/>
    <s v="C244"/>
    <d v="2021-11-26T00:00:00"/>
    <d v="1899-12-30T14:48:43"/>
    <s v="Nov"/>
    <n v="367010"/>
    <s v="INR"/>
    <n v="65880"/>
    <x v="1"/>
    <x v="6"/>
    <s v="NA"/>
    <s v="NA"/>
    <s v="Friday"/>
    <s v="Within"/>
    <x v="0"/>
    <x v="1"/>
    <s v="Nov"/>
    <x v="0"/>
  </r>
  <r>
    <n v="485"/>
    <s v="2122N31993"/>
    <n v="2122226"/>
    <s v="CC678203"/>
    <s v="C224"/>
    <d v="2021-11-26T00:00:00"/>
    <d v="1899-12-30T11:16:43"/>
    <s v="Nov"/>
    <n v="26260"/>
    <s v="INR"/>
    <n v="4500"/>
    <x v="12"/>
    <x v="3"/>
    <s v="NA"/>
    <s v="NA"/>
    <s v="Friday"/>
    <s v="Within"/>
    <x v="0"/>
    <x v="1"/>
    <s v="Nov"/>
    <x v="0"/>
  </r>
  <r>
    <n v="486"/>
    <s v="2122N01743"/>
    <n v="2122227"/>
    <s v="CC910213"/>
    <s v="C206"/>
    <d v="2021-11-27T00:00:00"/>
    <d v="1899-12-30T16:10:32"/>
    <s v="Oct"/>
    <n v="39590"/>
    <s v="INR"/>
    <n v="6660"/>
    <x v="18"/>
    <x v="14"/>
    <s v="NA"/>
    <s v="NA"/>
    <s v="Saturday"/>
    <s v="Within"/>
    <x v="0"/>
    <x v="1"/>
    <s v="Nov"/>
    <x v="0"/>
  </r>
  <r>
    <n v="487"/>
    <s v="2122H91547"/>
    <n v="2122228"/>
    <s v="CC659077"/>
    <s v="C241"/>
    <d v="2021-11-27T00:00:00"/>
    <d v="1899-12-30T10:11:49"/>
    <s v="Oct"/>
    <n v="24260"/>
    <s v="INR"/>
    <n v="3960"/>
    <x v="10"/>
    <x v="14"/>
    <s v="NA"/>
    <s v="NA"/>
    <s v="Saturday"/>
    <s v="Within"/>
    <x v="0"/>
    <x v="1"/>
    <s v="Nov"/>
    <x v="0"/>
  </r>
  <r>
    <n v="488"/>
    <s v="2122J71497"/>
    <n v="2122229"/>
    <s v="CC684587"/>
    <s v="C206"/>
    <d v="2021-11-29T00:00:00"/>
    <d v="1899-12-30T13:42:29"/>
    <s v="Nov"/>
    <n v="25240"/>
    <s v="INR"/>
    <n v="4500"/>
    <x v="18"/>
    <x v="2"/>
    <s v="NA"/>
    <s v="NA"/>
    <s v="Monday"/>
    <s v="Within"/>
    <x v="0"/>
    <x v="1"/>
    <s v="Nov"/>
    <x v="0"/>
  </r>
  <r>
    <n v="489"/>
    <s v="2122J01844"/>
    <n v="2122230"/>
    <s v="CC700229"/>
    <s v="C209"/>
    <d v="2021-11-29T00:00:00"/>
    <d v="1899-12-30T11:02:31"/>
    <s v="Nov"/>
    <n v="445560"/>
    <s v="INR"/>
    <n v="79920"/>
    <x v="0"/>
    <x v="1"/>
    <s v="NA"/>
    <s v="NA"/>
    <s v="Monday"/>
    <s v="Within"/>
    <x v="0"/>
    <x v="1"/>
    <s v="Nov"/>
    <x v="0"/>
  </r>
  <r>
    <n v="490"/>
    <s v="2122Q91445"/>
    <n v="2122231"/>
    <s v="CC584823"/>
    <s v="C203"/>
    <d v="2021-12-01T00:00:00"/>
    <d v="1899-12-30T11:41:02"/>
    <s v="Dec"/>
    <n v="2159450"/>
    <s v="INR"/>
    <n v="388260"/>
    <x v="21"/>
    <x v="13"/>
    <s v="NA"/>
    <s v="NA"/>
    <s v="Wednesday"/>
    <s v="Within"/>
    <x v="0"/>
    <x v="1"/>
    <s v="Dec"/>
    <x v="0"/>
  </r>
  <r>
    <n v="491"/>
    <s v="2122B21203"/>
    <n v="2122232"/>
    <s v="CC378274"/>
    <s v="C202"/>
    <d v="2021-12-03T00:00:00"/>
    <d v="1899-12-30T14:28:55"/>
    <s v="Dec"/>
    <n v="15810"/>
    <s v="INR"/>
    <n v="2340"/>
    <x v="4"/>
    <x v="2"/>
    <s v="NA"/>
    <s v="NA"/>
    <s v="Friday"/>
    <s v="Within"/>
    <x v="0"/>
    <x v="1"/>
    <s v="Dec"/>
    <x v="0"/>
  </r>
  <r>
    <n v="492"/>
    <s v="2122P31983"/>
    <n v="2122233"/>
    <s v="CC624674"/>
    <s v="C238"/>
    <d v="2021-12-05T00:00:00"/>
    <d v="1899-12-30T12:47:06"/>
    <s v="Dec"/>
    <n v="4050320"/>
    <s v="INR"/>
    <n v="728820"/>
    <x v="16"/>
    <x v="13"/>
    <s v="NA"/>
    <s v="NA"/>
    <s v="Sunday"/>
    <s v="Within"/>
    <x v="1"/>
    <x v="1"/>
    <s v="Dec"/>
    <x v="1"/>
  </r>
  <r>
    <n v="493"/>
    <s v="2122Q51522"/>
    <n v="2122234"/>
    <s v="CC732491"/>
    <s v="C207"/>
    <d v="2021-12-04T00:00:00"/>
    <d v="1899-12-30T15:31:54"/>
    <s v="Dec"/>
    <n v="476400"/>
    <s v="INR"/>
    <n v="85680"/>
    <x v="0"/>
    <x v="0"/>
    <s v="NA"/>
    <s v="NA"/>
    <s v="Saturday"/>
    <s v="Within"/>
    <x v="0"/>
    <x v="1"/>
    <s v="Dec"/>
    <x v="0"/>
  </r>
  <r>
    <n v="494"/>
    <s v="2122O31887"/>
    <n v="2122235"/>
    <s v="CC192808"/>
    <s v="C222"/>
    <d v="2021-12-06T00:00:00"/>
    <d v="1899-12-30T17:07:17"/>
    <s v="Dec"/>
    <n v="24170"/>
    <s v="INR"/>
    <n v="3960"/>
    <x v="10"/>
    <x v="2"/>
    <s v="NA"/>
    <s v="NA"/>
    <s v="Monday"/>
    <s v="Within"/>
    <x v="0"/>
    <x v="1"/>
    <s v="Dec"/>
    <x v="0"/>
  </r>
  <r>
    <n v="495"/>
    <s v="2122S41743"/>
    <n v="2122236"/>
    <s v="CC910737"/>
    <s v="C205"/>
    <d v="2021-12-07T00:00:00"/>
    <d v="1899-12-30T17:55:08"/>
    <s v="Dec"/>
    <n v="230900"/>
    <s v="INR"/>
    <n v="41220"/>
    <x v="2"/>
    <x v="10"/>
    <s v="NA"/>
    <s v="NA"/>
    <s v="Tuesday"/>
    <s v="Within"/>
    <x v="0"/>
    <x v="1"/>
    <s v="Dec"/>
    <x v="0"/>
  </r>
  <r>
    <n v="496"/>
    <s v="2122N01952"/>
    <n v="2122237"/>
    <s v="CC160324"/>
    <s v="C244"/>
    <d v="2021-12-07T00:00:00"/>
    <d v="1899-12-30T15:05:55"/>
    <s v="Dec"/>
    <n v="245870"/>
    <s v="INR"/>
    <n v="43920"/>
    <x v="6"/>
    <x v="0"/>
    <s v="NA"/>
    <s v="NA"/>
    <s v="Tuesday"/>
    <s v="Within"/>
    <x v="0"/>
    <x v="1"/>
    <s v="Dec"/>
    <x v="0"/>
  </r>
  <r>
    <n v="497"/>
    <s v="2122B91484"/>
    <n v="2122238"/>
    <s v="CC428042"/>
    <s v="C201"/>
    <d v="2021-12-08T00:00:00"/>
    <d v="1899-12-30T11:07:56"/>
    <s v="Dec"/>
    <n v="258400"/>
    <s v="INR"/>
    <n v="46080"/>
    <x v="7"/>
    <x v="6"/>
    <s v="NA"/>
    <s v="NA"/>
    <s v="Wednesday"/>
    <s v="Within"/>
    <x v="0"/>
    <x v="1"/>
    <s v="Dec"/>
    <x v="0"/>
  </r>
  <r>
    <n v="498"/>
    <s v="2122W31175"/>
    <n v="2122239"/>
    <s v="CC736688"/>
    <s v="C225"/>
    <d v="2021-12-09T00:00:00"/>
    <d v="1899-12-30T11:57:00"/>
    <s v="Dec"/>
    <n v="391470"/>
    <s v="INR"/>
    <n v="70380"/>
    <x v="6"/>
    <x v="5"/>
    <s v="NA"/>
    <s v="NA"/>
    <s v="Thursday"/>
    <s v="Within"/>
    <x v="0"/>
    <x v="1"/>
    <s v="Dec"/>
    <x v="0"/>
  </r>
  <r>
    <n v="499"/>
    <s v="2122L21946"/>
    <n v="2122240"/>
    <s v="CC394417"/>
    <s v="C240"/>
    <d v="2021-12-12T00:00:00"/>
    <d v="1899-12-30T11:15:51"/>
    <s v="Dec"/>
    <n v="4463340"/>
    <s v="INR"/>
    <n v="803340"/>
    <x v="17"/>
    <x v="13"/>
    <s v="NA"/>
    <s v="NA"/>
    <s v="Sunday"/>
    <s v="Within"/>
    <x v="1"/>
    <x v="1"/>
    <s v="Dec"/>
    <x v="1"/>
  </r>
  <r>
    <n v="500"/>
    <s v="2122I51208"/>
    <n v="2122241"/>
    <s v="CC886051"/>
    <s v="C219"/>
    <d v="2021-12-11T00:00:00"/>
    <d v="1899-12-30T11:53:56"/>
    <s v="Dec"/>
    <n v="446670"/>
    <s v="INR"/>
    <n v="80100"/>
    <x v="0"/>
    <x v="0"/>
    <s v="NA"/>
    <s v="NA"/>
    <s v="Saturday"/>
    <s v="Within"/>
    <x v="0"/>
    <x v="1"/>
    <s v="Dec"/>
    <x v="0"/>
  </r>
  <r>
    <n v="501"/>
    <s v="2122U91401"/>
    <n v="2122242"/>
    <s v="CC315583"/>
    <s v="C244"/>
    <d v="2021-12-11T00:00:00"/>
    <d v="1899-12-30T15:09:52"/>
    <s v="Dec"/>
    <n v="284960"/>
    <s v="INR"/>
    <n v="50940"/>
    <x v="11"/>
    <x v="1"/>
    <s v="NA"/>
    <s v="NA"/>
    <s v="Saturday"/>
    <s v="Within"/>
    <x v="0"/>
    <x v="1"/>
    <s v="Dec"/>
    <x v="0"/>
  </r>
  <r>
    <n v="502"/>
    <s v="2122H51226"/>
    <n v="2122243"/>
    <s v="CC764970"/>
    <s v="C215"/>
    <d v="2021-12-11T00:00:00"/>
    <d v="1899-12-30T13:31:37"/>
    <s v="Dec"/>
    <n v="444500"/>
    <s v="INR"/>
    <n v="79920"/>
    <x v="0"/>
    <x v="10"/>
    <s v="NA"/>
    <s v="NA"/>
    <s v="Saturday"/>
    <s v="Within"/>
    <x v="0"/>
    <x v="1"/>
    <s v="Dec"/>
    <x v="0"/>
  </r>
  <r>
    <n v="503"/>
    <s v="2122O11932"/>
    <n v="2122244"/>
    <s v="CC903133"/>
    <s v="C223"/>
    <d v="2021-12-11T00:00:00"/>
    <d v="1899-12-30T15:21:40"/>
    <s v="Dec"/>
    <n v="373180"/>
    <s v="INR"/>
    <n v="66960"/>
    <x v="11"/>
    <x v="5"/>
    <s v="NA"/>
    <s v="NA"/>
    <s v="Saturday"/>
    <s v="Within"/>
    <x v="0"/>
    <x v="1"/>
    <s v="Dec"/>
    <x v="0"/>
  </r>
  <r>
    <n v="504"/>
    <s v="2122Z01541"/>
    <n v="2122245"/>
    <s v="CC457164"/>
    <s v="C231"/>
    <d v="2021-12-11T00:00:00"/>
    <d v="1899-12-30T10:57:55"/>
    <s v="Dec"/>
    <n v="215460"/>
    <s v="INR"/>
    <n v="38700"/>
    <x v="1"/>
    <x v="6"/>
    <s v="NA"/>
    <s v="NA"/>
    <s v="Saturday"/>
    <s v="Within"/>
    <x v="0"/>
    <x v="1"/>
    <s v="Dec"/>
    <x v="0"/>
  </r>
  <r>
    <n v="505"/>
    <s v="2122A41391"/>
    <n v="2122246"/>
    <s v="CC287338"/>
    <s v="C206"/>
    <d v="2021-12-13T00:00:00"/>
    <d v="1899-12-30T14:29:01"/>
    <s v="Dec"/>
    <n v="231820"/>
    <s v="INR"/>
    <n v="41400"/>
    <x v="0"/>
    <x v="10"/>
    <s v="NA"/>
    <s v="NA"/>
    <s v="Monday"/>
    <s v="Within"/>
    <x v="0"/>
    <x v="1"/>
    <s v="Dec"/>
    <x v="0"/>
  </r>
  <r>
    <n v="506"/>
    <s v="2122C31602"/>
    <n v="2122247"/>
    <s v="CC357536"/>
    <s v="C243"/>
    <d v="2021-12-13T00:00:00"/>
    <d v="1899-12-30T10:33:43"/>
    <s v="Dec"/>
    <n v="433600"/>
    <s v="INR"/>
    <n v="77760"/>
    <x v="1"/>
    <x v="1"/>
    <s v="NA"/>
    <s v="NA"/>
    <s v="Monday"/>
    <s v="Within"/>
    <x v="0"/>
    <x v="1"/>
    <s v="Dec"/>
    <x v="0"/>
  </r>
  <r>
    <n v="507"/>
    <s v="2122B51116"/>
    <n v="2122248"/>
    <s v="CC578320"/>
    <s v="C202"/>
    <d v="2021-12-13T00:00:00"/>
    <d v="1899-12-30T15:41:54"/>
    <s v="Dec"/>
    <n v="6302410"/>
    <s v="INR"/>
    <n v="1134000"/>
    <x v="5"/>
    <x v="4"/>
    <s v="Approved"/>
    <s v="BM/CC578320C202"/>
    <s v="Monday"/>
    <s v="Within"/>
    <x v="0"/>
    <x v="1"/>
    <s v="Dec"/>
    <x v="0"/>
  </r>
  <r>
    <n v="508"/>
    <s v="2122T71144"/>
    <n v="2122249"/>
    <s v="CC862577"/>
    <s v="C238"/>
    <d v="2021-12-11T00:00:00"/>
    <d v="1899-12-30T19:42:24"/>
    <s v="Dec"/>
    <n v="4918360"/>
    <s v="INR"/>
    <n v="885060"/>
    <x v="5"/>
    <x v="4"/>
    <s v="NA"/>
    <s v="NA"/>
    <s v="Saturday"/>
    <s v="Outside"/>
    <x v="1"/>
    <x v="1"/>
    <s v="Dec"/>
    <x v="1"/>
  </r>
  <r>
    <n v="509"/>
    <s v="2122Z51636"/>
    <n v="2122250"/>
    <s v="CC893648"/>
    <s v="C218"/>
    <d v="2021-12-14T00:00:00"/>
    <d v="1899-12-30T15:07:05"/>
    <s v="Dec"/>
    <n v="488690"/>
    <s v="INR"/>
    <n v="87660"/>
    <x v="1"/>
    <x v="10"/>
    <s v="NA"/>
    <s v="NA"/>
    <s v="Tuesday"/>
    <s v="Within"/>
    <x v="0"/>
    <x v="1"/>
    <s v="Dec"/>
    <x v="0"/>
  </r>
  <r>
    <n v="510"/>
    <s v="2122T71032"/>
    <n v="2122251"/>
    <s v="CC613425"/>
    <s v="C245"/>
    <d v="2021-12-17T00:00:00"/>
    <d v="1899-12-30T11:07:38"/>
    <s v="Dec"/>
    <n v="415690"/>
    <s v="INR"/>
    <n v="74700"/>
    <x v="0"/>
    <x v="10"/>
    <s v="NA"/>
    <s v="NA"/>
    <s v="Friday"/>
    <s v="Within"/>
    <x v="0"/>
    <x v="1"/>
    <s v="Dec"/>
    <x v="0"/>
  </r>
  <r>
    <n v="511"/>
    <s v="2122W81919"/>
    <n v="2122252"/>
    <s v="CC259737"/>
    <s v="C212"/>
    <d v="2021-12-18T00:00:00"/>
    <d v="1899-12-30T16:30:08"/>
    <s v="Dec"/>
    <n v="497220"/>
    <s v="INR"/>
    <n v="89100"/>
    <x v="6"/>
    <x v="10"/>
    <s v="NA"/>
    <s v="NA"/>
    <s v="Saturday"/>
    <s v="Within"/>
    <x v="0"/>
    <x v="1"/>
    <s v="Dec"/>
    <x v="0"/>
  </r>
  <r>
    <n v="512"/>
    <s v="2122X01732"/>
    <n v="2122253"/>
    <s v="CC415777"/>
    <s v="C210"/>
    <d v="2021-12-20T00:00:00"/>
    <d v="1899-12-30T11:33:54"/>
    <s v="Dec"/>
    <n v="273650"/>
    <s v="INR"/>
    <n v="49140"/>
    <x v="1"/>
    <x v="5"/>
    <s v="NA"/>
    <s v="NA"/>
    <s v="Monday"/>
    <s v="Within"/>
    <x v="0"/>
    <x v="1"/>
    <s v="Dec"/>
    <x v="0"/>
  </r>
  <r>
    <n v="513"/>
    <s v="2122W01507"/>
    <n v="2122254"/>
    <s v="CC622234"/>
    <s v="C206"/>
    <d v="2021-12-20T00:00:00"/>
    <d v="1899-12-30T16:07:56"/>
    <s v="Dec"/>
    <n v="430300"/>
    <s v="INR"/>
    <n v="77220"/>
    <x v="11"/>
    <x v="5"/>
    <s v="NA"/>
    <s v="NA"/>
    <s v="Monday"/>
    <s v="Within"/>
    <x v="0"/>
    <x v="1"/>
    <s v="Dec"/>
    <x v="0"/>
  </r>
  <r>
    <n v="514"/>
    <s v="2122W41847"/>
    <n v="2122255"/>
    <s v="CC763477"/>
    <s v="C238"/>
    <d v="2021-12-19T00:00:00"/>
    <d v="1899-12-30T13:04:36"/>
    <s v="Dec"/>
    <n v="4924520"/>
    <s v="INR"/>
    <n v="885960"/>
    <x v="5"/>
    <x v="4"/>
    <s v="NA"/>
    <s v="NA"/>
    <s v="Sunday"/>
    <s v="Within"/>
    <x v="1"/>
    <x v="1"/>
    <s v="Dec"/>
    <x v="1"/>
  </r>
  <r>
    <n v="515"/>
    <s v="2122O71884"/>
    <n v="2122256"/>
    <s v="CC998662"/>
    <s v="C240"/>
    <d v="2021-12-18T00:00:00"/>
    <d v="1899-12-30T19:17:28"/>
    <s v="Dec"/>
    <n v="4823470"/>
    <s v="INR"/>
    <n v="868140"/>
    <x v="5"/>
    <x v="4"/>
    <s v="NA"/>
    <s v="NA"/>
    <s v="Saturday"/>
    <s v="Outside"/>
    <x v="1"/>
    <x v="1"/>
    <s v="Dec"/>
    <x v="1"/>
  </r>
  <r>
    <n v="516"/>
    <s v="2122P31669"/>
    <n v="2122257"/>
    <s v="CC501883"/>
    <s v="C232"/>
    <d v="2021-12-21T00:00:00"/>
    <d v="1899-12-30T16:12:42"/>
    <s v="Dec"/>
    <n v="206810"/>
    <s v="INR"/>
    <n v="37080"/>
    <x v="1"/>
    <x v="10"/>
    <s v="NA"/>
    <s v="NA"/>
    <s v="Tuesday"/>
    <s v="Within"/>
    <x v="0"/>
    <x v="1"/>
    <s v="Dec"/>
    <x v="0"/>
  </r>
  <r>
    <n v="517"/>
    <s v="2122E31923"/>
    <n v="2122258"/>
    <s v="CC199085"/>
    <s v="C248"/>
    <d v="2021-12-22T00:00:00"/>
    <d v="1899-12-30T16:29:48"/>
    <s v="Dec"/>
    <n v="434540"/>
    <s v="INR"/>
    <n v="77760"/>
    <x v="2"/>
    <x v="0"/>
    <s v="NA"/>
    <s v="NA"/>
    <s v="Wednesday"/>
    <s v="Within"/>
    <x v="0"/>
    <x v="1"/>
    <s v="Dec"/>
    <x v="0"/>
  </r>
  <r>
    <n v="518"/>
    <s v="2122G51676"/>
    <n v="2122259"/>
    <s v="CC145391"/>
    <s v="C242"/>
    <d v="2021-12-22T00:00:00"/>
    <d v="1899-12-30T15:31:38"/>
    <s v="Dec"/>
    <n v="386590"/>
    <s v="INR"/>
    <n v="69120"/>
    <x v="7"/>
    <x v="0"/>
    <s v="NA"/>
    <s v="NA"/>
    <s v="Wednesday"/>
    <s v="Within"/>
    <x v="0"/>
    <x v="1"/>
    <s v="Dec"/>
    <x v="0"/>
  </r>
  <r>
    <n v="519"/>
    <s v="2122K71852"/>
    <n v="2122260"/>
    <s v="CC981705"/>
    <s v="C248"/>
    <d v="2021-12-23T00:00:00"/>
    <d v="1899-12-30T17:33:03"/>
    <s v="Dec"/>
    <n v="250140"/>
    <s v="INR"/>
    <n v="44640"/>
    <x v="2"/>
    <x v="6"/>
    <s v="NA"/>
    <s v="NA"/>
    <s v="Thursday"/>
    <s v="Within"/>
    <x v="0"/>
    <x v="1"/>
    <s v="Dec"/>
    <x v="0"/>
  </r>
  <r>
    <n v="520"/>
    <s v="2122X31075"/>
    <n v="2122261"/>
    <s v="CC970677"/>
    <s v="C226"/>
    <d v="2021-12-27T00:00:00"/>
    <d v="1899-12-30T10:29:47"/>
    <s v="Dec"/>
    <n v="282660"/>
    <s v="INR"/>
    <n v="50580"/>
    <x v="1"/>
    <x v="6"/>
    <s v="NA"/>
    <s v="NA"/>
    <s v="Monday"/>
    <s v="Within"/>
    <x v="0"/>
    <x v="1"/>
    <s v="Dec"/>
    <x v="0"/>
  </r>
  <r>
    <n v="521"/>
    <s v="2122B71557"/>
    <n v="2122262"/>
    <s v="CC274148"/>
    <s v="C218"/>
    <d v="2021-12-27T00:00:00"/>
    <d v="1899-12-30T17:15:11"/>
    <s v="Dec"/>
    <n v="501580"/>
    <s v="INR"/>
    <n v="90000"/>
    <x v="22"/>
    <x v="15"/>
    <s v="NA"/>
    <s v="NA"/>
    <s v="Monday"/>
    <s v="Within"/>
    <x v="0"/>
    <x v="1"/>
    <s v="Dec"/>
    <x v="0"/>
  </r>
  <r>
    <n v="522"/>
    <s v="2122I51297"/>
    <n v="2122263"/>
    <s v="CC504295"/>
    <s v="C205"/>
    <d v="2021-12-28T00:00:00"/>
    <d v="1899-12-30T11:45:46"/>
    <s v="Dec"/>
    <n v="486120"/>
    <s v="INR"/>
    <n v="87480"/>
    <x v="2"/>
    <x v="6"/>
    <s v="NA"/>
    <s v="NA"/>
    <s v="Tuesday"/>
    <s v="Within"/>
    <x v="0"/>
    <x v="1"/>
    <s v="Dec"/>
    <x v="0"/>
  </r>
  <r>
    <n v="523"/>
    <s v="2122D11360"/>
    <n v="2122264"/>
    <s v="CC338380"/>
    <s v="C222"/>
    <d v="2021-12-28T00:00:00"/>
    <d v="1899-12-30T10:14:02"/>
    <s v="Dec"/>
    <n v="448080"/>
    <s v="INR"/>
    <n v="80460"/>
    <x v="8"/>
    <x v="10"/>
    <s v="NA"/>
    <s v="NA"/>
    <s v="Tuesday"/>
    <s v="Within"/>
    <x v="0"/>
    <x v="1"/>
    <s v="Dec"/>
    <x v="0"/>
  </r>
  <r>
    <n v="524"/>
    <s v="2122K21209"/>
    <n v="2122265"/>
    <s v="CC805139"/>
    <s v="C237"/>
    <d v="2022-01-02T00:00:00"/>
    <d v="1899-12-30T11:57:21"/>
    <s v="Jan"/>
    <n v="4363500"/>
    <s v="INR"/>
    <n v="785340"/>
    <x v="17"/>
    <x v="13"/>
    <s v="NA"/>
    <s v="NA"/>
    <s v="Sunday"/>
    <s v="Within"/>
    <x v="1"/>
    <x v="1"/>
    <s v="Jan"/>
    <x v="1"/>
  </r>
  <r>
    <n v="525"/>
    <s v="2122L61097"/>
    <n v="2122266"/>
    <s v="CC382146"/>
    <s v="C207"/>
    <d v="2022-01-03T00:00:00"/>
    <d v="1899-12-30T12:38:47"/>
    <s v="Jan"/>
    <n v="210400"/>
    <s v="INR"/>
    <n v="37620"/>
    <x v="1"/>
    <x v="0"/>
    <s v="NA"/>
    <s v="NA"/>
    <s v="Monday"/>
    <s v="Within"/>
    <x v="0"/>
    <x v="1"/>
    <s v="Jan"/>
    <x v="0"/>
  </r>
  <r>
    <n v="526"/>
    <s v="2122G61001"/>
    <n v="2122267"/>
    <s v="CC746242"/>
    <s v="C233"/>
    <d v="2022-01-06T00:00:00"/>
    <d v="1899-12-30T12:29:16"/>
    <s v="Jan"/>
    <n v="208970"/>
    <s v="INR"/>
    <n v="37260"/>
    <x v="11"/>
    <x v="0"/>
    <s v="NA"/>
    <s v="NA"/>
    <s v="Thursday"/>
    <s v="Within"/>
    <x v="0"/>
    <x v="1"/>
    <s v="Jan"/>
    <x v="0"/>
  </r>
  <r>
    <n v="527"/>
    <s v="2122X61950"/>
    <n v="2122268"/>
    <s v="CC143410"/>
    <s v="C209"/>
    <d v="2022-01-10T00:00:00"/>
    <d v="1899-12-30T11:43:17"/>
    <s v="Jan"/>
    <n v="338270"/>
    <s v="INR"/>
    <n v="60840"/>
    <x v="1"/>
    <x v="10"/>
    <s v="NA"/>
    <s v="NA"/>
    <s v="Monday"/>
    <s v="Within"/>
    <x v="0"/>
    <x v="1"/>
    <s v="Jan"/>
    <x v="0"/>
  </r>
  <r>
    <n v="528"/>
    <s v="2122C81722"/>
    <n v="2122269"/>
    <s v="CC465295"/>
    <s v="C247"/>
    <d v="2022-01-10T00:00:00"/>
    <d v="1899-12-30T16:18:41"/>
    <s v="Jan"/>
    <n v="373910"/>
    <s v="INR"/>
    <n v="66960"/>
    <x v="8"/>
    <x v="0"/>
    <s v="NA"/>
    <s v="NA"/>
    <s v="Monday"/>
    <s v="Within"/>
    <x v="0"/>
    <x v="1"/>
    <s v="Jan"/>
    <x v="0"/>
  </r>
  <r>
    <n v="529"/>
    <s v="2122G31114"/>
    <n v="2122270"/>
    <s v="CC999327"/>
    <s v="C229"/>
    <d v="2022-01-10T00:00:00"/>
    <d v="1899-12-30T17:33:04"/>
    <s v="Jan"/>
    <n v="462870"/>
    <s v="INR"/>
    <n v="82980"/>
    <x v="0"/>
    <x v="5"/>
    <s v="NA"/>
    <s v="NA"/>
    <s v="Monday"/>
    <s v="Within"/>
    <x v="0"/>
    <x v="1"/>
    <s v="Jan"/>
    <x v="0"/>
  </r>
  <r>
    <n v="530"/>
    <s v="2122D91427"/>
    <n v="2122271"/>
    <s v="CC254989"/>
    <s v="C212"/>
    <d v="2022-01-11T00:00:00"/>
    <d v="1899-12-30T16:38:13"/>
    <s v="Jan"/>
    <n v="352840"/>
    <s v="INR"/>
    <n v="63360"/>
    <x v="1"/>
    <x v="10"/>
    <s v="NA"/>
    <s v="NA"/>
    <s v="Tuesday"/>
    <s v="Within"/>
    <x v="0"/>
    <x v="1"/>
    <s v="Jan"/>
    <x v="0"/>
  </r>
  <r>
    <n v="531"/>
    <s v="2122Q21513"/>
    <n v="2122272"/>
    <s v="CC934820"/>
    <s v="C222"/>
    <d v="2022-01-11T00:00:00"/>
    <d v="1899-12-30T13:56:24"/>
    <s v="Jan"/>
    <n v="303440"/>
    <s v="INR"/>
    <n v="54360"/>
    <x v="7"/>
    <x v="6"/>
    <s v="NA"/>
    <s v="NA"/>
    <s v="Tuesday"/>
    <s v="Within"/>
    <x v="0"/>
    <x v="1"/>
    <s v="Jan"/>
    <x v="0"/>
  </r>
  <r>
    <n v="532"/>
    <s v="2122F51875"/>
    <n v="2122273"/>
    <s v="CC738544"/>
    <s v="C213"/>
    <d v="2022-01-12T00:00:00"/>
    <d v="1899-12-30T11:30:19"/>
    <s v="Jan"/>
    <n v="492290"/>
    <s v="INR"/>
    <n v="88380"/>
    <x v="11"/>
    <x v="1"/>
    <s v="NA"/>
    <s v="NA"/>
    <s v="Wednesday"/>
    <s v="Within"/>
    <x v="0"/>
    <x v="1"/>
    <s v="Jan"/>
    <x v="0"/>
  </r>
  <r>
    <n v="533"/>
    <s v="2122V01680"/>
    <n v="2122274"/>
    <s v="CC442974"/>
    <s v="C244"/>
    <d v="2022-01-12T00:00:00"/>
    <d v="1899-12-30T13:30:51"/>
    <s v="Jan"/>
    <n v="307090"/>
    <s v="INR"/>
    <n v="54900"/>
    <x v="2"/>
    <x v="0"/>
    <s v="NA"/>
    <s v="NA"/>
    <s v="Wednesday"/>
    <s v="Within"/>
    <x v="0"/>
    <x v="1"/>
    <s v="Jan"/>
    <x v="0"/>
  </r>
  <r>
    <n v="534"/>
    <s v="2122U61368"/>
    <n v="2122275"/>
    <s v="CC332796"/>
    <s v="C236"/>
    <d v="2022-01-16T00:00:00"/>
    <d v="1899-12-30T12:26:19"/>
    <s v="Jan"/>
    <n v="4847720"/>
    <s v="INR"/>
    <n v="872100"/>
    <x v="5"/>
    <x v="4"/>
    <s v="NA"/>
    <s v="NA"/>
    <s v="Sunday"/>
    <s v="Within"/>
    <x v="1"/>
    <x v="1"/>
    <s v="Jan"/>
    <x v="1"/>
  </r>
  <r>
    <n v="535"/>
    <s v="2122P01743"/>
    <n v="2122276"/>
    <s v="CC248150"/>
    <s v="C227"/>
    <d v="2022-01-13T00:00:00"/>
    <d v="1899-12-30T12:34:49"/>
    <s v="Jan"/>
    <n v="434150"/>
    <s v="INR"/>
    <n v="77760"/>
    <x v="0"/>
    <x v="10"/>
    <s v="NA"/>
    <s v="NA"/>
    <s v="Thursday"/>
    <s v="Within"/>
    <x v="0"/>
    <x v="1"/>
    <s v="Jan"/>
    <x v="0"/>
  </r>
  <r>
    <n v="536"/>
    <s v="2122I81670"/>
    <n v="2122277"/>
    <s v="CC695273"/>
    <s v="C244"/>
    <d v="2022-01-14T00:00:00"/>
    <d v="1899-12-30T13:21:52"/>
    <s v="Jan"/>
    <n v="220400"/>
    <s v="INR"/>
    <n v="39600"/>
    <x v="0"/>
    <x v="6"/>
    <s v="NA"/>
    <s v="NA"/>
    <s v="Friday"/>
    <s v="Within"/>
    <x v="0"/>
    <x v="1"/>
    <s v="Jan"/>
    <x v="0"/>
  </r>
  <r>
    <n v="537"/>
    <s v="2122V31173"/>
    <n v="2122278"/>
    <s v="CC795926"/>
    <s v="C242"/>
    <d v="2022-01-15T00:00:00"/>
    <d v="1899-12-30T16:06:14"/>
    <s v="Jan"/>
    <n v="35350"/>
    <s v="INR"/>
    <n v="6120"/>
    <x v="18"/>
    <x v="12"/>
    <s v="NA"/>
    <s v="NA"/>
    <s v="Saturday"/>
    <s v="Within"/>
    <x v="0"/>
    <x v="1"/>
    <s v="Jan"/>
    <x v="0"/>
  </r>
  <r>
    <n v="538"/>
    <s v="2122S62000"/>
    <n v="2122279"/>
    <s v="CC885617"/>
    <s v="C204"/>
    <d v="2022-01-17T00:00:00"/>
    <d v="1899-12-30T13:44:43"/>
    <s v="Jan"/>
    <n v="461940"/>
    <s v="INR"/>
    <n v="82980"/>
    <x v="6"/>
    <x v="0"/>
    <s v="NA"/>
    <s v="NA"/>
    <s v="Monday"/>
    <s v="Within"/>
    <x v="0"/>
    <x v="1"/>
    <s v="Jan"/>
    <x v="0"/>
  </r>
  <r>
    <n v="539"/>
    <s v="2122K71713"/>
    <n v="2122280"/>
    <s v="CC551461"/>
    <s v="C230"/>
    <d v="2022-01-17T00:00:00"/>
    <d v="1899-12-30T17:56:57"/>
    <s v="Jan"/>
    <n v="36930"/>
    <s v="INR"/>
    <n v="6300"/>
    <x v="20"/>
    <x v="7"/>
    <s v="NA"/>
    <s v="NA"/>
    <s v="Monday"/>
    <s v="Within"/>
    <x v="0"/>
    <x v="1"/>
    <s v="Jan"/>
    <x v="0"/>
  </r>
  <r>
    <n v="540"/>
    <s v="2122W81761"/>
    <n v="2122281"/>
    <s v="CC672893"/>
    <s v="C239"/>
    <d v="2022-01-22T00:00:00"/>
    <d v="1899-12-30T19:25:00"/>
    <s v="Jan"/>
    <n v="4651520"/>
    <s v="INR"/>
    <n v="836820"/>
    <x v="5"/>
    <x v="4"/>
    <s v="NA"/>
    <s v="NA"/>
    <s v="Saturday"/>
    <s v="Outside"/>
    <x v="1"/>
    <x v="1"/>
    <s v="Jan"/>
    <x v="1"/>
  </r>
  <r>
    <n v="541"/>
    <s v="2122P81589"/>
    <n v="2122282"/>
    <s v="CC730447"/>
    <s v="C230"/>
    <d v="2022-01-19T00:00:00"/>
    <d v="1899-12-30T15:20:01"/>
    <s v="Jan"/>
    <n v="23120"/>
    <s v="INR"/>
    <n v="4140"/>
    <x v="10"/>
    <x v="9"/>
    <s v="NA"/>
    <s v="NA"/>
    <s v="Wednesday"/>
    <s v="Within"/>
    <x v="0"/>
    <x v="1"/>
    <s v="Jan"/>
    <x v="0"/>
  </r>
  <r>
    <n v="542"/>
    <s v="2122H61759"/>
    <n v="2122283"/>
    <s v="CC245152"/>
    <s v="C217"/>
    <d v="2022-01-20T00:00:00"/>
    <d v="1899-12-30T12:37:37"/>
    <s v="Jan"/>
    <n v="427480"/>
    <s v="INR"/>
    <n v="76860"/>
    <x v="7"/>
    <x v="5"/>
    <s v="NA"/>
    <s v="NA"/>
    <s v="Thursday"/>
    <s v="Within"/>
    <x v="0"/>
    <x v="1"/>
    <s v="Jan"/>
    <x v="0"/>
  </r>
  <r>
    <n v="543"/>
    <s v="2122D61097"/>
    <n v="2122284"/>
    <s v="CC893209"/>
    <s v="C218"/>
    <d v="2022-01-20T00:00:00"/>
    <d v="1899-12-30T17:01:17"/>
    <s v="Jan"/>
    <n v="29260"/>
    <s v="INR"/>
    <n v="5040"/>
    <x v="14"/>
    <x v="9"/>
    <s v="NA"/>
    <s v="NA"/>
    <s v="Thursday"/>
    <s v="Within"/>
    <x v="0"/>
    <x v="1"/>
    <s v="Jan"/>
    <x v="0"/>
  </r>
  <r>
    <n v="544"/>
    <s v="2122Z91735"/>
    <n v="2122285"/>
    <s v="CC962087"/>
    <s v="C213"/>
    <d v="2022-01-20T00:00:00"/>
    <d v="1899-12-30T10:42:24"/>
    <s v="Jan"/>
    <n v="6181180"/>
    <s v="INR"/>
    <n v="1112220"/>
    <x v="5"/>
    <x v="4"/>
    <s v="Approved"/>
    <s v="BM/CC962087C213"/>
    <s v="Thursday"/>
    <s v="Within"/>
    <x v="0"/>
    <x v="1"/>
    <s v="Jan"/>
    <x v="0"/>
  </r>
  <r>
    <n v="545"/>
    <s v="2122N11891"/>
    <n v="2122286"/>
    <s v="CC542097"/>
    <s v="C245"/>
    <d v="2022-01-22T00:00:00"/>
    <d v="1899-12-30T11:54:52"/>
    <s v="Jan"/>
    <n v="41050"/>
    <s v="INR"/>
    <n v="7020"/>
    <x v="13"/>
    <x v="3"/>
    <s v="NA"/>
    <s v="NA"/>
    <s v="Saturday"/>
    <s v="Within"/>
    <x v="0"/>
    <x v="1"/>
    <s v="Jan"/>
    <x v="0"/>
  </r>
  <r>
    <n v="546"/>
    <s v="2122F11571"/>
    <n v="2122287"/>
    <s v="CC951164"/>
    <s v="C230"/>
    <d v="2022-01-22T00:00:00"/>
    <d v="1899-12-30T12:13:42"/>
    <s v="Jan"/>
    <n v="470540"/>
    <s v="INR"/>
    <n v="84240"/>
    <x v="11"/>
    <x v="6"/>
    <s v="NA"/>
    <s v="NA"/>
    <s v="Saturday"/>
    <s v="Within"/>
    <x v="0"/>
    <x v="1"/>
    <s v="Jan"/>
    <x v="0"/>
  </r>
  <r>
    <n v="547"/>
    <s v="2122T01886"/>
    <n v="2122288"/>
    <s v="CC495320"/>
    <s v="C203"/>
    <d v="2022-01-24T00:00:00"/>
    <d v="1899-12-30T11:51:08"/>
    <s v="Jan"/>
    <n v="37310"/>
    <s v="INR"/>
    <n v="6660"/>
    <x v="14"/>
    <x v="12"/>
    <s v="NA"/>
    <s v="NA"/>
    <s v="Monday"/>
    <s v="Within"/>
    <x v="0"/>
    <x v="1"/>
    <s v="Jan"/>
    <x v="0"/>
  </r>
  <r>
    <n v="548"/>
    <s v="2122Q61371"/>
    <n v="2122289"/>
    <s v="CC108757"/>
    <s v="C241"/>
    <d v="2022-01-25T00:00:00"/>
    <d v="1899-12-30T11:39:04"/>
    <s v="Jan"/>
    <n v="4724620"/>
    <s v="INR"/>
    <n v="850320"/>
    <x v="5"/>
    <x v="4"/>
    <s v="NA"/>
    <s v="NA"/>
    <s v="Tuesday"/>
    <s v="Within"/>
    <x v="0"/>
    <x v="1"/>
    <s v="Jan"/>
    <x v="0"/>
  </r>
  <r>
    <n v="549"/>
    <s v="2122K81278"/>
    <n v="2122290"/>
    <s v="CC876017"/>
    <s v="C218"/>
    <d v="2022-01-25T00:00:00"/>
    <d v="1899-12-30T17:42:15"/>
    <s v="Jan"/>
    <n v="33250"/>
    <s v="INR"/>
    <n v="5940"/>
    <x v="13"/>
    <x v="11"/>
    <s v="NA"/>
    <s v="NA"/>
    <s v="Tuesday"/>
    <s v="Within"/>
    <x v="0"/>
    <x v="1"/>
    <s v="Jan"/>
    <x v="0"/>
  </r>
  <r>
    <n v="550"/>
    <s v="2122V31640"/>
    <n v="2122291"/>
    <s v="CC658147"/>
    <s v="C212"/>
    <d v="2022-01-26T00:00:00"/>
    <d v="1899-12-30T14:16:38"/>
    <s v="Jan"/>
    <n v="41260"/>
    <s v="INR"/>
    <n v="7020"/>
    <x v="15"/>
    <x v="14"/>
    <s v="NA"/>
    <s v="NA"/>
    <s v="Wednesday"/>
    <s v="Within"/>
    <x v="0"/>
    <x v="1"/>
    <s v="Jan"/>
    <x v="0"/>
  </r>
  <r>
    <n v="551"/>
    <s v="2122Q61526"/>
    <n v="2122292"/>
    <s v="CC800130"/>
    <s v="C212"/>
    <d v="2022-01-27T00:00:00"/>
    <d v="1899-12-30T15:16:47"/>
    <s v="Jan"/>
    <n v="375630"/>
    <s v="INR"/>
    <n v="67140"/>
    <x v="8"/>
    <x v="10"/>
    <s v="NA"/>
    <s v="NA"/>
    <s v="Thursday"/>
    <s v="Within"/>
    <x v="0"/>
    <x v="1"/>
    <s v="Jan"/>
    <x v="0"/>
  </r>
  <r>
    <n v="552"/>
    <s v="2122L41908"/>
    <n v="2122293"/>
    <s v="CC875178"/>
    <s v="C233"/>
    <d v="2022-01-28T00:00:00"/>
    <d v="1899-12-30T12:10:08"/>
    <s v="Jan"/>
    <n v="258730"/>
    <s v="INR"/>
    <n v="46080"/>
    <x v="8"/>
    <x v="10"/>
    <s v="NA"/>
    <s v="NA"/>
    <s v="Friday"/>
    <s v="Within"/>
    <x v="0"/>
    <x v="1"/>
    <s v="Jan"/>
    <x v="0"/>
  </r>
  <r>
    <n v="553"/>
    <s v="2122N11632"/>
    <n v="2122294"/>
    <s v="CC979929"/>
    <s v="C204"/>
    <d v="2022-01-29T00:00:00"/>
    <d v="1899-12-30T17:41:55"/>
    <s v="Jan"/>
    <n v="474250"/>
    <s v="INR"/>
    <n v="85320"/>
    <x v="1"/>
    <x v="5"/>
    <s v="NA"/>
    <s v="NA"/>
    <s v="Saturday"/>
    <s v="Within"/>
    <x v="0"/>
    <x v="1"/>
    <s v="Jan"/>
    <x v="0"/>
  </r>
  <r>
    <n v="554"/>
    <s v="2122I71629"/>
    <n v="2122295"/>
    <s v="CC992885"/>
    <s v="C224"/>
    <d v="2022-01-31T00:00:00"/>
    <d v="1899-12-30T12:44:44"/>
    <s v="Jan"/>
    <n v="469070"/>
    <s v="INR"/>
    <n v="84240"/>
    <x v="6"/>
    <x v="5"/>
    <s v="NA"/>
    <s v="NA"/>
    <s v="Monday"/>
    <s v="Within"/>
    <x v="0"/>
    <x v="1"/>
    <s v="Jan"/>
    <x v="0"/>
  </r>
  <r>
    <n v="555"/>
    <s v="2122U31007"/>
    <n v="2122296"/>
    <s v="CC987022"/>
    <s v="C221"/>
    <d v="2022-01-31T00:00:00"/>
    <d v="1899-12-30T10:25:57"/>
    <s v="Jan"/>
    <n v="374000"/>
    <s v="INR"/>
    <n v="66960"/>
    <x v="8"/>
    <x v="10"/>
    <s v="NA"/>
    <s v="NA"/>
    <s v="Monday"/>
    <s v="Within"/>
    <x v="0"/>
    <x v="1"/>
    <s v="Jan"/>
    <x v="0"/>
  </r>
  <r>
    <n v="556"/>
    <s v="2122J01967"/>
    <n v="2122297"/>
    <s v="CC407460"/>
    <s v="C247"/>
    <d v="2022-02-02T00:00:00"/>
    <d v="1899-12-30T12:17:26"/>
    <s v="Feb"/>
    <n v="309640"/>
    <s v="INR"/>
    <n v="55260"/>
    <x v="8"/>
    <x v="1"/>
    <s v="NA"/>
    <s v="NA"/>
    <s v="Wednesday"/>
    <s v="Within"/>
    <x v="0"/>
    <x v="1"/>
    <s v="Feb"/>
    <x v="0"/>
  </r>
  <r>
    <n v="557"/>
    <s v="2122J61173"/>
    <n v="2122298"/>
    <s v="CC555392"/>
    <s v="C229"/>
    <d v="2022-02-02T00:00:00"/>
    <d v="1899-12-30T16:26:33"/>
    <s v="Feb"/>
    <n v="334090"/>
    <s v="INR"/>
    <n v="59760"/>
    <x v="1"/>
    <x v="5"/>
    <s v="NA"/>
    <s v="NA"/>
    <s v="Wednesday"/>
    <s v="Within"/>
    <x v="0"/>
    <x v="1"/>
    <s v="Feb"/>
    <x v="0"/>
  </r>
  <r>
    <n v="558"/>
    <s v="2122T81846"/>
    <n v="2122299"/>
    <s v="CC715776"/>
    <s v="C217"/>
    <d v="2022-02-03T00:00:00"/>
    <d v="1899-12-30T15:50:25"/>
    <s v="Feb"/>
    <n v="390070"/>
    <s v="INR"/>
    <n v="70020"/>
    <x v="1"/>
    <x v="10"/>
    <s v="NA"/>
    <s v="NA"/>
    <s v="Thursday"/>
    <s v="Within"/>
    <x v="0"/>
    <x v="1"/>
    <s v="Feb"/>
    <x v="0"/>
  </r>
  <r>
    <n v="559"/>
    <s v="2122O71090"/>
    <n v="2122300"/>
    <s v="CC889578"/>
    <s v="C237"/>
    <d v="2022-02-04T00:00:00"/>
    <d v="1899-12-30T17:44:59"/>
    <s v="Feb"/>
    <n v="493930"/>
    <s v="INR"/>
    <n v="88560"/>
    <x v="6"/>
    <x v="6"/>
    <s v="NA"/>
    <s v="NA"/>
    <s v="Friday"/>
    <s v="Within"/>
    <x v="0"/>
    <x v="1"/>
    <s v="Feb"/>
    <x v="1"/>
  </r>
  <r>
    <n v="560"/>
    <s v="2122N21219"/>
    <n v="2122301"/>
    <s v="CC438197"/>
    <s v="C209"/>
    <d v="2022-02-04T00:00:00"/>
    <d v="1899-12-30T14:05:28"/>
    <s v="Feb"/>
    <n v="331430"/>
    <s v="INR"/>
    <n v="59220"/>
    <x v="7"/>
    <x v="5"/>
    <s v="NA"/>
    <s v="NA"/>
    <s v="Friday"/>
    <s v="Within"/>
    <x v="0"/>
    <x v="1"/>
    <s v="Feb"/>
    <x v="0"/>
  </r>
  <r>
    <n v="561"/>
    <s v="2122I61648"/>
    <n v="2122302"/>
    <s v="CC358877"/>
    <s v="C224"/>
    <d v="2022-02-07T00:00:00"/>
    <d v="1899-12-30T15:01:33"/>
    <s v="Feb"/>
    <n v="214780"/>
    <s v="INR"/>
    <n v="38340"/>
    <x v="6"/>
    <x v="10"/>
    <s v="NA"/>
    <s v="NA"/>
    <s v="Monday"/>
    <s v="Within"/>
    <x v="0"/>
    <x v="1"/>
    <s v="Feb"/>
    <x v="0"/>
  </r>
  <r>
    <n v="562"/>
    <s v="2122B21220"/>
    <n v="2122303"/>
    <s v="CC832673"/>
    <s v="C226"/>
    <d v="2022-02-07T00:00:00"/>
    <d v="1899-12-30T15:03:24"/>
    <s v="Feb"/>
    <n v="391210"/>
    <s v="INR"/>
    <n v="70200"/>
    <x v="0"/>
    <x v="10"/>
    <s v="NA"/>
    <s v="NA"/>
    <s v="Monday"/>
    <s v="Within"/>
    <x v="0"/>
    <x v="1"/>
    <s v="Feb"/>
    <x v="0"/>
  </r>
  <r>
    <n v="563"/>
    <s v="2122Z71163"/>
    <n v="2122304"/>
    <s v="CC801174"/>
    <s v="C215"/>
    <d v="2022-02-08T00:00:00"/>
    <d v="1899-12-30T14:46:19"/>
    <s v="Feb"/>
    <n v="375580"/>
    <s v="INR"/>
    <n v="67140"/>
    <x v="1"/>
    <x v="0"/>
    <s v="NA"/>
    <s v="NA"/>
    <s v="Tuesday"/>
    <s v="Within"/>
    <x v="0"/>
    <x v="1"/>
    <s v="Feb"/>
    <x v="0"/>
  </r>
  <r>
    <n v="564"/>
    <s v="2122S01090"/>
    <n v="2122305"/>
    <s v="CC808662"/>
    <s v="C240"/>
    <d v="2022-02-10T00:00:00"/>
    <d v="1899-12-30T10:52:15"/>
    <s v="Feb"/>
    <n v="42400"/>
    <s v="INR"/>
    <n v="7200"/>
    <x v="3"/>
    <x v="12"/>
    <s v="NA"/>
    <s v="NA"/>
    <s v="Thursday"/>
    <s v="Within"/>
    <x v="0"/>
    <x v="1"/>
    <s v="Feb"/>
    <x v="1"/>
  </r>
  <r>
    <n v="565"/>
    <s v="2122Z81103"/>
    <n v="2122306"/>
    <s v="CC511907"/>
    <s v="C200"/>
    <d v="2022-02-12T00:00:00"/>
    <d v="1899-12-30T15:04:57"/>
    <s v="Feb"/>
    <n v="36250"/>
    <s v="INR"/>
    <n v="6480"/>
    <x v="18"/>
    <x v="14"/>
    <s v="NA"/>
    <s v="NA"/>
    <s v="Saturday"/>
    <s v="Within"/>
    <x v="0"/>
    <x v="1"/>
    <s v="Feb"/>
    <x v="0"/>
  </r>
  <r>
    <n v="566"/>
    <s v="2122R31053"/>
    <n v="2122307"/>
    <s v="CC519270"/>
    <s v="C216"/>
    <d v="2022-02-12T00:00:00"/>
    <d v="1899-12-30T14:08:48"/>
    <s v="Feb"/>
    <n v="36140"/>
    <s v="INR"/>
    <n v="6480"/>
    <x v="10"/>
    <x v="7"/>
    <s v="NA"/>
    <s v="NA"/>
    <s v="Saturday"/>
    <s v="Within"/>
    <x v="0"/>
    <x v="1"/>
    <s v="Feb"/>
    <x v="0"/>
  </r>
  <r>
    <n v="567"/>
    <s v="2122F71740"/>
    <n v="2122308"/>
    <s v="CC544672"/>
    <s v="C236"/>
    <d v="2022-02-14T00:00:00"/>
    <d v="1899-12-30T17:26:39"/>
    <s v="Feb"/>
    <n v="49630"/>
    <s v="INR"/>
    <n v="8640"/>
    <x v="14"/>
    <x v="7"/>
    <s v="NA"/>
    <s v="NA"/>
    <s v="Monday"/>
    <s v="Within"/>
    <x v="0"/>
    <x v="1"/>
    <s v="Feb"/>
    <x v="1"/>
  </r>
  <r>
    <n v="568"/>
    <s v="2122F71004"/>
    <n v="2122309"/>
    <s v="CC979809"/>
    <s v="C234"/>
    <d v="2022-02-15T00:00:00"/>
    <d v="1899-12-30T17:38:37"/>
    <s v="Jan"/>
    <n v="37690"/>
    <s v="INR"/>
    <n v="6480"/>
    <x v="3"/>
    <x v="2"/>
    <s v="NA"/>
    <s v="NA"/>
    <s v="Tuesday"/>
    <s v="Within"/>
    <x v="0"/>
    <x v="1"/>
    <s v="Feb"/>
    <x v="0"/>
  </r>
  <r>
    <n v="569"/>
    <s v="2122H61434"/>
    <n v="2122310"/>
    <s v="CC472118"/>
    <s v="C248"/>
    <d v="2022-02-15T00:00:00"/>
    <d v="1899-12-30T12:26:15"/>
    <s v="Feb"/>
    <n v="28720"/>
    <s v="INR"/>
    <n v="4860"/>
    <x v="19"/>
    <x v="14"/>
    <s v="NA"/>
    <s v="NA"/>
    <s v="Tuesday"/>
    <s v="Within"/>
    <x v="0"/>
    <x v="1"/>
    <s v="Feb"/>
    <x v="0"/>
  </r>
  <r>
    <n v="570"/>
    <s v="2122V92000"/>
    <n v="2122311"/>
    <s v="CC452480"/>
    <s v="C201"/>
    <d v="2022-02-16T00:00:00"/>
    <d v="1899-12-30T13:42:30"/>
    <s v="Feb"/>
    <n v="28380"/>
    <s v="INR"/>
    <n v="4680"/>
    <x v="15"/>
    <x v="14"/>
    <s v="NA"/>
    <s v="NA"/>
    <s v="Wednesday"/>
    <s v="Within"/>
    <x v="0"/>
    <x v="1"/>
    <s v="Feb"/>
    <x v="0"/>
  </r>
  <r>
    <n v="571"/>
    <s v="2122O81518"/>
    <n v="2122312"/>
    <s v="CC972557"/>
    <s v="C243"/>
    <d v="2022-02-18T00:00:00"/>
    <d v="1899-12-30T11:40:41"/>
    <s v="Feb"/>
    <n v="25650"/>
    <s v="INR"/>
    <n v="4320"/>
    <x v="3"/>
    <x v="11"/>
    <s v="NA"/>
    <s v="NA"/>
    <s v="Friday"/>
    <s v="Within"/>
    <x v="0"/>
    <x v="1"/>
    <s v="Feb"/>
    <x v="0"/>
  </r>
  <r>
    <n v="572"/>
    <s v="2122U51882"/>
    <n v="2122313"/>
    <s v="CC193628"/>
    <s v="C227"/>
    <d v="2022-02-18T00:00:00"/>
    <d v="1899-12-30T14:16:22"/>
    <s v="Feb"/>
    <n v="40930"/>
    <s v="INR"/>
    <n v="7020"/>
    <x v="13"/>
    <x v="3"/>
    <s v="NA"/>
    <s v="NA"/>
    <s v="Friday"/>
    <s v="Within"/>
    <x v="0"/>
    <x v="1"/>
    <s v="Feb"/>
    <x v="0"/>
  </r>
  <r>
    <n v="573"/>
    <s v="2122D81263"/>
    <n v="2122314"/>
    <s v="CC315155"/>
    <s v="C204"/>
    <d v="2022-02-19T00:00:00"/>
    <d v="1899-12-30T10:37:08"/>
    <s v="Jan"/>
    <n v="29840"/>
    <s v="INR"/>
    <n v="5220"/>
    <x v="10"/>
    <x v="3"/>
    <s v="NA"/>
    <s v="NA"/>
    <s v="Saturday"/>
    <s v="Within"/>
    <x v="0"/>
    <x v="1"/>
    <s v="Feb"/>
    <x v="0"/>
  </r>
  <r>
    <n v="574"/>
    <s v="2122M11982"/>
    <n v="2122315"/>
    <s v="CC817711"/>
    <s v="C231"/>
    <d v="2022-02-21T00:00:00"/>
    <d v="1899-12-30T14:23:11"/>
    <s v="Feb"/>
    <n v="328880"/>
    <s v="INR"/>
    <n v="59040"/>
    <x v="8"/>
    <x v="6"/>
    <s v="NA"/>
    <s v="NA"/>
    <s v="Monday"/>
    <s v="Within"/>
    <x v="0"/>
    <x v="1"/>
    <s v="Feb"/>
    <x v="0"/>
  </r>
  <r>
    <n v="575"/>
    <s v="2122D81367"/>
    <n v="2122316"/>
    <s v="CC904214"/>
    <s v="C245"/>
    <d v="2022-02-21T00:00:00"/>
    <d v="1899-12-30T10:00:34"/>
    <s v="Feb"/>
    <n v="4474800"/>
    <s v="INR"/>
    <n v="805140"/>
    <x v="21"/>
    <x v="13"/>
    <s v="NA"/>
    <s v="NA"/>
    <s v="Monday"/>
    <s v="Within"/>
    <x v="0"/>
    <x v="1"/>
    <s v="Feb"/>
    <x v="0"/>
  </r>
  <r>
    <n v="576"/>
    <s v="2122G21024"/>
    <n v="2122317"/>
    <s v="CC610840"/>
    <s v="C220"/>
    <d v="2022-02-24T00:00:00"/>
    <d v="1899-12-30T17:59:40"/>
    <s v="Feb"/>
    <n v="226040"/>
    <s v="INR"/>
    <n v="40320"/>
    <x v="8"/>
    <x v="10"/>
    <s v="NA"/>
    <s v="NA"/>
    <s v="Thursday"/>
    <s v="Within"/>
    <x v="0"/>
    <x v="1"/>
    <s v="Feb"/>
    <x v="0"/>
  </r>
  <r>
    <n v="577"/>
    <s v="2122J21867"/>
    <n v="2122318"/>
    <s v="CC305363"/>
    <s v="C247"/>
    <d v="2022-02-24T00:00:00"/>
    <d v="1899-12-30T11:52:07"/>
    <s v="Feb"/>
    <n v="287210"/>
    <s v="INR"/>
    <n v="51480"/>
    <x v="11"/>
    <x v="6"/>
    <s v="NA"/>
    <s v="NA"/>
    <s v="Thursday"/>
    <s v="Within"/>
    <x v="0"/>
    <x v="1"/>
    <s v="Feb"/>
    <x v="0"/>
  </r>
  <r>
    <n v="578"/>
    <s v="2122M91789"/>
    <n v="2122319"/>
    <s v="CC472345"/>
    <s v="C222"/>
    <d v="2022-02-26T00:00:00"/>
    <d v="1899-12-30T16:18:43"/>
    <s v="Feb"/>
    <n v="44400"/>
    <s v="INR"/>
    <n v="7920"/>
    <x v="14"/>
    <x v="2"/>
    <s v="NA"/>
    <s v="NA"/>
    <s v="Saturday"/>
    <s v="Within"/>
    <x v="0"/>
    <x v="1"/>
    <s v="Feb"/>
    <x v="0"/>
  </r>
  <r>
    <n v="579"/>
    <s v="2122W21441"/>
    <n v="2122320"/>
    <s v="CC444291"/>
    <s v="C237"/>
    <d v="2022-02-28T00:00:00"/>
    <d v="1899-12-30T12:06:19"/>
    <s v="Jan"/>
    <n v="364910"/>
    <s v="INR"/>
    <n v="65340"/>
    <x v="11"/>
    <x v="1"/>
    <s v="NA"/>
    <s v="NA"/>
    <s v="Monday"/>
    <s v="Within"/>
    <x v="0"/>
    <x v="1"/>
    <s v="Feb"/>
    <x v="1"/>
  </r>
  <r>
    <n v="580"/>
    <s v="2122Y11228"/>
    <n v="2122321"/>
    <s v="CC913406"/>
    <s v="C212"/>
    <d v="2022-02-28T00:00:00"/>
    <d v="1899-12-30T17:41:02"/>
    <s v="Feb"/>
    <n v="372850"/>
    <s v="INR"/>
    <n v="66780"/>
    <x v="8"/>
    <x v="0"/>
    <s v="NA"/>
    <s v="NA"/>
    <s v="Monday"/>
    <s v="Within"/>
    <x v="0"/>
    <x v="1"/>
    <s v="Feb"/>
    <x v="0"/>
  </r>
  <r>
    <n v="581"/>
    <s v="2122X31510"/>
    <n v="2122322"/>
    <s v="CC887540"/>
    <s v="C245"/>
    <d v="2022-02-28T00:00:00"/>
    <d v="1899-12-30T12:36:15"/>
    <s v="Feb"/>
    <n v="2734330"/>
    <s v="INR"/>
    <n v="491940"/>
    <x v="17"/>
    <x v="13"/>
    <s v="NA"/>
    <s v="NA"/>
    <s v="Monday"/>
    <s v="Within"/>
    <x v="0"/>
    <x v="1"/>
    <s v="Feb"/>
    <x v="0"/>
  </r>
  <r>
    <n v="582"/>
    <s v="2122Z41398"/>
    <n v="2122323"/>
    <s v="CC250641"/>
    <s v="C245"/>
    <d v="2022-02-28T00:00:00"/>
    <d v="1899-12-30T12:48:06"/>
    <s v="Feb"/>
    <n v="252560"/>
    <s v="INR"/>
    <n v="45000"/>
    <x v="1"/>
    <x v="6"/>
    <s v="NA"/>
    <s v="NA"/>
    <s v="Monday"/>
    <s v="Within"/>
    <x v="0"/>
    <x v="1"/>
    <s v="Feb"/>
    <x v="0"/>
  </r>
  <r>
    <n v="583"/>
    <s v="2122G11593"/>
    <n v="2122324"/>
    <s v="CC383194"/>
    <s v="C220"/>
    <d v="2022-02-28T00:00:00"/>
    <d v="1899-12-30T12:26:52"/>
    <s v="Feb"/>
    <n v="464250"/>
    <s v="INR"/>
    <n v="83340"/>
    <x v="2"/>
    <x v="1"/>
    <s v="NA"/>
    <s v="NA"/>
    <s v="Monday"/>
    <s v="Within"/>
    <x v="0"/>
    <x v="1"/>
    <s v="Feb"/>
    <x v="0"/>
  </r>
  <r>
    <n v="584"/>
    <s v="2122X31771"/>
    <n v="2122325"/>
    <s v="CC265814"/>
    <s v="C227"/>
    <d v="2022-03-02T00:00:00"/>
    <d v="1899-12-30T11:51:29"/>
    <s v="Mar"/>
    <n v="314240"/>
    <s v="INR"/>
    <n v="56340"/>
    <x v="2"/>
    <x v="10"/>
    <s v="NA"/>
    <s v="NA"/>
    <s v="Wednesday"/>
    <s v="Within"/>
    <x v="0"/>
    <x v="1"/>
    <s v="Mar"/>
    <x v="0"/>
  </r>
  <r>
    <n v="585"/>
    <s v="2122O21911"/>
    <n v="2122326"/>
    <s v="CC500468"/>
    <s v="C231"/>
    <d v="2022-03-03T00:00:00"/>
    <d v="1899-12-30T15:03:40"/>
    <s v="Mar"/>
    <n v="400060"/>
    <s v="INR"/>
    <n v="71640"/>
    <x v="0"/>
    <x v="0"/>
    <s v="NA"/>
    <s v="NA"/>
    <s v="Thursday"/>
    <s v="Within"/>
    <x v="0"/>
    <x v="1"/>
    <s v="Mar"/>
    <x v="0"/>
  </r>
  <r>
    <n v="586"/>
    <s v="2122S71061"/>
    <n v="2122327"/>
    <s v="CC388908"/>
    <s v="C215"/>
    <d v="2022-03-04T00:00:00"/>
    <d v="1899-12-30T12:35:01"/>
    <s v="Mar"/>
    <n v="353670"/>
    <s v="INR"/>
    <n v="63540"/>
    <x v="11"/>
    <x v="1"/>
    <s v="NA"/>
    <s v="NA"/>
    <s v="Friday"/>
    <s v="Within"/>
    <x v="0"/>
    <x v="1"/>
    <s v="Mar"/>
    <x v="0"/>
  </r>
  <r>
    <n v="587"/>
    <s v="2122G31364"/>
    <n v="2122328"/>
    <s v="CC554784"/>
    <s v="C213"/>
    <d v="2022-03-11T00:00:00"/>
    <d v="1899-12-30T15:52:51"/>
    <s v="Mar"/>
    <n v="333210"/>
    <s v="INR"/>
    <n v="59940"/>
    <x v="8"/>
    <x v="6"/>
    <s v="NA"/>
    <s v="NA"/>
    <s v="Friday"/>
    <s v="Within"/>
    <x v="0"/>
    <x v="1"/>
    <s v="Mar"/>
    <x v="0"/>
  </r>
  <r>
    <n v="588"/>
    <s v="2122T21468"/>
    <n v="2122329"/>
    <s v="CC717904"/>
    <s v="C222"/>
    <d v="2022-03-12T00:00:00"/>
    <d v="1899-12-30T17:55:23"/>
    <s v="Mar"/>
    <n v="319140"/>
    <s v="INR"/>
    <n v="57060"/>
    <x v="7"/>
    <x v="6"/>
    <s v="NA"/>
    <s v="NA"/>
    <s v="Saturday"/>
    <s v="Within"/>
    <x v="0"/>
    <x v="1"/>
    <s v="Mar"/>
    <x v="0"/>
  </r>
  <r>
    <n v="589"/>
    <s v="2122H41555"/>
    <n v="2122330"/>
    <s v="CC574535"/>
    <s v="C245"/>
    <d v="2022-03-12T00:00:00"/>
    <d v="1899-12-30T12:16:24"/>
    <s v="Mar"/>
    <n v="242190"/>
    <s v="INR"/>
    <n v="43380"/>
    <x v="7"/>
    <x v="10"/>
    <s v="NA"/>
    <s v="NA"/>
    <s v="Saturday"/>
    <s v="Within"/>
    <x v="0"/>
    <x v="1"/>
    <s v="Mar"/>
    <x v="0"/>
  </r>
  <r>
    <n v="590"/>
    <s v="2122C71145"/>
    <n v="2122331"/>
    <s v="CC238390"/>
    <s v="C217"/>
    <d v="2022-03-14T00:00:00"/>
    <d v="1899-12-30T16:46:50"/>
    <s v="Mar"/>
    <n v="213860"/>
    <s v="INR"/>
    <n v="37980"/>
    <x v="0"/>
    <x v="6"/>
    <s v="NA"/>
    <s v="NA"/>
    <s v="Monday"/>
    <s v="Within"/>
    <x v="0"/>
    <x v="1"/>
    <s v="Mar"/>
    <x v="0"/>
  </r>
  <r>
    <n v="591"/>
    <s v="2122L21212"/>
    <n v="2122332"/>
    <s v="CC498363"/>
    <s v="C213"/>
    <d v="2022-03-14T00:00:00"/>
    <d v="1899-12-30T15:02:30"/>
    <s v="Mar"/>
    <n v="371640"/>
    <s v="INR"/>
    <n v="66600"/>
    <x v="2"/>
    <x v="6"/>
    <s v="NA"/>
    <s v="NA"/>
    <s v="Monday"/>
    <s v="Within"/>
    <x v="0"/>
    <x v="1"/>
    <s v="Mar"/>
    <x v="0"/>
  </r>
  <r>
    <n v="592"/>
    <s v="2122H51497"/>
    <n v="2122333"/>
    <s v="CC116382"/>
    <s v="C204"/>
    <d v="2022-03-14T00:00:00"/>
    <d v="1899-12-30T14:20:52"/>
    <s v="Mar"/>
    <n v="340200"/>
    <s v="INR"/>
    <n v="61200"/>
    <x v="6"/>
    <x v="1"/>
    <s v="NA"/>
    <s v="NA"/>
    <s v="Monday"/>
    <s v="Within"/>
    <x v="0"/>
    <x v="1"/>
    <s v="Mar"/>
    <x v="0"/>
  </r>
  <r>
    <n v="593"/>
    <s v="2122E11668"/>
    <n v="2122334"/>
    <s v="CC620411"/>
    <s v="C211"/>
    <d v="2022-03-14T00:00:00"/>
    <d v="1899-12-30T15:31:09"/>
    <s v="Mar"/>
    <n v="28400"/>
    <s v="INR"/>
    <n v="5040"/>
    <x v="18"/>
    <x v="7"/>
    <s v="NA"/>
    <s v="NA"/>
    <s v="Monday"/>
    <s v="Within"/>
    <x v="0"/>
    <x v="1"/>
    <s v="Mar"/>
    <x v="0"/>
  </r>
  <r>
    <n v="594"/>
    <s v="2122L11016"/>
    <n v="2122335"/>
    <s v="CC869452"/>
    <s v="C245"/>
    <d v="2022-03-14T00:00:00"/>
    <d v="1899-12-30T13:38:06"/>
    <s v="Mar"/>
    <n v="339620"/>
    <s v="INR"/>
    <n v="61020"/>
    <x v="1"/>
    <x v="6"/>
    <s v="NA"/>
    <s v="NA"/>
    <s v="Monday"/>
    <s v="Within"/>
    <x v="0"/>
    <x v="1"/>
    <s v="Mar"/>
    <x v="0"/>
  </r>
  <r>
    <n v="595"/>
    <s v="2122Q21657"/>
    <n v="2122336"/>
    <s v="CC356778"/>
    <s v="C222"/>
    <d v="2022-03-17T00:00:00"/>
    <d v="1899-12-30T16:31:07"/>
    <s v="Mar"/>
    <n v="323830"/>
    <s v="INR"/>
    <n v="57780"/>
    <x v="2"/>
    <x v="1"/>
    <s v="NA"/>
    <s v="NA"/>
    <s v="Thursday"/>
    <s v="Within"/>
    <x v="0"/>
    <x v="1"/>
    <s v="Mar"/>
    <x v="0"/>
  </r>
  <r>
    <n v="596"/>
    <s v="2122H11405"/>
    <n v="2122337"/>
    <s v="CC419255"/>
    <s v="C245"/>
    <d v="2022-03-18T00:00:00"/>
    <d v="1899-12-30T15:43:49"/>
    <s v="Mar"/>
    <n v="37950"/>
    <s v="INR"/>
    <n v="6480"/>
    <x v="10"/>
    <x v="11"/>
    <s v="NA"/>
    <s v="NA"/>
    <s v="Friday"/>
    <s v="Within"/>
    <x v="0"/>
    <x v="1"/>
    <s v="Mar"/>
    <x v="0"/>
  </r>
  <r>
    <n v="597"/>
    <s v="2122E91010"/>
    <n v="2122338"/>
    <s v="CC316789"/>
    <s v="C218"/>
    <d v="2022-03-19T00:00:00"/>
    <d v="1899-12-30T16:26:02"/>
    <s v="Mar"/>
    <n v="316680"/>
    <s v="INR"/>
    <n v="56520"/>
    <x v="6"/>
    <x v="0"/>
    <s v="NA"/>
    <s v="NA"/>
    <s v="Saturday"/>
    <s v="Within"/>
    <x v="0"/>
    <x v="1"/>
    <s v="Mar"/>
    <x v="0"/>
  </r>
  <r>
    <n v="598"/>
    <s v="2122W51561"/>
    <n v="2122339"/>
    <s v="CC726894"/>
    <s v="C237"/>
    <d v="2022-03-21T00:00:00"/>
    <d v="1899-12-30T12:01:51"/>
    <s v="Mar"/>
    <n v="455120"/>
    <s v="INR"/>
    <n v="81720"/>
    <x v="0"/>
    <x v="0"/>
    <s v="NA"/>
    <s v="NA"/>
    <s v="Monday"/>
    <s v="Within"/>
    <x v="0"/>
    <x v="1"/>
    <s v="Mar"/>
    <x v="1"/>
  </r>
  <r>
    <n v="599"/>
    <s v="2122I21665"/>
    <n v="2122340"/>
    <s v="CC360747"/>
    <s v="C203"/>
    <d v="2022-03-21T00:00:00"/>
    <d v="1899-12-30T11:55:58"/>
    <s v="Mar"/>
    <n v="34770"/>
    <s v="INR"/>
    <n v="5760"/>
    <x v="10"/>
    <x v="11"/>
    <s v="NA"/>
    <s v="NA"/>
    <s v="Monday"/>
    <s v="Within"/>
    <x v="0"/>
    <x v="1"/>
    <s v="Mar"/>
    <x v="0"/>
  </r>
  <r>
    <n v="600"/>
    <s v="2122J01328"/>
    <n v="2122341"/>
    <s v="CC650227"/>
    <s v="C214"/>
    <d v="2022-03-21T00:00:00"/>
    <d v="1899-12-30T10:48:02"/>
    <s v="Mar"/>
    <n v="496440"/>
    <s v="INR"/>
    <n v="89280"/>
    <x v="7"/>
    <x v="1"/>
    <s v="NA"/>
    <s v="NA"/>
    <s v="Monday"/>
    <s v="Within"/>
    <x v="0"/>
    <x v="1"/>
    <s v="Mar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600">
  <r>
    <n v="1"/>
    <s v="2021O81900"/>
    <n v="20211"/>
    <s v="CC272485"/>
    <x v="0"/>
    <d v="2020-04-01T00:00:00"/>
    <d v="1899-12-30T10:30:30"/>
    <s v="Apr"/>
    <n v="483830"/>
    <s v="INR"/>
    <n v="86580"/>
    <s v="E115"/>
    <s v="E118"/>
    <s v="NA"/>
    <s v="NA"/>
    <s v="AM"/>
    <s v="DM"/>
    <s v="AM"/>
    <s v="DM"/>
    <s v="PASS"/>
    <s v="NA"/>
    <s v="2021"/>
    <s v="Apr"/>
    <s v="NON-RP"/>
  </r>
  <r>
    <n v="2"/>
    <s v="2021M11625"/>
    <n v="20212"/>
    <s v="CC889281"/>
    <x v="1"/>
    <d v="2020-04-03T00:00:00"/>
    <d v="1899-12-30T10:06:48"/>
    <s v="Apr"/>
    <n v="462100"/>
    <s v="INR"/>
    <n v="82980"/>
    <s v="E111"/>
    <s v="E117"/>
    <s v="NA"/>
    <s v="NA"/>
    <s v="AM"/>
    <s v="DM"/>
    <s v="AM"/>
    <s v="DM"/>
    <s v="PASS"/>
    <s v="NA"/>
    <s v="2021"/>
    <s v="Apr"/>
    <s v="NON-RP"/>
  </r>
  <r>
    <n v="3"/>
    <s v="2021S01216"/>
    <n v="20213"/>
    <s v="CC738783"/>
    <x v="2"/>
    <d v="2020-04-03T00:00:00"/>
    <d v="1899-12-30T11:51:05"/>
    <s v="Apr"/>
    <n v="372600"/>
    <s v="INR"/>
    <n v="66960"/>
    <s v="E116"/>
    <s v="E117"/>
    <s v="NA"/>
    <s v="NA"/>
    <s v="AM"/>
    <s v="DM"/>
    <s v="AM"/>
    <s v="DM"/>
    <s v="PASS"/>
    <s v="NA"/>
    <s v="2021"/>
    <s v="Apr"/>
    <s v="NON-RP"/>
  </r>
  <r>
    <n v="4"/>
    <s v="2021V81178"/>
    <n v="20214"/>
    <s v="CC797872"/>
    <x v="2"/>
    <d v="2020-04-04T00:00:00"/>
    <d v="1899-12-30T17:50:12"/>
    <s v="Apr"/>
    <n v="34370"/>
    <s v="INR"/>
    <n v="6120"/>
    <s v="E103"/>
    <s v="E110"/>
    <s v="NA"/>
    <s v="NA"/>
    <s v="SE"/>
    <s v="AM"/>
    <s v="SE"/>
    <s v="AM"/>
    <s v="PASS"/>
    <s v="NA"/>
    <s v="2021"/>
    <s v="Apr"/>
    <s v="NON-RP"/>
  </r>
  <r>
    <n v="5"/>
    <s v="2021C71611"/>
    <n v="20215"/>
    <s v="CC636860"/>
    <x v="3"/>
    <d v="2020-04-04T00:00:00"/>
    <d v="1899-12-30T13:25:39"/>
    <s v="Apr"/>
    <n v="24190"/>
    <s v="INR"/>
    <n v="3960"/>
    <s v="E102"/>
    <s v="E114"/>
    <s v="NA"/>
    <s v="NA"/>
    <s v="SE"/>
    <s v="AM"/>
    <s v="SE"/>
    <s v="AM"/>
    <s v="PASS"/>
    <s v="NA"/>
    <s v="2021"/>
    <s v="Apr"/>
    <s v="NON-RP"/>
  </r>
  <r>
    <n v="6"/>
    <s v="2021A01928"/>
    <n v="20216"/>
    <s v="CC369548"/>
    <x v="4"/>
    <d v="2020-04-04T00:00:00"/>
    <d v="1899-12-30T13:25:11"/>
    <s v="Apr"/>
    <n v="4841510"/>
    <s v="INR"/>
    <n v="871380"/>
    <s v="E125"/>
    <s v="E126"/>
    <s v="NA"/>
    <s v="NA"/>
    <s v="CM"/>
    <s v="CFO"/>
    <s v="CM"/>
    <s v="CFO"/>
    <s v="PASS"/>
    <s v="NA"/>
    <s v="2021"/>
    <s v="Apr"/>
    <s v="NON-RP"/>
  </r>
  <r>
    <n v="7"/>
    <s v="2021M21757"/>
    <n v="20217"/>
    <s v="CC408705"/>
    <x v="5"/>
    <d v="2020-04-04T00:00:00"/>
    <d v="1899-12-30T16:07:10"/>
    <s v="Apr"/>
    <n v="469180"/>
    <s v="INR"/>
    <n v="84420"/>
    <s v="E112"/>
    <s v="E121"/>
    <s v="NA"/>
    <s v="NA"/>
    <s v="AM"/>
    <s v="DM"/>
    <s v="AM"/>
    <s v="DM"/>
    <s v="PASS"/>
    <s v="NA"/>
    <s v="2021"/>
    <s v="Apr"/>
    <s v="NON-RP"/>
  </r>
  <r>
    <n v="8"/>
    <s v="2021U21062"/>
    <n v="20218"/>
    <s v="CC396439"/>
    <x v="6"/>
    <d v="2020-04-07T00:00:00"/>
    <d v="1899-12-30T10:27:38"/>
    <s v="Apr"/>
    <n v="480710"/>
    <s v="INR"/>
    <n v="86040"/>
    <s v="E114"/>
    <s v="E120"/>
    <s v="NA"/>
    <s v="NA"/>
    <s v="AM"/>
    <s v="DM"/>
    <s v="AM"/>
    <s v="DM"/>
    <s v="PASS"/>
    <s v="NA"/>
    <s v="2021"/>
    <s v="Apr"/>
    <s v="NON-RP"/>
  </r>
  <r>
    <n v="9"/>
    <s v="2021G01389"/>
    <n v="20219"/>
    <s v="CC369136"/>
    <x v="7"/>
    <d v="2020-04-08T00:00:00"/>
    <d v="1899-12-30T13:33:47"/>
    <s v="Apr"/>
    <n v="343170"/>
    <s v="INR"/>
    <n v="61560"/>
    <s v="E115"/>
    <s v="E117"/>
    <s v="NA"/>
    <s v="NA"/>
    <s v="AM"/>
    <s v="DM"/>
    <s v="AM"/>
    <s v="DM"/>
    <s v="PASS"/>
    <s v="NA"/>
    <s v="2021"/>
    <s v="Apr"/>
    <s v="NON-RP"/>
  </r>
  <r>
    <n v="10"/>
    <s v="2021O11170"/>
    <n v="202110"/>
    <s v="CC935141"/>
    <x v="8"/>
    <d v="2020-04-09T00:00:00"/>
    <d v="1899-12-30T12:21:29"/>
    <s v="Apr"/>
    <n v="474940"/>
    <s v="INR"/>
    <n v="85320"/>
    <s v="E110"/>
    <s v="E117"/>
    <s v="NA"/>
    <s v="NA"/>
    <s v="AM"/>
    <s v="DM"/>
    <s v="AM"/>
    <s v="DM"/>
    <s v="PASS"/>
    <s v="NA"/>
    <s v="2021"/>
    <s v="Apr"/>
    <s v="NON-RP"/>
  </r>
  <r>
    <n v="11"/>
    <s v="2021H71183"/>
    <n v="202111"/>
    <s v="CC981153"/>
    <x v="9"/>
    <d v="2020-04-11T00:00:00"/>
    <d v="1899-12-30T15:34:12"/>
    <s v="Apr"/>
    <n v="50900"/>
    <s v="INR"/>
    <n v="8640"/>
    <s v="E102"/>
    <s v="E113"/>
    <s v="NA"/>
    <s v="NA"/>
    <s v="SE"/>
    <s v="AM"/>
    <s v="SE"/>
    <s v="AM"/>
    <s v="PASS"/>
    <s v="NA"/>
    <s v="2021"/>
    <s v="Apr"/>
    <s v="NON-RP"/>
  </r>
  <r>
    <n v="12"/>
    <s v="2021A91066"/>
    <n v="202112"/>
    <s v="CC263159"/>
    <x v="10"/>
    <d v="2020-04-16T00:00:00"/>
    <d v="1899-12-30T17:03:02"/>
    <s v="Apr"/>
    <n v="335080"/>
    <s v="INR"/>
    <n v="60120"/>
    <s v="E111"/>
    <s v="E117"/>
    <s v="NA"/>
    <s v="NA"/>
    <s v="AM"/>
    <s v="DM"/>
    <s v="AM"/>
    <s v="DM"/>
    <s v="PASS"/>
    <s v="NA"/>
    <s v="2021"/>
    <s v="Apr"/>
    <s v="NON-RP"/>
  </r>
  <r>
    <n v="13"/>
    <s v="2021X11623"/>
    <n v="202113"/>
    <s v="CC873915"/>
    <x v="11"/>
    <d v="2020-04-18T00:00:00"/>
    <d v="1899-12-30T14:52:22"/>
    <s v="Apr"/>
    <n v="501490"/>
    <s v="INR"/>
    <n v="90000"/>
    <s v="E119"/>
    <s v="E124"/>
    <s v="NA"/>
    <s v="NA"/>
    <s v="DM"/>
    <s v="SM"/>
    <s v="DM"/>
    <s v="SM"/>
    <s v="PASS"/>
    <s v="NA"/>
    <s v="2021"/>
    <s v="Apr"/>
    <s v="NON-RP"/>
  </r>
  <r>
    <n v="14"/>
    <s v="2021Z81129"/>
    <n v="202114"/>
    <s v="CC751346"/>
    <x v="12"/>
    <d v="2020-04-21T00:00:00"/>
    <d v="1899-12-30T14:33:01"/>
    <s v="Apr"/>
    <n v="209260"/>
    <s v="INR"/>
    <n v="37440"/>
    <s v="E112"/>
    <s v="E117"/>
    <s v="NA"/>
    <s v="NA"/>
    <s v="AM"/>
    <s v="DM"/>
    <s v="AM"/>
    <s v="DM"/>
    <s v="PASS"/>
    <s v="NA"/>
    <s v="2021"/>
    <s v="Apr"/>
    <s v="NON-RP"/>
  </r>
  <r>
    <n v="15"/>
    <s v="2021O41861"/>
    <n v="202115"/>
    <s v="CC347642"/>
    <x v="11"/>
    <d v="2020-04-21T00:00:00"/>
    <d v="1899-12-30T14:26:26"/>
    <s v="Apr"/>
    <n v="317130"/>
    <s v="INR"/>
    <n v="56880"/>
    <s v="E116"/>
    <s v="E117"/>
    <s v="NA"/>
    <s v="NA"/>
    <s v="AM"/>
    <s v="DM"/>
    <s v="AM"/>
    <s v="DM"/>
    <s v="PASS"/>
    <s v="NA"/>
    <s v="2021"/>
    <s v="Apr"/>
    <s v="NON-RP"/>
  </r>
  <r>
    <n v="16"/>
    <s v="2021H11671"/>
    <n v="202116"/>
    <s v="CC988247"/>
    <x v="13"/>
    <d v="2020-04-22T00:00:00"/>
    <d v="1899-12-30T13:44:11"/>
    <s v="Apr"/>
    <n v="42850"/>
    <s v="INR"/>
    <n v="7200"/>
    <s v="E107"/>
    <s v="E111"/>
    <s v="NA"/>
    <s v="NA"/>
    <s v="SE"/>
    <s v="AM"/>
    <s v="SE"/>
    <s v="AM"/>
    <s v="PASS"/>
    <s v="NA"/>
    <s v="2021"/>
    <s v="Apr"/>
    <s v="NON-RP"/>
  </r>
  <r>
    <n v="17"/>
    <s v="2021B31198"/>
    <n v="202117"/>
    <s v="CC767658"/>
    <x v="14"/>
    <d v="2020-04-24T00:00:00"/>
    <d v="1899-12-30T15:26:07"/>
    <s v="Apr"/>
    <n v="477910"/>
    <s v="INR"/>
    <n v="85860"/>
    <s v="E114"/>
    <s v="E121"/>
    <s v="NA"/>
    <s v="NA"/>
    <s v="AM"/>
    <s v="DM"/>
    <s v="AM"/>
    <s v="DM"/>
    <s v="PASS"/>
    <s v="NA"/>
    <s v="2021"/>
    <s v="Apr"/>
    <s v="NON-RP"/>
  </r>
  <r>
    <n v="18"/>
    <s v="2021R31092"/>
    <n v="202118"/>
    <s v="CC975232"/>
    <x v="15"/>
    <d v="2020-04-25T00:00:00"/>
    <d v="1899-12-30T17:30:28"/>
    <s v="Apr"/>
    <n v="345580"/>
    <s v="INR"/>
    <n v="62100"/>
    <s v="E111"/>
    <s v="E121"/>
    <s v="NA"/>
    <s v="NA"/>
    <s v="AM"/>
    <s v="DM"/>
    <s v="AM"/>
    <s v="DM"/>
    <s v="PASS"/>
    <s v="NA"/>
    <s v="2021"/>
    <s v="Apr"/>
    <s v="NON-RP"/>
  </r>
  <r>
    <n v="19"/>
    <s v="2021A51194"/>
    <n v="202119"/>
    <s v="CC133156"/>
    <x v="16"/>
    <d v="2020-04-27T00:00:00"/>
    <d v="1899-12-30T15:43:53"/>
    <s v="Apr"/>
    <n v="337140"/>
    <s v="INR"/>
    <n v="60480"/>
    <s v="E113"/>
    <s v="E117"/>
    <s v="NA"/>
    <s v="NA"/>
    <s v="AM"/>
    <s v="DM"/>
    <s v="AM"/>
    <s v="DM"/>
    <s v="PASS"/>
    <s v="NA"/>
    <s v="2021"/>
    <s v="Apr"/>
    <s v="NON-RP"/>
  </r>
  <r>
    <n v="20"/>
    <s v="2021Z41307"/>
    <n v="202120"/>
    <s v="CC635100"/>
    <x v="8"/>
    <d v="2020-04-28T00:00:00"/>
    <d v="1899-12-30T10:57:23"/>
    <s v="Apr"/>
    <n v="477620"/>
    <s v="INR"/>
    <n v="85680"/>
    <s v="E112"/>
    <s v="E119"/>
    <s v="NA"/>
    <s v="NA"/>
    <s v="AM"/>
    <s v="DM"/>
    <s v="AM"/>
    <s v="DM"/>
    <s v="PASS"/>
    <s v="NA"/>
    <s v="2021"/>
    <s v="Apr"/>
    <s v="NON-RP"/>
  </r>
  <r>
    <n v="21"/>
    <s v="2021R91771"/>
    <n v="202121"/>
    <s v="CC746542"/>
    <x v="17"/>
    <d v="2020-05-01T00:00:00"/>
    <d v="1899-12-30T11:34:16"/>
    <s v="Apr"/>
    <n v="453890"/>
    <s v="INR"/>
    <n v="81360"/>
    <s v="E115"/>
    <s v="E121"/>
    <s v="NA"/>
    <s v="NA"/>
    <s v="AM"/>
    <s v="DM"/>
    <s v="AM"/>
    <s v="DM"/>
    <s v="PASS"/>
    <s v="NA"/>
    <s v="2021"/>
    <s v="May"/>
    <s v="NON-RP"/>
  </r>
  <r>
    <n v="22"/>
    <s v="2021S11228"/>
    <n v="202122"/>
    <s v="CC833959"/>
    <x v="18"/>
    <d v="2020-05-04T00:00:00"/>
    <d v="1899-12-30T16:47:41"/>
    <s v="May"/>
    <n v="230560"/>
    <s v="INR"/>
    <n v="41040"/>
    <s v="E114"/>
    <s v="E121"/>
    <s v="NA"/>
    <s v="NA"/>
    <s v="AM"/>
    <s v="DM"/>
    <s v="AM"/>
    <s v="DM"/>
    <s v="PASS"/>
    <s v="NA"/>
    <s v="2021"/>
    <s v="May"/>
    <s v="NON-RP"/>
  </r>
  <r>
    <n v="23"/>
    <s v="2021V31896"/>
    <n v="202123"/>
    <s v="CC885725"/>
    <x v="4"/>
    <d v="2020-05-04T00:00:00"/>
    <d v="1899-12-30T15:47:02"/>
    <s v="May"/>
    <n v="207690"/>
    <s v="INR"/>
    <n v="37080"/>
    <s v="E111"/>
    <s v="E121"/>
    <s v="NA"/>
    <s v="NA"/>
    <s v="AM"/>
    <s v="DM"/>
    <s v="AM"/>
    <s v="DM"/>
    <s v="PASS"/>
    <s v="NA"/>
    <s v="2021"/>
    <s v="May"/>
    <s v="NON-RP"/>
  </r>
  <r>
    <n v="24"/>
    <s v="2021G01002"/>
    <n v="202124"/>
    <s v="CC906339"/>
    <x v="7"/>
    <d v="2020-05-04T00:00:00"/>
    <d v="1899-12-30T14:15:50"/>
    <s v="May"/>
    <n v="498780"/>
    <s v="INR"/>
    <n v="89280"/>
    <s v="E111"/>
    <s v="E121"/>
    <s v="NA"/>
    <s v="NA"/>
    <s v="AM"/>
    <s v="DM"/>
    <s v="AM"/>
    <s v="DM"/>
    <s v="PASS"/>
    <s v="NA"/>
    <s v="2021"/>
    <s v="May"/>
    <s v="NON-RP"/>
  </r>
  <r>
    <n v="25"/>
    <s v="2021T51281"/>
    <n v="202125"/>
    <s v="CC561983"/>
    <x v="19"/>
    <d v="2020-05-05T00:00:00"/>
    <d v="1899-12-30T13:49:36"/>
    <s v="May"/>
    <n v="265850"/>
    <s v="INR"/>
    <n v="47700"/>
    <s v="E111"/>
    <s v="E117"/>
    <s v="NA"/>
    <s v="NA"/>
    <s v="AM"/>
    <s v="DM"/>
    <s v="AM"/>
    <s v="DM"/>
    <s v="PASS"/>
    <s v="NA"/>
    <s v="2021"/>
    <s v="May"/>
    <s v="NON-RP"/>
  </r>
  <r>
    <n v="26"/>
    <s v="2021O71143"/>
    <n v="202126"/>
    <s v="CC745730"/>
    <x v="16"/>
    <d v="2020-05-06T00:00:00"/>
    <d v="1899-12-30T13:17:00"/>
    <s v="May"/>
    <n v="23290"/>
    <s v="INR"/>
    <n v="3960"/>
    <s v="E105"/>
    <s v="E111"/>
    <s v="NA"/>
    <s v="NA"/>
    <s v="SE"/>
    <s v="AM"/>
    <s v="SE"/>
    <s v="AM"/>
    <s v="PASS"/>
    <s v="NA"/>
    <s v="2021"/>
    <s v="May"/>
    <s v="NON-RP"/>
  </r>
  <r>
    <n v="27"/>
    <s v="2021E51338"/>
    <n v="202127"/>
    <s v="CC773644"/>
    <x v="5"/>
    <d v="2020-05-07T00:00:00"/>
    <d v="1899-12-30T17:12:15"/>
    <s v="May"/>
    <n v="432790"/>
    <s v="INR"/>
    <n v="77760"/>
    <s v="E112"/>
    <s v="E118"/>
    <s v="NA"/>
    <s v="NA"/>
    <s v="AM"/>
    <s v="DM"/>
    <s v="AM"/>
    <s v="DM"/>
    <s v="PASS"/>
    <s v="NA"/>
    <s v="2021"/>
    <s v="May"/>
    <s v="NON-RP"/>
  </r>
  <r>
    <n v="28"/>
    <s v="2021B41966"/>
    <n v="202128"/>
    <s v="CC731431"/>
    <x v="20"/>
    <d v="2020-05-07T00:00:00"/>
    <d v="1899-12-30T14:08:36"/>
    <s v="May"/>
    <n v="4762260"/>
    <s v="INR"/>
    <n v="857160"/>
    <s v="E125"/>
    <s v="E126"/>
    <s v="NA"/>
    <s v="NA"/>
    <s v="CM"/>
    <s v="CFO"/>
    <s v="CM"/>
    <s v="CFO"/>
    <s v="PASS"/>
    <s v="NA"/>
    <s v="2021"/>
    <s v="May"/>
    <s v="RP"/>
  </r>
  <r>
    <n v="29"/>
    <s v="2021R41426"/>
    <n v="202129"/>
    <s v="CC798801"/>
    <x v="21"/>
    <d v="2020-05-09T00:00:00"/>
    <d v="1899-12-30T11:39:31"/>
    <s v="Apr"/>
    <n v="311700"/>
    <s v="INR"/>
    <n v="55800"/>
    <s v="E116"/>
    <s v="E121"/>
    <s v="NA"/>
    <s v="NA"/>
    <s v="AM"/>
    <s v="DM"/>
    <s v="AM"/>
    <s v="DM"/>
    <s v="PASS"/>
    <s v="NA"/>
    <s v="2021"/>
    <s v="May"/>
    <s v="NON-RP"/>
  </r>
  <r>
    <n v="30"/>
    <s v="2021Q11287"/>
    <n v="202130"/>
    <s v="CC140184"/>
    <x v="21"/>
    <d v="2020-05-11T00:00:00"/>
    <d v="1899-12-30T12:27:13"/>
    <s v="May"/>
    <n v="209420"/>
    <s v="INR"/>
    <n v="37440"/>
    <s v="E110"/>
    <s v="E117"/>
    <s v="NA"/>
    <s v="NA"/>
    <s v="AM"/>
    <s v="DM"/>
    <s v="AM"/>
    <s v="DM"/>
    <s v="PASS"/>
    <s v="NA"/>
    <s v="2021"/>
    <s v="May"/>
    <s v="NON-RP"/>
  </r>
  <r>
    <n v="31"/>
    <s v="2021A11259"/>
    <n v="202131"/>
    <s v="CC945907"/>
    <x v="22"/>
    <d v="2020-05-11T00:00:00"/>
    <d v="1899-12-30T11:24:50"/>
    <s v="May"/>
    <n v="225520"/>
    <s v="INR"/>
    <n v="40320"/>
    <s v="E112"/>
    <s v="E117"/>
    <s v="NA"/>
    <s v="NA"/>
    <s v="AM"/>
    <s v="DM"/>
    <s v="AM"/>
    <s v="DM"/>
    <s v="PASS"/>
    <s v="NA"/>
    <s v="2021"/>
    <s v="May"/>
    <s v="NON-RP"/>
  </r>
  <r>
    <n v="32"/>
    <s v="2021I01201"/>
    <n v="202132"/>
    <s v="CC390816"/>
    <x v="23"/>
    <d v="2020-05-11T00:00:00"/>
    <d v="1899-12-30T10:23:24"/>
    <s v="May"/>
    <n v="480420"/>
    <s v="INR"/>
    <n v="86040"/>
    <s v="E115"/>
    <s v="E117"/>
    <s v="NA"/>
    <s v="NA"/>
    <s v="AM"/>
    <s v="DM"/>
    <s v="AM"/>
    <s v="DM"/>
    <s v="PASS"/>
    <s v="NA"/>
    <s v="2021"/>
    <s v="May"/>
    <s v="NON-RP"/>
  </r>
  <r>
    <n v="33"/>
    <s v="2021I81416"/>
    <n v="202133"/>
    <s v="CC797183"/>
    <x v="24"/>
    <d v="2020-05-14T00:00:00"/>
    <d v="1899-12-30T16:59:20"/>
    <s v="May"/>
    <n v="349080"/>
    <s v="INR"/>
    <n v="62640"/>
    <s v="E116"/>
    <s v="E117"/>
    <s v="NA"/>
    <s v="NA"/>
    <s v="AM"/>
    <s v="DM"/>
    <s v="AM"/>
    <s v="DM"/>
    <s v="PASS"/>
    <s v="NA"/>
    <s v="2021"/>
    <s v="May"/>
    <s v="NON-RP"/>
  </r>
  <r>
    <n v="34"/>
    <s v="2021D81358"/>
    <n v="202134"/>
    <s v="CC391167"/>
    <x v="25"/>
    <d v="2020-05-15T00:00:00"/>
    <d v="1899-12-30T12:34:05"/>
    <s v="May"/>
    <n v="309420"/>
    <s v="INR"/>
    <n v="55620"/>
    <s v="E112"/>
    <s v="E121"/>
    <s v="NA"/>
    <s v="NA"/>
    <s v="AM"/>
    <s v="DM"/>
    <s v="AM"/>
    <s v="DM"/>
    <s v="PASS"/>
    <s v="NA"/>
    <s v="2021"/>
    <s v="May"/>
    <s v="NON-RP"/>
  </r>
  <r>
    <n v="35"/>
    <s v="2021F21584"/>
    <n v="202135"/>
    <s v="CC435175"/>
    <x v="26"/>
    <d v="2020-05-18T00:00:00"/>
    <d v="1899-12-30T10:36:27"/>
    <s v="May"/>
    <n v="431890"/>
    <s v="INR"/>
    <n v="77580"/>
    <s v="E112"/>
    <s v="E117"/>
    <s v="NA"/>
    <s v="NA"/>
    <s v="AM"/>
    <s v="DM"/>
    <s v="AM"/>
    <s v="DM"/>
    <s v="PASS"/>
    <s v="NA"/>
    <s v="2021"/>
    <s v="May"/>
    <s v="NON-RP"/>
  </r>
  <r>
    <n v="36"/>
    <s v="2021L91167"/>
    <n v="202136"/>
    <s v="CC365296"/>
    <x v="21"/>
    <d v="2020-05-19T00:00:00"/>
    <d v="1899-12-30T11:21:26"/>
    <s v="May"/>
    <n v="21840"/>
    <s v="INR"/>
    <n v="3780"/>
    <s v="E101"/>
    <s v="E113"/>
    <s v="NA"/>
    <s v="NA"/>
    <s v="SE"/>
    <s v="AM"/>
    <s v="SE"/>
    <s v="AM"/>
    <s v="PASS"/>
    <s v="NA"/>
    <s v="2021"/>
    <s v="May"/>
    <s v="NON-RP"/>
  </r>
  <r>
    <n v="37"/>
    <s v="2021B71720"/>
    <n v="202137"/>
    <s v="CC102530"/>
    <x v="21"/>
    <d v="2020-05-19T00:00:00"/>
    <d v="1899-12-30T17:40:16"/>
    <s v="Apr"/>
    <n v="27450"/>
    <s v="INR"/>
    <n v="4500"/>
    <s v="E105"/>
    <s v="E112"/>
    <s v="NA"/>
    <s v="NA"/>
    <s v="SE"/>
    <s v="AM"/>
    <s v="SE"/>
    <s v="AM"/>
    <s v="PASS"/>
    <s v="NA"/>
    <s v="2021"/>
    <s v="May"/>
    <s v="NON-RP"/>
  </r>
  <r>
    <n v="38"/>
    <s v="2021R91324"/>
    <n v="202138"/>
    <s v="CC662189"/>
    <x v="7"/>
    <d v="2020-05-22T00:00:00"/>
    <d v="1899-12-30T15:16:33"/>
    <s v="May"/>
    <n v="440720"/>
    <s v="INR"/>
    <n v="78840"/>
    <s v="E115"/>
    <s v="E121"/>
    <s v="NA"/>
    <s v="NA"/>
    <s v="AM"/>
    <s v="DM"/>
    <s v="AM"/>
    <s v="DM"/>
    <s v="PASS"/>
    <s v="NA"/>
    <s v="2021"/>
    <s v="May"/>
    <s v="NON-RP"/>
  </r>
  <r>
    <n v="39"/>
    <s v="2021B01631"/>
    <n v="202139"/>
    <s v="CC757929"/>
    <x v="10"/>
    <d v="2020-05-22T00:00:00"/>
    <d v="1899-12-30T12:17:24"/>
    <s v="Apr"/>
    <n v="294900"/>
    <s v="INR"/>
    <n v="52920"/>
    <s v="E111"/>
    <s v="E121"/>
    <s v="NA"/>
    <s v="NA"/>
    <s v="AM"/>
    <s v="DM"/>
    <s v="AM"/>
    <s v="DM"/>
    <s v="PASS"/>
    <s v="NA"/>
    <s v="2021"/>
    <s v="May"/>
    <s v="NON-RP"/>
  </r>
  <r>
    <n v="40"/>
    <s v="2021L81017"/>
    <n v="202140"/>
    <s v="CC631050"/>
    <x v="27"/>
    <d v="2020-05-23T00:00:00"/>
    <d v="1899-12-30T17:23:17"/>
    <s v="May"/>
    <n v="5778120"/>
    <s v="INR"/>
    <n v="1039860"/>
    <s v="E125"/>
    <s v="E126"/>
    <s v="Approved"/>
    <s v="BM/CC631050C216"/>
    <s v="CM"/>
    <s v="CFO"/>
    <s v="CM"/>
    <s v="CFO"/>
    <s v="PASS"/>
    <s v="PASS"/>
    <s v="2021"/>
    <s v="May"/>
    <s v="NON-RP"/>
  </r>
  <r>
    <n v="41"/>
    <s v="2021X91684"/>
    <n v="202141"/>
    <s v="CC957201"/>
    <x v="7"/>
    <d v="2020-05-25T00:00:00"/>
    <d v="1899-12-30T17:00:51"/>
    <s v="May"/>
    <n v="401950"/>
    <s v="INR"/>
    <n v="72000"/>
    <s v="E112"/>
    <s v="E120"/>
    <s v="NA"/>
    <s v="NA"/>
    <s v="AM"/>
    <s v="DM"/>
    <s v="AM"/>
    <s v="DM"/>
    <s v="PASS"/>
    <s v="NA"/>
    <s v="2021"/>
    <s v="May"/>
    <s v="NON-RP"/>
  </r>
  <r>
    <n v="42"/>
    <s v="2021R61666"/>
    <n v="202142"/>
    <s v="CC121694"/>
    <x v="2"/>
    <d v="2020-05-28T00:00:00"/>
    <d v="1899-12-30T16:25:31"/>
    <s v="May"/>
    <n v="429800"/>
    <s v="INR"/>
    <n v="77040"/>
    <s v="E110"/>
    <s v="E120"/>
    <s v="NA"/>
    <s v="NA"/>
    <s v="AM"/>
    <s v="DM"/>
    <s v="AM"/>
    <s v="DM"/>
    <s v="PASS"/>
    <s v="NA"/>
    <s v="2021"/>
    <s v="May"/>
    <s v="NON-RP"/>
  </r>
  <r>
    <n v="43"/>
    <s v="2021X31753"/>
    <n v="202143"/>
    <s v="CC395630"/>
    <x v="9"/>
    <d v="2020-05-28T00:00:00"/>
    <d v="1899-12-30T13:52:20"/>
    <s v="May"/>
    <n v="463750"/>
    <s v="INR"/>
    <n v="83340"/>
    <s v="E115"/>
    <s v="E117"/>
    <s v="NA"/>
    <s v="NA"/>
    <s v="AM"/>
    <s v="DM"/>
    <s v="AM"/>
    <s v="DM"/>
    <s v="PASS"/>
    <s v="NA"/>
    <s v="2021"/>
    <s v="May"/>
    <s v="NON-RP"/>
  </r>
  <r>
    <n v="44"/>
    <s v="2021I61180"/>
    <n v="202144"/>
    <s v="CC170513"/>
    <x v="28"/>
    <d v="2020-05-28T00:00:00"/>
    <d v="1899-12-30T14:43:37"/>
    <s v="Apr"/>
    <n v="302650"/>
    <s v="INR"/>
    <n v="54000"/>
    <s v="E113"/>
    <s v="E118"/>
    <s v="NA"/>
    <s v="NA"/>
    <s v="AM"/>
    <s v="DM"/>
    <s v="AM"/>
    <s v="DM"/>
    <s v="PASS"/>
    <s v="NA"/>
    <s v="2021"/>
    <s v="May"/>
    <s v="NON-RP"/>
  </r>
  <r>
    <n v="45"/>
    <s v="2021T31701"/>
    <n v="202145"/>
    <s v="CC635521"/>
    <x v="29"/>
    <d v="2020-05-29T00:00:00"/>
    <d v="1899-12-30T15:27:50"/>
    <s v="May"/>
    <n v="427510"/>
    <s v="INR"/>
    <n v="76860"/>
    <s v="E112"/>
    <s v="E117"/>
    <s v="NA"/>
    <s v="NA"/>
    <s v="AM"/>
    <s v="DM"/>
    <s v="AM"/>
    <s v="DM"/>
    <s v="PASS"/>
    <s v="NA"/>
    <s v="2021"/>
    <s v="May"/>
    <s v="NON-RP"/>
  </r>
  <r>
    <n v="46"/>
    <s v="2021A61497"/>
    <n v="202146"/>
    <s v="CC194863"/>
    <x v="0"/>
    <d v="2020-05-30T00:00:00"/>
    <d v="1899-12-30T15:08:09"/>
    <s v="May"/>
    <n v="386240"/>
    <s v="INR"/>
    <n v="69480"/>
    <s v="E114"/>
    <s v="E120"/>
    <s v="NA"/>
    <s v="NA"/>
    <s v="AM"/>
    <s v="DM"/>
    <s v="AM"/>
    <s v="DM"/>
    <s v="PASS"/>
    <s v="NA"/>
    <s v="2021"/>
    <s v="May"/>
    <s v="NON-RP"/>
  </r>
  <r>
    <n v="47"/>
    <s v="2021M41446"/>
    <n v="202147"/>
    <s v="CC997850"/>
    <x v="21"/>
    <d v="2020-05-30T00:00:00"/>
    <d v="1899-12-30T10:47:42"/>
    <s v="May"/>
    <n v="206890"/>
    <s v="INR"/>
    <n v="37080"/>
    <s v="E111"/>
    <s v="E118"/>
    <s v="NA"/>
    <s v="NA"/>
    <s v="AM"/>
    <s v="DM"/>
    <s v="AM"/>
    <s v="DM"/>
    <s v="PASS"/>
    <s v="NA"/>
    <s v="2021"/>
    <s v="May"/>
    <s v="NON-RP"/>
  </r>
  <r>
    <n v="48"/>
    <s v="2021W81642"/>
    <n v="202148"/>
    <s v="CC864884"/>
    <x v="0"/>
    <d v="2020-06-01T00:00:00"/>
    <d v="1899-12-30T17:50:44"/>
    <s v="Jun"/>
    <n v="492690"/>
    <s v="INR"/>
    <n v="88380"/>
    <s v="E114"/>
    <s v="E121"/>
    <s v="NA"/>
    <s v="NA"/>
    <s v="AM"/>
    <s v="DM"/>
    <s v="AM"/>
    <s v="DM"/>
    <s v="PASS"/>
    <s v="NA"/>
    <s v="2021"/>
    <s v="Jun"/>
    <s v="NON-RP"/>
  </r>
  <r>
    <n v="49"/>
    <s v="2021X21512"/>
    <n v="202149"/>
    <s v="CC439730"/>
    <x v="27"/>
    <d v="2020-06-02T00:00:00"/>
    <d v="1899-12-30T15:21:56"/>
    <s v="May"/>
    <n v="482570"/>
    <s v="INR"/>
    <n v="86580"/>
    <s v="E114"/>
    <s v="E120"/>
    <s v="NA"/>
    <s v="NA"/>
    <s v="AM"/>
    <s v="DM"/>
    <s v="AM"/>
    <s v="DM"/>
    <s v="PASS"/>
    <s v="NA"/>
    <s v="2021"/>
    <s v="Jun"/>
    <s v="NON-RP"/>
  </r>
  <r>
    <n v="50"/>
    <s v="2021J81369"/>
    <n v="202150"/>
    <s v="CC609961"/>
    <x v="0"/>
    <d v="2020-06-02T00:00:00"/>
    <d v="1899-12-30T13:26:50"/>
    <s v="May"/>
    <n v="46890"/>
    <s v="INR"/>
    <n v="8280"/>
    <s v="E109"/>
    <s v="E114"/>
    <s v="NA"/>
    <s v="NA"/>
    <s v="SE"/>
    <s v="AM"/>
    <s v="SE"/>
    <s v="AM"/>
    <s v="PASS"/>
    <s v="NA"/>
    <s v="2021"/>
    <s v="Jun"/>
    <s v="NON-RP"/>
  </r>
  <r>
    <n v="51"/>
    <s v="2021V11343"/>
    <n v="202151"/>
    <s v="CC231050"/>
    <x v="24"/>
    <d v="2020-06-05T00:00:00"/>
    <d v="1899-12-30T17:06:38"/>
    <s v="May"/>
    <n v="484460"/>
    <s v="INR"/>
    <n v="87120"/>
    <s v="E110"/>
    <s v="E121"/>
    <s v="NA"/>
    <s v="NA"/>
    <s v="AM"/>
    <s v="DM"/>
    <s v="AM"/>
    <s v="DM"/>
    <s v="PASS"/>
    <s v="NA"/>
    <s v="2021"/>
    <s v="Jun"/>
    <s v="NON-RP"/>
  </r>
  <r>
    <n v="52"/>
    <s v="2021D61060"/>
    <n v="202152"/>
    <s v="CC284849"/>
    <x v="21"/>
    <d v="2020-06-05T00:00:00"/>
    <d v="1899-12-30T16:40:09"/>
    <s v="Jun"/>
    <n v="290140"/>
    <s v="INR"/>
    <n v="52020"/>
    <s v="E112"/>
    <s v="E118"/>
    <s v="NA"/>
    <s v="NA"/>
    <s v="AM"/>
    <s v="DM"/>
    <s v="AM"/>
    <s v="DM"/>
    <s v="PASS"/>
    <s v="NA"/>
    <s v="2021"/>
    <s v="Jun"/>
    <s v="NON-RP"/>
  </r>
  <r>
    <n v="53"/>
    <s v="2021Y01677"/>
    <n v="202153"/>
    <s v="CC819578"/>
    <x v="30"/>
    <d v="2020-06-06T00:00:00"/>
    <d v="1899-12-30T17:04:19"/>
    <s v="Jun"/>
    <n v="482140"/>
    <s v="INR"/>
    <n v="86760"/>
    <s v="E113"/>
    <s v="E119"/>
    <s v="NA"/>
    <s v="NA"/>
    <s v="AM"/>
    <s v="DM"/>
    <s v="AM"/>
    <s v="DM"/>
    <s v="PASS"/>
    <s v="NA"/>
    <s v="2021"/>
    <s v="Jun"/>
    <s v="NON-RP"/>
  </r>
  <r>
    <n v="54"/>
    <s v="2021G21193"/>
    <n v="202154"/>
    <s v="CC908989"/>
    <x v="9"/>
    <d v="2020-06-06T00:00:00"/>
    <d v="1899-12-30T12:56:33"/>
    <s v="Jun"/>
    <n v="244360"/>
    <s v="INR"/>
    <n v="43560"/>
    <s v="E112"/>
    <s v="E117"/>
    <s v="NA"/>
    <s v="NA"/>
    <s v="AM"/>
    <s v="DM"/>
    <s v="AM"/>
    <s v="DM"/>
    <s v="PASS"/>
    <s v="NA"/>
    <s v="2021"/>
    <s v="Jun"/>
    <s v="NON-RP"/>
  </r>
  <r>
    <n v="55"/>
    <s v="2021U51795"/>
    <n v="202155"/>
    <s v="CC311019"/>
    <x v="22"/>
    <d v="2020-06-08T00:00:00"/>
    <d v="1899-12-30T12:36:08"/>
    <s v="Jun"/>
    <n v="261450"/>
    <s v="INR"/>
    <n v="46800"/>
    <s v="E115"/>
    <s v="E119"/>
    <s v="NA"/>
    <s v="NA"/>
    <s v="AM"/>
    <s v="DM"/>
    <s v="AM"/>
    <s v="DM"/>
    <s v="PASS"/>
    <s v="NA"/>
    <s v="2021"/>
    <s v="Jun"/>
    <s v="NON-RP"/>
  </r>
  <r>
    <n v="56"/>
    <s v="2021O01960"/>
    <n v="202156"/>
    <s v="CC349571"/>
    <x v="12"/>
    <d v="2020-06-09T00:00:00"/>
    <d v="1899-12-30T15:54:13"/>
    <s v="Jun"/>
    <n v="10223320"/>
    <s v="INR"/>
    <n v="1840140"/>
    <s v="E125"/>
    <s v="E126"/>
    <s v="Approved"/>
    <s v="BM/CC349571C246"/>
    <s v="CM"/>
    <s v="CFO"/>
    <s v="CM"/>
    <s v="CFO"/>
    <s v="PASS"/>
    <s v="PASS"/>
    <s v="2021"/>
    <s v="Jun"/>
    <s v="NON-RP"/>
  </r>
  <r>
    <n v="57"/>
    <s v="2021T81469"/>
    <n v="202157"/>
    <s v="CC946950"/>
    <x v="31"/>
    <d v="2020-06-11T00:00:00"/>
    <d v="1899-12-30T11:22:14"/>
    <s v="Jun"/>
    <n v="390450"/>
    <s v="INR"/>
    <n v="70020"/>
    <s v="E111"/>
    <s v="E121"/>
    <s v="NA"/>
    <s v="NA"/>
    <s v="AM"/>
    <s v="DM"/>
    <s v="AM"/>
    <s v="DM"/>
    <s v="PASS"/>
    <s v="NA"/>
    <s v="2021"/>
    <s v="Jun"/>
    <s v="NON-RP"/>
  </r>
  <r>
    <n v="58"/>
    <s v="2021N31706"/>
    <n v="202158"/>
    <s v="CC134993"/>
    <x v="32"/>
    <d v="2020-06-12T00:00:00"/>
    <d v="1899-12-30T13:00:02"/>
    <s v="Jun"/>
    <n v="202860"/>
    <s v="INR"/>
    <n v="36360"/>
    <s v="E116"/>
    <s v="E121"/>
    <s v="NA"/>
    <s v="NA"/>
    <s v="AM"/>
    <s v="DM"/>
    <s v="AM"/>
    <s v="DM"/>
    <s v="PASS"/>
    <s v="NA"/>
    <s v="2021"/>
    <s v="Jun"/>
    <s v="NON-RP"/>
  </r>
  <r>
    <n v="59"/>
    <s v="2021P11624"/>
    <n v="202159"/>
    <s v="CC647688"/>
    <x v="33"/>
    <d v="2020-06-15T00:00:00"/>
    <d v="1899-12-30T13:25:57"/>
    <s v="May"/>
    <n v="204100"/>
    <s v="INR"/>
    <n v="36720"/>
    <s v="E112"/>
    <s v="E119"/>
    <s v="NA"/>
    <s v="NA"/>
    <s v="AM"/>
    <s v="DM"/>
    <s v="AM"/>
    <s v="DM"/>
    <s v="PASS"/>
    <s v="NA"/>
    <s v="2021"/>
    <s v="Jun"/>
    <s v="NON-RP"/>
  </r>
  <r>
    <n v="60"/>
    <s v="2021M81128"/>
    <n v="202160"/>
    <s v="CC602480"/>
    <x v="28"/>
    <d v="2020-06-18T00:00:00"/>
    <d v="1899-12-30T15:24:29"/>
    <s v="May"/>
    <n v="265580"/>
    <s v="INR"/>
    <n v="47700"/>
    <s v="E116"/>
    <s v="E121"/>
    <s v="NA"/>
    <s v="NA"/>
    <s v="AM"/>
    <s v="DM"/>
    <s v="AM"/>
    <s v="DM"/>
    <s v="PASS"/>
    <s v="NA"/>
    <s v="2021"/>
    <s v="Jun"/>
    <s v="NON-RP"/>
  </r>
  <r>
    <n v="61"/>
    <s v="2021N71287"/>
    <n v="202161"/>
    <s v="CC884936"/>
    <x v="34"/>
    <d v="2020-06-19T00:00:00"/>
    <d v="1899-12-30T14:42:14"/>
    <s v="May"/>
    <n v="285470"/>
    <s v="INR"/>
    <n v="51120"/>
    <s v="E116"/>
    <s v="E119"/>
    <s v="NA"/>
    <s v="NA"/>
    <s v="AM"/>
    <s v="DM"/>
    <s v="AM"/>
    <s v="DM"/>
    <s v="PASS"/>
    <s v="NA"/>
    <s v="2021"/>
    <s v="Jun"/>
    <s v="NON-RP"/>
  </r>
  <r>
    <n v="62"/>
    <s v="2021B61390"/>
    <n v="202162"/>
    <s v="CC202310"/>
    <x v="17"/>
    <d v="2020-06-19T00:00:00"/>
    <d v="1899-12-30T16:00:23"/>
    <s v="Jun"/>
    <n v="205720"/>
    <s v="INR"/>
    <n v="36540"/>
    <s v="E113"/>
    <s v="E117"/>
    <s v="NA"/>
    <s v="NA"/>
    <s v="AM"/>
    <s v="DM"/>
    <s v="AM"/>
    <s v="DM"/>
    <s v="PASS"/>
    <s v="NA"/>
    <s v="2021"/>
    <s v="Jun"/>
    <s v="NON-RP"/>
  </r>
  <r>
    <n v="63"/>
    <s v="2021Z81062"/>
    <n v="202163"/>
    <s v="CC707806"/>
    <x v="2"/>
    <d v="2020-06-23T00:00:00"/>
    <d v="1899-12-30T16:57:06"/>
    <s v="Jun"/>
    <n v="31860"/>
    <s v="INR"/>
    <n v="5580"/>
    <s v="E108"/>
    <s v="E115"/>
    <s v="NA"/>
    <s v="NA"/>
    <s v="SE"/>
    <s v="AM"/>
    <s v="SE"/>
    <s v="AM"/>
    <s v="PASS"/>
    <s v="NA"/>
    <s v="2021"/>
    <s v="Jun"/>
    <s v="NON-RP"/>
  </r>
  <r>
    <n v="64"/>
    <s v="2021M31102"/>
    <n v="202164"/>
    <s v="CC256345"/>
    <x v="35"/>
    <d v="2020-06-23T00:00:00"/>
    <d v="1899-12-30T17:41:07"/>
    <s v="Jun"/>
    <n v="258480"/>
    <s v="INR"/>
    <n v="46080"/>
    <s v="E116"/>
    <s v="E118"/>
    <s v="NA"/>
    <s v="NA"/>
    <s v="AM"/>
    <s v="DM"/>
    <s v="AM"/>
    <s v="DM"/>
    <s v="PASS"/>
    <s v="NA"/>
    <s v="2021"/>
    <s v="Jun"/>
    <s v="NON-RP"/>
  </r>
  <r>
    <n v="65"/>
    <s v="2021Y81250"/>
    <n v="202165"/>
    <s v="CC558542"/>
    <x v="6"/>
    <d v="2020-06-24T00:00:00"/>
    <d v="1899-12-30T12:10:53"/>
    <s v="Jun"/>
    <n v="205220"/>
    <s v="INR"/>
    <n v="36720"/>
    <s v="E115"/>
    <s v="E121"/>
    <s v="NA"/>
    <s v="NA"/>
    <s v="AM"/>
    <s v="DM"/>
    <s v="AM"/>
    <s v="DM"/>
    <s v="PASS"/>
    <s v="NA"/>
    <s v="2021"/>
    <s v="Jun"/>
    <s v="NON-RP"/>
  </r>
  <r>
    <n v="66"/>
    <s v="2021O21294"/>
    <n v="202166"/>
    <s v="CC215575"/>
    <x v="6"/>
    <d v="2020-06-27T00:00:00"/>
    <d v="1899-12-30T14:44:52"/>
    <s v="Jun"/>
    <n v="434440"/>
    <s v="INR"/>
    <n v="78120"/>
    <s v="E114"/>
    <s v="E120"/>
    <s v="NA"/>
    <s v="NA"/>
    <s v="AM"/>
    <s v="DM"/>
    <s v="AM"/>
    <s v="DM"/>
    <s v="PASS"/>
    <s v="NA"/>
    <s v="2021"/>
    <s v="Jun"/>
    <s v="NON-RP"/>
  </r>
  <r>
    <n v="67"/>
    <s v="2021U21759"/>
    <n v="202167"/>
    <s v="CC523412"/>
    <x v="34"/>
    <d v="2020-06-29T00:00:00"/>
    <d v="1899-12-30T14:55:58"/>
    <s v="Jun"/>
    <n v="433740"/>
    <s v="INR"/>
    <n v="77760"/>
    <s v="E114"/>
    <s v="E118"/>
    <s v="NA"/>
    <s v="NA"/>
    <s v="AM"/>
    <s v="DM"/>
    <s v="AM"/>
    <s v="DM"/>
    <s v="PASS"/>
    <s v="NA"/>
    <s v="2021"/>
    <s v="Jun"/>
    <s v="NON-RP"/>
  </r>
  <r>
    <n v="68"/>
    <s v="2021H71893"/>
    <n v="202168"/>
    <s v="CC533157"/>
    <x v="35"/>
    <d v="2020-06-30T00:00:00"/>
    <d v="1899-12-30T16:07:29"/>
    <s v="Jun"/>
    <n v="484610"/>
    <s v="INR"/>
    <n v="86760"/>
    <s v="E110"/>
    <s v="E118"/>
    <s v="NA"/>
    <s v="NA"/>
    <s v="AM"/>
    <s v="DM"/>
    <s v="AM"/>
    <s v="DM"/>
    <s v="PASS"/>
    <s v="NA"/>
    <s v="2021"/>
    <s v="Jun"/>
    <s v="NON-RP"/>
  </r>
  <r>
    <n v="69"/>
    <s v="2021W81912"/>
    <n v="202169"/>
    <s v="CC429411"/>
    <x v="19"/>
    <d v="2020-06-30T00:00:00"/>
    <d v="1899-12-30T13:34:09"/>
    <s v="Jun"/>
    <n v="309040"/>
    <s v="INR"/>
    <n v="55440"/>
    <s v="E115"/>
    <s v="E119"/>
    <s v="NA"/>
    <s v="NA"/>
    <s v="AM"/>
    <s v="DM"/>
    <s v="AM"/>
    <s v="DM"/>
    <s v="PASS"/>
    <s v="NA"/>
    <s v="2021"/>
    <s v="Jun"/>
    <s v="NON-RP"/>
  </r>
  <r>
    <n v="70"/>
    <s v="2021S81691"/>
    <n v="202170"/>
    <s v="CC701678"/>
    <x v="15"/>
    <d v="2020-07-03T00:00:00"/>
    <d v="1899-12-30T17:12:50"/>
    <s v="Jul"/>
    <n v="350710"/>
    <s v="INR"/>
    <n v="63000"/>
    <s v="E111"/>
    <s v="E117"/>
    <s v="NA"/>
    <s v="NA"/>
    <s v="AM"/>
    <s v="DM"/>
    <s v="AM"/>
    <s v="DM"/>
    <s v="PASS"/>
    <s v="NA"/>
    <s v="2021"/>
    <s v="Jul"/>
    <s v="NON-RP"/>
  </r>
  <r>
    <n v="71"/>
    <s v="2021T81345"/>
    <n v="202171"/>
    <s v="CC826058"/>
    <x v="12"/>
    <d v="2020-07-06T00:00:00"/>
    <d v="1899-12-30T17:04:42"/>
    <s v="Jul"/>
    <n v="317450"/>
    <s v="INR"/>
    <n v="56880"/>
    <s v="E110"/>
    <s v="E120"/>
    <s v="NA"/>
    <s v="NA"/>
    <s v="AM"/>
    <s v="DM"/>
    <s v="AM"/>
    <s v="DM"/>
    <s v="PASS"/>
    <s v="NA"/>
    <s v="2021"/>
    <s v="Jul"/>
    <s v="NON-RP"/>
  </r>
  <r>
    <n v="72"/>
    <s v="2021T91070"/>
    <n v="202172"/>
    <s v="CC651707"/>
    <x v="8"/>
    <d v="2020-07-07T00:00:00"/>
    <d v="1899-12-30T14:08:03"/>
    <s v="Jul"/>
    <n v="4374900"/>
    <s v="INR"/>
    <n v="787320"/>
    <s v="E124"/>
    <s v="E125"/>
    <s v="NA"/>
    <s v="NA"/>
    <s v="SM"/>
    <s v="CM"/>
    <s v="SM"/>
    <s v="CM"/>
    <s v="PASS"/>
    <s v="NA"/>
    <s v="2021"/>
    <s v="Jul"/>
    <s v="NON-RP"/>
  </r>
  <r>
    <n v="73"/>
    <s v="2021X01716"/>
    <n v="202173"/>
    <s v="CC986093"/>
    <x v="22"/>
    <d v="2020-07-08T00:00:00"/>
    <d v="1899-12-30T12:18:38"/>
    <s v="Jul"/>
    <n v="379870"/>
    <s v="INR"/>
    <n v="68220"/>
    <s v="E111"/>
    <s v="E120"/>
    <s v="NA"/>
    <s v="NA"/>
    <s v="AM"/>
    <s v="DM"/>
    <s v="AM"/>
    <s v="DM"/>
    <s v="PASS"/>
    <s v="NA"/>
    <s v="2021"/>
    <s v="Jul"/>
    <s v="NON-RP"/>
  </r>
  <r>
    <n v="74"/>
    <s v="2021Z01615"/>
    <n v="202174"/>
    <s v="CC375965"/>
    <x v="8"/>
    <d v="2020-07-08T00:00:00"/>
    <d v="1899-12-30T11:00:55"/>
    <s v="Jul"/>
    <n v="415470"/>
    <s v="INR"/>
    <n v="74340"/>
    <s v="E115"/>
    <s v="E119"/>
    <s v="NA"/>
    <s v="NA"/>
    <s v="AM"/>
    <s v="DM"/>
    <s v="AM"/>
    <s v="DM"/>
    <s v="PASS"/>
    <s v="NA"/>
    <s v="2021"/>
    <s v="Jul"/>
    <s v="NON-RP"/>
  </r>
  <r>
    <n v="75"/>
    <s v="2021B51090"/>
    <n v="202175"/>
    <s v="CC938107"/>
    <x v="34"/>
    <d v="2020-07-08T00:00:00"/>
    <d v="1899-12-30T15:21:06"/>
    <s v="Jul"/>
    <n v="451520"/>
    <s v="INR"/>
    <n v="81000"/>
    <s v="E112"/>
    <s v="E117"/>
    <s v="NA"/>
    <s v="NA"/>
    <s v="AM"/>
    <s v="DM"/>
    <s v="AM"/>
    <s v="DM"/>
    <s v="PASS"/>
    <s v="NA"/>
    <s v="2021"/>
    <s v="Jul"/>
    <s v="NON-RP"/>
  </r>
  <r>
    <n v="76"/>
    <s v="2021X01094"/>
    <n v="202176"/>
    <s v="CC583620"/>
    <x v="36"/>
    <d v="2020-07-09T00:00:00"/>
    <d v="1899-12-30T12:15:25"/>
    <s v="Jul"/>
    <n v="453330"/>
    <s v="INR"/>
    <n v="81360"/>
    <s v="E115"/>
    <s v="E117"/>
    <s v="NA"/>
    <s v="NA"/>
    <s v="AM"/>
    <s v="DM"/>
    <s v="AM"/>
    <s v="DM"/>
    <s v="PASS"/>
    <s v="NA"/>
    <s v="2021"/>
    <s v="Jul"/>
    <s v="NON-RP"/>
  </r>
  <r>
    <n v="77"/>
    <s v="2021J91894"/>
    <n v="202177"/>
    <s v="CC101931"/>
    <x v="9"/>
    <d v="2020-07-11T00:00:00"/>
    <d v="1899-12-30T13:35:42"/>
    <s v="Jul"/>
    <n v="343940"/>
    <s v="INR"/>
    <n v="61560"/>
    <s v="E116"/>
    <s v="E119"/>
    <s v="NA"/>
    <s v="NA"/>
    <s v="AM"/>
    <s v="DM"/>
    <s v="AM"/>
    <s v="DM"/>
    <s v="PASS"/>
    <s v="NA"/>
    <s v="2021"/>
    <s v="Jul"/>
    <s v="NON-RP"/>
  </r>
  <r>
    <n v="78"/>
    <s v="2021B71281"/>
    <n v="202178"/>
    <s v="CC106478"/>
    <x v="32"/>
    <d v="2020-07-11T00:00:00"/>
    <d v="1899-12-30T12:08:55"/>
    <s v="Jul"/>
    <n v="369380"/>
    <s v="INR"/>
    <n v="66060"/>
    <s v="E113"/>
    <s v="E119"/>
    <s v="NA"/>
    <s v="NA"/>
    <s v="AM"/>
    <s v="DM"/>
    <s v="AM"/>
    <s v="DM"/>
    <s v="PASS"/>
    <s v="NA"/>
    <s v="2021"/>
    <s v="Jul"/>
    <s v="NON-RP"/>
  </r>
  <r>
    <n v="79"/>
    <s v="2021H41102"/>
    <n v="202179"/>
    <s v="CC609755"/>
    <x v="1"/>
    <d v="2020-07-13T00:00:00"/>
    <d v="1899-12-30T14:34:11"/>
    <s v="Jul"/>
    <n v="242400"/>
    <s v="INR"/>
    <n v="43380"/>
    <s v="E114"/>
    <s v="E121"/>
    <s v="NA"/>
    <s v="NA"/>
    <s v="AM"/>
    <s v="DM"/>
    <s v="AM"/>
    <s v="DM"/>
    <s v="PASS"/>
    <s v="NA"/>
    <s v="2021"/>
    <s v="Jul"/>
    <s v="NON-RP"/>
  </r>
  <r>
    <n v="80"/>
    <s v="2021L01099"/>
    <n v="202180"/>
    <s v="CC622403"/>
    <x v="37"/>
    <d v="2020-07-13T00:00:00"/>
    <d v="1899-12-30T15:58:33"/>
    <s v="Jul"/>
    <n v="343980"/>
    <s v="INR"/>
    <n v="61740"/>
    <s v="E112"/>
    <s v="E118"/>
    <s v="NA"/>
    <s v="NA"/>
    <s v="AM"/>
    <s v="DM"/>
    <s v="AM"/>
    <s v="DM"/>
    <s v="PASS"/>
    <s v="NA"/>
    <s v="2021"/>
    <s v="Jul"/>
    <s v="NON-RP"/>
  </r>
  <r>
    <n v="81"/>
    <s v="2021Y51189"/>
    <n v="202181"/>
    <s v="CC404008"/>
    <x v="38"/>
    <d v="2020-07-15T00:00:00"/>
    <d v="1899-12-30T13:00:58"/>
    <s v="Jun"/>
    <n v="337370"/>
    <s v="INR"/>
    <n v="60300"/>
    <s v="E112"/>
    <s v="E121"/>
    <s v="NA"/>
    <s v="NA"/>
    <s v="AM"/>
    <s v="DM"/>
    <s v="AM"/>
    <s v="DM"/>
    <s v="PASS"/>
    <s v="NA"/>
    <s v="2021"/>
    <s v="Jul"/>
    <s v="RP"/>
  </r>
  <r>
    <n v="82"/>
    <s v="2021M81255"/>
    <n v="202182"/>
    <s v="CC660318"/>
    <x v="22"/>
    <d v="2020-07-15T00:00:00"/>
    <d v="1899-12-30T12:19:38"/>
    <s v="Jul"/>
    <n v="393430"/>
    <s v="INR"/>
    <n v="70560"/>
    <s v="E113"/>
    <s v="E119"/>
    <s v="NA"/>
    <s v="NA"/>
    <s v="AM"/>
    <s v="DM"/>
    <s v="AM"/>
    <s v="DM"/>
    <s v="PASS"/>
    <s v="NA"/>
    <s v="2021"/>
    <s v="Jul"/>
    <s v="NON-RP"/>
  </r>
  <r>
    <n v="83"/>
    <s v="2021K41004"/>
    <n v="202183"/>
    <s v="CC349403"/>
    <x v="36"/>
    <d v="2020-07-15T00:00:00"/>
    <d v="1899-12-30T13:19:39"/>
    <s v="Jul"/>
    <n v="404010"/>
    <s v="INR"/>
    <n v="72540"/>
    <s v="E114"/>
    <s v="E118"/>
    <s v="NA"/>
    <s v="NA"/>
    <s v="AM"/>
    <s v="DM"/>
    <s v="AM"/>
    <s v="DM"/>
    <s v="PASS"/>
    <s v="NA"/>
    <s v="2021"/>
    <s v="Jul"/>
    <s v="NON-RP"/>
  </r>
  <r>
    <n v="84"/>
    <s v="2021W21969"/>
    <n v="202184"/>
    <s v="CC303098"/>
    <x v="19"/>
    <d v="2020-07-16T00:00:00"/>
    <d v="1899-12-30T11:20:30"/>
    <s v="Jul"/>
    <n v="448370"/>
    <s v="INR"/>
    <n v="80640"/>
    <s v="E112"/>
    <s v="E121"/>
    <s v="NA"/>
    <s v="NA"/>
    <s v="AM"/>
    <s v="DM"/>
    <s v="AM"/>
    <s v="DM"/>
    <s v="PASS"/>
    <s v="NA"/>
    <s v="2021"/>
    <s v="Jul"/>
    <s v="NON-RP"/>
  </r>
  <r>
    <n v="85"/>
    <s v="2021U41237"/>
    <n v="202185"/>
    <s v="CC539119"/>
    <x v="26"/>
    <d v="2020-07-16T00:00:00"/>
    <d v="1899-12-30T15:23:33"/>
    <s v="Jul"/>
    <n v="426610"/>
    <s v="INR"/>
    <n v="76320"/>
    <s v="E116"/>
    <s v="E119"/>
    <s v="NA"/>
    <s v="NA"/>
    <s v="AM"/>
    <s v="DM"/>
    <s v="AM"/>
    <s v="DM"/>
    <s v="PASS"/>
    <s v="NA"/>
    <s v="2021"/>
    <s v="Jul"/>
    <s v="NON-RP"/>
  </r>
  <r>
    <n v="86"/>
    <s v="2021A01638"/>
    <n v="202186"/>
    <s v="CC912514"/>
    <x v="27"/>
    <d v="2020-07-17T00:00:00"/>
    <d v="1899-12-30T14:51:57"/>
    <s v="Jul"/>
    <n v="400810"/>
    <s v="INR"/>
    <n v="71640"/>
    <s v="E110"/>
    <s v="E121"/>
    <s v="NA"/>
    <s v="NA"/>
    <s v="AM"/>
    <s v="DM"/>
    <s v="AM"/>
    <s v="DM"/>
    <s v="PASS"/>
    <s v="NA"/>
    <s v="2021"/>
    <s v="Jul"/>
    <s v="NON-RP"/>
  </r>
  <r>
    <n v="87"/>
    <s v="2021G01954"/>
    <n v="202187"/>
    <s v="CC300861"/>
    <x v="19"/>
    <d v="2020-07-18T00:00:00"/>
    <d v="1899-12-30T15:15:29"/>
    <s v="Jul"/>
    <n v="234150"/>
    <s v="INR"/>
    <n v="42120"/>
    <s v="E116"/>
    <s v="E118"/>
    <s v="NA"/>
    <s v="NA"/>
    <s v="AM"/>
    <s v="DM"/>
    <s v="AM"/>
    <s v="DM"/>
    <s v="PASS"/>
    <s v="NA"/>
    <s v="2021"/>
    <s v="Jul"/>
    <s v="NON-RP"/>
  </r>
  <r>
    <n v="88"/>
    <s v="2021J81996"/>
    <n v="202188"/>
    <s v="CC643300"/>
    <x v="6"/>
    <d v="2020-07-18T00:00:00"/>
    <d v="1899-12-30T10:00:16"/>
    <s v="Jul"/>
    <n v="402860"/>
    <s v="INR"/>
    <n v="72180"/>
    <s v="E111"/>
    <s v="E118"/>
    <s v="NA"/>
    <s v="NA"/>
    <s v="AM"/>
    <s v="DM"/>
    <s v="AM"/>
    <s v="DM"/>
    <s v="PASS"/>
    <s v="NA"/>
    <s v="2021"/>
    <s v="Jul"/>
    <s v="NON-RP"/>
  </r>
  <r>
    <n v="89"/>
    <s v="2021H01519"/>
    <n v="202189"/>
    <s v="CC357006"/>
    <x v="27"/>
    <d v="2020-07-20T00:00:00"/>
    <d v="1899-12-30T12:13:29"/>
    <s v="Jul"/>
    <n v="408480"/>
    <s v="INR"/>
    <n v="73260"/>
    <s v="E116"/>
    <s v="E121"/>
    <s v="NA"/>
    <s v="NA"/>
    <s v="AM"/>
    <s v="DM"/>
    <s v="AM"/>
    <s v="DM"/>
    <s v="PASS"/>
    <s v="NA"/>
    <s v="2021"/>
    <s v="Jul"/>
    <s v="NON-RP"/>
  </r>
  <r>
    <n v="90"/>
    <s v="2021A61174"/>
    <n v="202190"/>
    <s v="CC346925"/>
    <x v="14"/>
    <d v="2020-07-20T00:00:00"/>
    <d v="1899-12-30T11:36:18"/>
    <s v="Jul"/>
    <n v="6075310"/>
    <s v="INR"/>
    <n v="1093500"/>
    <s v="E125"/>
    <s v="E126"/>
    <s v="Approved"/>
    <s v="BM/CC346925C223"/>
    <s v="CM"/>
    <s v="CFO"/>
    <s v="CM"/>
    <s v="CFO"/>
    <s v="PASS"/>
    <s v="PASS"/>
    <s v="2021"/>
    <s v="Jul"/>
    <s v="NON-RP"/>
  </r>
  <r>
    <n v="91"/>
    <s v="2021U71963"/>
    <n v="202191"/>
    <s v="CC775172"/>
    <x v="39"/>
    <d v="2020-07-20T00:00:00"/>
    <d v="1899-12-30T14:04:54"/>
    <s v="Jul"/>
    <n v="448330"/>
    <s v="INR"/>
    <n v="80280"/>
    <s v="E114"/>
    <s v="E118"/>
    <s v="NA"/>
    <s v="NA"/>
    <s v="AM"/>
    <s v="DM"/>
    <s v="AM"/>
    <s v="DM"/>
    <s v="PASS"/>
    <s v="NA"/>
    <s v="2021"/>
    <s v="Jul"/>
    <s v="NON-RP"/>
  </r>
  <r>
    <n v="92"/>
    <s v="2021S81127"/>
    <n v="202192"/>
    <s v="CC991831"/>
    <x v="27"/>
    <d v="2020-07-22T00:00:00"/>
    <d v="1899-12-30T13:09:34"/>
    <s v="Jul"/>
    <n v="381310"/>
    <s v="INR"/>
    <n v="68220"/>
    <s v="E113"/>
    <s v="E119"/>
    <s v="NA"/>
    <s v="NA"/>
    <s v="AM"/>
    <s v="DM"/>
    <s v="AM"/>
    <s v="DM"/>
    <s v="PASS"/>
    <s v="NA"/>
    <s v="2021"/>
    <s v="Jul"/>
    <s v="NON-RP"/>
  </r>
  <r>
    <n v="93"/>
    <s v="2021E71709"/>
    <n v="202193"/>
    <s v="CC484761"/>
    <x v="30"/>
    <d v="2020-07-23T00:00:00"/>
    <d v="1899-12-30T16:02:39"/>
    <s v="Jul"/>
    <n v="35360"/>
    <s v="INR"/>
    <n v="6300"/>
    <s v="E103"/>
    <s v="E110"/>
    <s v="NA"/>
    <s v="NA"/>
    <s v="SE"/>
    <s v="AM"/>
    <s v="SE"/>
    <s v="AM"/>
    <s v="PASS"/>
    <s v="NA"/>
    <s v="2021"/>
    <s v="Jul"/>
    <s v="NON-RP"/>
  </r>
  <r>
    <n v="94"/>
    <s v="2021H91573"/>
    <n v="202194"/>
    <s v="CC163197"/>
    <x v="40"/>
    <d v="2020-07-27T00:00:00"/>
    <d v="1899-12-30T12:37:07"/>
    <s v="Jul"/>
    <n v="336830"/>
    <s v="INR"/>
    <n v="60300"/>
    <s v="E113"/>
    <s v="E119"/>
    <s v="NA"/>
    <s v="NA"/>
    <s v="AM"/>
    <s v="DM"/>
    <s v="AM"/>
    <s v="DM"/>
    <s v="PASS"/>
    <s v="NA"/>
    <s v="2021"/>
    <s v="Jul"/>
    <s v="NON-RP"/>
  </r>
  <r>
    <n v="95"/>
    <s v="2021B01582"/>
    <n v="202195"/>
    <s v="CC163689"/>
    <x v="41"/>
    <d v="2020-07-28T00:00:00"/>
    <d v="1899-12-30T12:35:39"/>
    <s v="Jul"/>
    <n v="452640"/>
    <s v="INR"/>
    <n v="81360"/>
    <s v="E112"/>
    <s v="E120"/>
    <s v="NA"/>
    <s v="NA"/>
    <s v="AM"/>
    <s v="DM"/>
    <s v="AM"/>
    <s v="DM"/>
    <s v="PASS"/>
    <s v="NA"/>
    <s v="2021"/>
    <s v="Jul"/>
    <s v="NON-RP"/>
  </r>
  <r>
    <n v="96"/>
    <s v="2021T01220"/>
    <n v="202196"/>
    <s v="CC941267"/>
    <x v="14"/>
    <d v="2020-07-29T00:00:00"/>
    <d v="1899-12-30T10:07:49"/>
    <s v="Jul"/>
    <n v="363210"/>
    <s v="INR"/>
    <n v="65340"/>
    <s v="E115"/>
    <s v="E120"/>
    <s v="NA"/>
    <s v="NA"/>
    <s v="AM"/>
    <s v="DM"/>
    <s v="AM"/>
    <s v="DM"/>
    <s v="PASS"/>
    <s v="NA"/>
    <s v="2021"/>
    <s v="Jul"/>
    <s v="NON-RP"/>
  </r>
  <r>
    <n v="97"/>
    <s v="2021L51402"/>
    <n v="202197"/>
    <s v="CC142316"/>
    <x v="18"/>
    <d v="2020-08-01T00:00:00"/>
    <d v="1899-12-30T17:14:13"/>
    <s v="Aug"/>
    <n v="459610"/>
    <s v="INR"/>
    <n v="82620"/>
    <s v="E113"/>
    <s v="E118"/>
    <s v="NA"/>
    <s v="NA"/>
    <s v="AM"/>
    <s v="DM"/>
    <s v="AM"/>
    <s v="DM"/>
    <s v="PASS"/>
    <s v="NA"/>
    <s v="2021"/>
    <s v="Aug"/>
    <s v="NON-RP"/>
  </r>
  <r>
    <n v="98"/>
    <s v="2021H21977"/>
    <n v="202198"/>
    <s v="CC140647"/>
    <x v="34"/>
    <d v="2020-08-03T00:00:00"/>
    <d v="1899-12-30T13:26:51"/>
    <s v="Aug"/>
    <n v="468940"/>
    <s v="INR"/>
    <n v="84060"/>
    <s v="E116"/>
    <s v="E117"/>
    <s v="NA"/>
    <s v="NA"/>
    <s v="AM"/>
    <s v="DM"/>
    <s v="AM"/>
    <s v="DM"/>
    <s v="PASS"/>
    <s v="NA"/>
    <s v="2021"/>
    <s v="Aug"/>
    <s v="NON-RP"/>
  </r>
  <r>
    <n v="99"/>
    <s v="2021X01580"/>
    <n v="202199"/>
    <s v="CC564246"/>
    <x v="16"/>
    <d v="2020-08-03T00:00:00"/>
    <d v="1899-12-30T13:28:14"/>
    <s v="Aug"/>
    <n v="386980"/>
    <s v="INR"/>
    <n v="69480"/>
    <s v="E115"/>
    <s v="E117"/>
    <s v="NA"/>
    <s v="NA"/>
    <s v="AM"/>
    <s v="DM"/>
    <s v="AM"/>
    <s v="DM"/>
    <s v="PASS"/>
    <s v="NA"/>
    <s v="2021"/>
    <s v="Aug"/>
    <s v="NON-RP"/>
  </r>
  <r>
    <n v="100"/>
    <s v="2021A71372"/>
    <n v="2021100"/>
    <s v="CC608204"/>
    <x v="40"/>
    <d v="2020-08-05T00:00:00"/>
    <d v="1899-12-30T11:50:45"/>
    <s v="Aug"/>
    <n v="384860"/>
    <s v="INR"/>
    <n v="69120"/>
    <s v="E116"/>
    <s v="E118"/>
    <s v="NA"/>
    <s v="NA"/>
    <s v="AM"/>
    <s v="DM"/>
    <s v="AM"/>
    <s v="DM"/>
    <s v="PASS"/>
    <s v="NA"/>
    <s v="2021"/>
    <s v="Aug"/>
    <s v="NON-RP"/>
  </r>
  <r>
    <n v="101"/>
    <s v="2021B31430"/>
    <n v="2021101"/>
    <s v="CC189736"/>
    <x v="37"/>
    <d v="2020-08-07T00:00:00"/>
    <d v="1899-12-30T13:09:24"/>
    <s v="Jul"/>
    <n v="476490"/>
    <s v="INR"/>
    <n v="85320"/>
    <s v="E112"/>
    <s v="E117"/>
    <s v="NA"/>
    <s v="NA"/>
    <s v="AM"/>
    <s v="DM"/>
    <s v="AM"/>
    <s v="DM"/>
    <s v="PASS"/>
    <s v="NA"/>
    <s v="2021"/>
    <s v="Aug"/>
    <s v="NON-RP"/>
  </r>
  <r>
    <n v="102"/>
    <s v="2021M91482"/>
    <n v="2021102"/>
    <s v="CC490388"/>
    <x v="20"/>
    <d v="2020-08-12T00:00:00"/>
    <d v="1899-12-30T14:05:52"/>
    <s v="Aug"/>
    <n v="221320"/>
    <s v="INR"/>
    <n v="39600"/>
    <s v="E111"/>
    <s v="E121"/>
    <s v="NA"/>
    <s v="NA"/>
    <s v="AM"/>
    <s v="DM"/>
    <s v="AM"/>
    <s v="DM"/>
    <s v="PASS"/>
    <s v="NA"/>
    <s v="2021"/>
    <s v="Aug"/>
    <s v="RP"/>
  </r>
  <r>
    <n v="103"/>
    <s v="2021B31300"/>
    <n v="2021103"/>
    <s v="CC796823"/>
    <x v="42"/>
    <d v="2020-08-14T00:00:00"/>
    <d v="1899-12-30T10:45:47"/>
    <s v="Aug"/>
    <n v="361170"/>
    <s v="INR"/>
    <n v="64980"/>
    <s v="E111"/>
    <s v="E118"/>
    <s v="NA"/>
    <s v="NA"/>
    <s v="AM"/>
    <s v="DM"/>
    <s v="AM"/>
    <s v="DM"/>
    <s v="PASS"/>
    <s v="NA"/>
    <s v="2021"/>
    <s v="Aug"/>
    <s v="NON-RP"/>
  </r>
  <r>
    <n v="104"/>
    <s v="2021P61723"/>
    <n v="2021104"/>
    <s v="CC963879"/>
    <x v="43"/>
    <d v="2020-08-17T00:00:00"/>
    <d v="1899-12-30T14:30:19"/>
    <s v="Aug"/>
    <n v="468930"/>
    <s v="INR"/>
    <n v="84240"/>
    <s v="E111"/>
    <s v="E120"/>
    <s v="NA"/>
    <s v="NA"/>
    <s v="AM"/>
    <s v="DM"/>
    <s v="AM"/>
    <s v="DM"/>
    <s v="PASS"/>
    <s v="NA"/>
    <s v="2021"/>
    <s v="Aug"/>
    <s v="NON-RP"/>
  </r>
  <r>
    <n v="105"/>
    <s v="2021P41840"/>
    <n v="2021105"/>
    <s v="CC206692"/>
    <x v="5"/>
    <d v="2020-08-18T00:00:00"/>
    <d v="1899-12-30T14:32:23"/>
    <s v="Aug"/>
    <n v="425960"/>
    <s v="INR"/>
    <n v="76500"/>
    <s v="E114"/>
    <s v="E120"/>
    <s v="NA"/>
    <s v="NA"/>
    <s v="AM"/>
    <s v="DM"/>
    <s v="AM"/>
    <s v="DM"/>
    <s v="PASS"/>
    <s v="NA"/>
    <s v="2021"/>
    <s v="Aug"/>
    <s v="NON-RP"/>
  </r>
  <r>
    <n v="106"/>
    <s v="2021N11941"/>
    <n v="2021106"/>
    <s v="CC879716"/>
    <x v="31"/>
    <d v="2020-08-18T00:00:00"/>
    <d v="1899-12-30T15:34:46"/>
    <s v="Aug"/>
    <n v="489420"/>
    <s v="INR"/>
    <n v="87660"/>
    <s v="E113"/>
    <s v="E117"/>
    <s v="NA"/>
    <s v="NA"/>
    <s v="AM"/>
    <s v="DM"/>
    <s v="AM"/>
    <s v="DM"/>
    <s v="PASS"/>
    <s v="NA"/>
    <s v="2021"/>
    <s v="Aug"/>
    <s v="NON-RP"/>
  </r>
  <r>
    <n v="107"/>
    <s v="2021A11297"/>
    <n v="2021107"/>
    <s v="CC138113"/>
    <x v="20"/>
    <d v="2020-08-18T00:00:00"/>
    <d v="1899-12-30T10:05:17"/>
    <s v="Aug"/>
    <n v="487730"/>
    <s v="INR"/>
    <n v="87300"/>
    <s v="E112"/>
    <s v="E121"/>
    <s v="NA"/>
    <s v="NA"/>
    <s v="AM"/>
    <s v="DM"/>
    <s v="AM"/>
    <s v="DM"/>
    <s v="PASS"/>
    <s v="NA"/>
    <s v="2021"/>
    <s v="Aug"/>
    <s v="RP"/>
  </r>
  <r>
    <n v="108"/>
    <s v="2021E11569"/>
    <n v="2021108"/>
    <s v="CC757686"/>
    <x v="27"/>
    <d v="2020-08-19T00:00:00"/>
    <d v="1899-12-30T11:13:38"/>
    <s v="Aug"/>
    <n v="5435440"/>
    <s v="INR"/>
    <n v="978300"/>
    <s v="E125"/>
    <s v="E126"/>
    <s v="Approved"/>
    <s v="BM/CC757686C216"/>
    <s v="CM"/>
    <s v="CFO"/>
    <s v="CM"/>
    <s v="CFO"/>
    <s v="PASS"/>
    <s v="PASS"/>
    <s v="2021"/>
    <s v="Aug"/>
    <s v="NON-RP"/>
  </r>
  <r>
    <n v="109"/>
    <s v="2021U51929"/>
    <n v="2021109"/>
    <s v="CC824101"/>
    <x v="34"/>
    <d v="2020-08-20T00:00:00"/>
    <d v="1899-12-30T13:59:38"/>
    <s v="Aug"/>
    <n v="228310"/>
    <s v="INR"/>
    <n v="40860"/>
    <s v="E114"/>
    <s v="E120"/>
    <s v="NA"/>
    <s v="NA"/>
    <s v="AM"/>
    <s v="DM"/>
    <s v="AM"/>
    <s v="DM"/>
    <s v="PASS"/>
    <s v="NA"/>
    <s v="2021"/>
    <s v="Aug"/>
    <s v="NON-RP"/>
  </r>
  <r>
    <n v="110"/>
    <s v="2021C81340"/>
    <n v="2021110"/>
    <s v="CC234912"/>
    <x v="24"/>
    <d v="2020-08-20T00:00:00"/>
    <d v="1899-12-30T14:17:11"/>
    <s v="Aug"/>
    <n v="231130"/>
    <s v="INR"/>
    <n v="41220"/>
    <s v="E113"/>
    <s v="E120"/>
    <s v="NA"/>
    <s v="NA"/>
    <s v="AM"/>
    <s v="DM"/>
    <s v="AM"/>
    <s v="DM"/>
    <s v="PASS"/>
    <s v="NA"/>
    <s v="2021"/>
    <s v="Aug"/>
    <s v="NON-RP"/>
  </r>
  <r>
    <n v="111"/>
    <s v="2021G21610"/>
    <n v="2021111"/>
    <s v="CC194242"/>
    <x v="44"/>
    <d v="2020-08-20T00:00:00"/>
    <d v="1899-12-30T15:41:01"/>
    <s v="Aug"/>
    <n v="309860"/>
    <s v="INR"/>
    <n v="55440"/>
    <s v="E116"/>
    <s v="E118"/>
    <s v="NA"/>
    <s v="NA"/>
    <s v="AM"/>
    <s v="DM"/>
    <s v="AM"/>
    <s v="DM"/>
    <s v="PASS"/>
    <s v="NA"/>
    <s v="2021"/>
    <s v="Aug"/>
    <s v="RP"/>
  </r>
  <r>
    <n v="112"/>
    <s v="2021L81146"/>
    <n v="2021112"/>
    <s v="CC262751"/>
    <x v="5"/>
    <d v="2020-08-26T00:00:00"/>
    <d v="1899-12-30T12:26:16"/>
    <s v="Aug"/>
    <n v="469290"/>
    <s v="INR"/>
    <n v="84420"/>
    <s v="E110"/>
    <s v="E119"/>
    <s v="NA"/>
    <s v="NA"/>
    <s v="AM"/>
    <s v="DM"/>
    <s v="AM"/>
    <s v="DM"/>
    <s v="PASS"/>
    <s v="NA"/>
    <s v="2021"/>
    <s v="Aug"/>
    <s v="NON-RP"/>
  </r>
  <r>
    <n v="113"/>
    <s v="2021I11304"/>
    <n v="2021113"/>
    <s v="CC377358"/>
    <x v="23"/>
    <d v="2020-08-26T00:00:00"/>
    <d v="1899-12-30T16:51:43"/>
    <s v="Aug"/>
    <n v="485210"/>
    <s v="INR"/>
    <n v="86940"/>
    <s v="E110"/>
    <s v="E120"/>
    <s v="NA"/>
    <s v="NA"/>
    <s v="AM"/>
    <s v="DM"/>
    <s v="AM"/>
    <s v="DM"/>
    <s v="PASS"/>
    <s v="NA"/>
    <s v="2021"/>
    <s v="Aug"/>
    <s v="NON-RP"/>
  </r>
  <r>
    <n v="114"/>
    <s v="2021Q61728"/>
    <n v="2021114"/>
    <s v="CC550811"/>
    <x v="19"/>
    <d v="2020-08-27T00:00:00"/>
    <d v="1899-12-30T16:27:16"/>
    <s v="Aug"/>
    <n v="336440"/>
    <s v="INR"/>
    <n v="60300"/>
    <s v="E110"/>
    <s v="E117"/>
    <s v="NA"/>
    <s v="NA"/>
    <s v="AM"/>
    <s v="DM"/>
    <s v="AM"/>
    <s v="DM"/>
    <s v="PASS"/>
    <s v="NA"/>
    <s v="2021"/>
    <s v="Aug"/>
    <s v="NON-RP"/>
  </r>
  <r>
    <n v="115"/>
    <s v="2021A61891"/>
    <n v="2021115"/>
    <s v="CC963120"/>
    <x v="14"/>
    <d v="2020-08-31T00:00:00"/>
    <d v="1899-12-30T11:19:12"/>
    <s v="Aug"/>
    <n v="230600"/>
    <s v="INR"/>
    <n v="41400"/>
    <s v="E116"/>
    <s v="E120"/>
    <s v="NA"/>
    <s v="NA"/>
    <s v="AM"/>
    <s v="DM"/>
    <s v="AM"/>
    <s v="DM"/>
    <s v="PASS"/>
    <s v="NA"/>
    <s v="2021"/>
    <s v="Aug"/>
    <s v="NON-RP"/>
  </r>
  <r>
    <n v="116"/>
    <s v="2021B81995"/>
    <n v="2021116"/>
    <s v="CC187415"/>
    <x v="23"/>
    <d v="2020-08-31T00:00:00"/>
    <d v="1899-12-30T13:48:39"/>
    <s v="Aug"/>
    <n v="442130"/>
    <s v="INR"/>
    <n v="79380"/>
    <s v="E113"/>
    <s v="E118"/>
    <s v="NA"/>
    <s v="NA"/>
    <s v="AM"/>
    <s v="DM"/>
    <s v="AM"/>
    <s v="DM"/>
    <s v="PASS"/>
    <s v="NA"/>
    <s v="2021"/>
    <s v="Aug"/>
    <s v="NON-RP"/>
  </r>
  <r>
    <n v="117"/>
    <s v="2021Q11357"/>
    <n v="2021117"/>
    <s v="CC678464"/>
    <x v="25"/>
    <d v="2020-09-01T00:00:00"/>
    <d v="1899-12-30T17:07:40"/>
    <s v="Sep"/>
    <n v="347590"/>
    <s v="INR"/>
    <n v="62460"/>
    <s v="E113"/>
    <s v="E121"/>
    <s v="NA"/>
    <s v="NA"/>
    <s v="AM"/>
    <s v="DM"/>
    <s v="AM"/>
    <s v="DM"/>
    <s v="PASS"/>
    <s v="NA"/>
    <s v="2021"/>
    <s v="Sep"/>
    <s v="NON-RP"/>
  </r>
  <r>
    <n v="118"/>
    <s v="2021W21207"/>
    <n v="2021118"/>
    <s v="CC658620"/>
    <x v="33"/>
    <d v="2020-09-01T00:00:00"/>
    <d v="1899-12-30T16:20:51"/>
    <s v="Sep"/>
    <n v="484270"/>
    <s v="INR"/>
    <n v="86940"/>
    <s v="E112"/>
    <s v="E121"/>
    <s v="NA"/>
    <s v="NA"/>
    <s v="AM"/>
    <s v="DM"/>
    <s v="AM"/>
    <s v="DM"/>
    <s v="PASS"/>
    <s v="NA"/>
    <s v="2021"/>
    <s v="Sep"/>
    <s v="NON-RP"/>
  </r>
  <r>
    <n v="119"/>
    <s v="2021I01370"/>
    <n v="2021119"/>
    <s v="CC272279"/>
    <x v="4"/>
    <d v="2020-09-01T00:00:00"/>
    <d v="1899-12-30T12:35:08"/>
    <s v="Sep"/>
    <n v="371400"/>
    <s v="INR"/>
    <n v="66420"/>
    <s v="E114"/>
    <s v="E118"/>
    <s v="NA"/>
    <s v="NA"/>
    <s v="AM"/>
    <s v="DM"/>
    <s v="AM"/>
    <s v="DM"/>
    <s v="PASS"/>
    <s v="NA"/>
    <s v="2021"/>
    <s v="Sep"/>
    <s v="NON-RP"/>
  </r>
  <r>
    <n v="120"/>
    <s v="2021A71500"/>
    <n v="2021120"/>
    <s v="CC926667"/>
    <x v="10"/>
    <d v="2020-09-04T00:00:00"/>
    <d v="1899-12-30T14:44:26"/>
    <s v="Sep"/>
    <n v="413860"/>
    <s v="INR"/>
    <n v="74160"/>
    <s v="E113"/>
    <s v="E118"/>
    <s v="NA"/>
    <s v="NA"/>
    <s v="AM"/>
    <s v="DM"/>
    <s v="AM"/>
    <s v="DM"/>
    <s v="PASS"/>
    <s v="NA"/>
    <s v="2021"/>
    <s v="Sep"/>
    <s v="NON-RP"/>
  </r>
  <r>
    <n v="121"/>
    <s v="2021G41623"/>
    <n v="2021121"/>
    <s v="CC669152"/>
    <x v="16"/>
    <d v="2020-09-07T00:00:00"/>
    <d v="1899-12-30T11:03:53"/>
    <s v="Sep"/>
    <n v="496390"/>
    <s v="INR"/>
    <n v="89280"/>
    <s v="E112"/>
    <s v="E117"/>
    <s v="NA"/>
    <s v="NA"/>
    <s v="AM"/>
    <s v="DM"/>
    <s v="AM"/>
    <s v="DM"/>
    <s v="PASS"/>
    <s v="NA"/>
    <s v="2021"/>
    <s v="Sep"/>
    <s v="NON-RP"/>
  </r>
  <r>
    <n v="122"/>
    <s v="2021Q11837"/>
    <n v="2021122"/>
    <s v="CC520152"/>
    <x v="45"/>
    <d v="2020-09-07T00:00:00"/>
    <d v="1899-12-30T17:58:48"/>
    <s v="Sep"/>
    <n v="265640"/>
    <s v="INR"/>
    <n v="47520"/>
    <s v="E111"/>
    <s v="E119"/>
    <s v="NA"/>
    <s v="NA"/>
    <s v="AM"/>
    <s v="DM"/>
    <s v="AM"/>
    <s v="DM"/>
    <s v="PASS"/>
    <s v="NA"/>
    <s v="2021"/>
    <s v="Sep"/>
    <s v="NON-RP"/>
  </r>
  <r>
    <n v="123"/>
    <s v="2021D01722"/>
    <n v="2021123"/>
    <s v="CC789932"/>
    <x v="34"/>
    <d v="2020-09-08T00:00:00"/>
    <d v="1899-12-30T10:27:22"/>
    <s v="Aug"/>
    <n v="287540"/>
    <s v="INR"/>
    <n v="51480"/>
    <s v="E111"/>
    <s v="E120"/>
    <s v="NA"/>
    <s v="NA"/>
    <s v="AM"/>
    <s v="DM"/>
    <s v="AM"/>
    <s v="DM"/>
    <s v="PASS"/>
    <s v="NA"/>
    <s v="2021"/>
    <s v="Sep"/>
    <s v="NON-RP"/>
  </r>
  <r>
    <n v="124"/>
    <s v="2021T41432"/>
    <n v="2021124"/>
    <s v="CC129136"/>
    <x v="9"/>
    <d v="2020-09-09T00:00:00"/>
    <d v="1899-12-30T14:10:38"/>
    <s v="Sep"/>
    <n v="320190"/>
    <s v="INR"/>
    <n v="57240"/>
    <s v="E115"/>
    <s v="E118"/>
    <s v="NA"/>
    <s v="NA"/>
    <s v="AM"/>
    <s v="DM"/>
    <s v="AM"/>
    <s v="DM"/>
    <s v="PASS"/>
    <s v="NA"/>
    <s v="2021"/>
    <s v="Sep"/>
    <s v="NON-RP"/>
  </r>
  <r>
    <n v="125"/>
    <s v="2021A61477"/>
    <n v="2021125"/>
    <s v="CC174050"/>
    <x v="34"/>
    <d v="2020-09-11T00:00:00"/>
    <d v="1899-12-30T11:12:43"/>
    <s v="Sep"/>
    <n v="31200"/>
    <s v="INR"/>
    <n v="5220"/>
    <s v="E107"/>
    <s v="E115"/>
    <s v="NA"/>
    <s v="NA"/>
    <s v="SE"/>
    <s v="AM"/>
    <s v="SE"/>
    <s v="AM"/>
    <s v="PASS"/>
    <s v="NA"/>
    <s v="2021"/>
    <s v="Sep"/>
    <s v="NON-RP"/>
  </r>
  <r>
    <n v="126"/>
    <s v="2021F71809"/>
    <n v="2021126"/>
    <s v="CC203129"/>
    <x v="1"/>
    <d v="2020-09-11T00:00:00"/>
    <d v="1899-12-30T14:04:05"/>
    <s v="Sep"/>
    <n v="261830"/>
    <s v="INR"/>
    <n v="46620"/>
    <s v="E112"/>
    <s v="E117"/>
    <s v="NA"/>
    <s v="NA"/>
    <s v="AM"/>
    <s v="DM"/>
    <s v="AM"/>
    <s v="DM"/>
    <s v="PASS"/>
    <s v="NA"/>
    <s v="2021"/>
    <s v="Sep"/>
    <s v="NON-RP"/>
  </r>
  <r>
    <n v="127"/>
    <s v="2021K81641"/>
    <n v="2021127"/>
    <s v="CC913019"/>
    <x v="7"/>
    <d v="2020-09-16T00:00:00"/>
    <d v="1899-12-30T17:14:45"/>
    <s v="Sep"/>
    <n v="409610"/>
    <s v="INR"/>
    <n v="73260"/>
    <s v="E111"/>
    <s v="E117"/>
    <s v="NA"/>
    <s v="NA"/>
    <s v="AM"/>
    <s v="DM"/>
    <s v="AM"/>
    <s v="DM"/>
    <s v="PASS"/>
    <s v="NA"/>
    <s v="2021"/>
    <s v="Sep"/>
    <s v="NON-RP"/>
  </r>
  <r>
    <n v="128"/>
    <s v="2021C71790"/>
    <n v="2021128"/>
    <s v="CC605123"/>
    <x v="39"/>
    <d v="2020-09-16T00:00:00"/>
    <d v="1899-12-30T10:23:50"/>
    <s v="Sep"/>
    <n v="436450"/>
    <s v="INR"/>
    <n v="78300"/>
    <s v="E116"/>
    <s v="E118"/>
    <s v="NA"/>
    <s v="NA"/>
    <s v="AM"/>
    <s v="DM"/>
    <s v="AM"/>
    <s v="DM"/>
    <s v="PASS"/>
    <s v="NA"/>
    <s v="2021"/>
    <s v="Sep"/>
    <s v="NON-RP"/>
  </r>
  <r>
    <n v="129"/>
    <s v="2021B71939"/>
    <n v="2021129"/>
    <s v="CC269136"/>
    <x v="3"/>
    <d v="2020-09-18T00:00:00"/>
    <d v="1899-12-30T10:49:23"/>
    <s v="Sep"/>
    <n v="396810"/>
    <s v="INR"/>
    <n v="71100"/>
    <s v="E110"/>
    <s v="E121"/>
    <s v="NA"/>
    <s v="NA"/>
    <s v="AM"/>
    <s v="DM"/>
    <s v="AM"/>
    <s v="DM"/>
    <s v="PASS"/>
    <s v="NA"/>
    <s v="2021"/>
    <s v="Sep"/>
    <s v="NON-RP"/>
  </r>
  <r>
    <n v="130"/>
    <s v="2021T21047"/>
    <n v="2021130"/>
    <s v="CC689289"/>
    <x v="18"/>
    <d v="2020-09-19T00:00:00"/>
    <d v="1899-12-30T14:15:24"/>
    <s v="Sep"/>
    <n v="357630"/>
    <s v="INR"/>
    <n v="64260"/>
    <s v="E110"/>
    <s v="E120"/>
    <s v="NA"/>
    <s v="NA"/>
    <s v="AM"/>
    <s v="DM"/>
    <s v="AM"/>
    <s v="DM"/>
    <s v="PASS"/>
    <s v="NA"/>
    <s v="2021"/>
    <s v="Sep"/>
    <s v="NON-RP"/>
  </r>
  <r>
    <n v="131"/>
    <s v="2021H41240"/>
    <n v="2021131"/>
    <s v="CC372625"/>
    <x v="2"/>
    <d v="2020-09-21T00:00:00"/>
    <d v="1899-12-30T12:54:30"/>
    <s v="Sep"/>
    <n v="257380"/>
    <s v="INR"/>
    <n v="46260"/>
    <s v="E110"/>
    <s v="E121"/>
    <s v="NA"/>
    <s v="NA"/>
    <s v="AM"/>
    <s v="DM"/>
    <s v="AM"/>
    <s v="DM"/>
    <s v="PASS"/>
    <s v="NA"/>
    <s v="2021"/>
    <s v="Sep"/>
    <s v="NON-RP"/>
  </r>
  <r>
    <n v="132"/>
    <s v="2021V41995"/>
    <n v="2021132"/>
    <s v="CC818032"/>
    <x v="19"/>
    <d v="2020-09-21T00:00:00"/>
    <d v="1899-12-30T15:12:11"/>
    <s v="Sep"/>
    <n v="260190"/>
    <s v="INR"/>
    <n v="46620"/>
    <s v="E110"/>
    <s v="E120"/>
    <s v="NA"/>
    <s v="NA"/>
    <s v="AM"/>
    <s v="DM"/>
    <s v="AM"/>
    <s v="DM"/>
    <s v="PASS"/>
    <s v="NA"/>
    <s v="2021"/>
    <s v="Sep"/>
    <s v="NON-RP"/>
  </r>
  <r>
    <n v="133"/>
    <s v="2021j61812"/>
    <n v="2021133"/>
    <s v="CC360301"/>
    <x v="8"/>
    <d v="2020-09-22T00:00:00"/>
    <d v="1899-12-30T13:23:09"/>
    <s v="Sep"/>
    <n v="425730"/>
    <s v="INR"/>
    <n v="76140"/>
    <s v="E114"/>
    <s v="E119"/>
    <s v="NA"/>
    <s v="NA"/>
    <s v="AM"/>
    <s v="DM"/>
    <s v="AM"/>
    <s v="DM"/>
    <s v="PASS"/>
    <s v="NA"/>
    <s v="2021"/>
    <s v="Sep"/>
    <s v="NON-RP"/>
  </r>
  <r>
    <n v="134"/>
    <s v="2021T01222"/>
    <n v="2021134"/>
    <s v="CC490914"/>
    <x v="24"/>
    <d v="2020-09-23T00:00:00"/>
    <d v="1899-12-30T10:12:09"/>
    <s v="Sep"/>
    <n v="499520"/>
    <s v="INR"/>
    <n v="89640"/>
    <s v="E110"/>
    <s v="E119"/>
    <s v="NA"/>
    <s v="NA"/>
    <s v="AM"/>
    <s v="DM"/>
    <s v="AM"/>
    <s v="DM"/>
    <s v="PASS"/>
    <s v="NA"/>
    <s v="2021"/>
    <s v="Sep"/>
    <s v="NON-RP"/>
  </r>
  <r>
    <n v="135"/>
    <s v="2021Y21296"/>
    <n v="2021135"/>
    <s v="CC848821"/>
    <x v="40"/>
    <d v="2020-09-24T00:00:00"/>
    <d v="1899-12-30T16:45:07"/>
    <s v="Sep"/>
    <n v="344930"/>
    <s v="INR"/>
    <n v="61740"/>
    <s v="E110"/>
    <s v="E121"/>
    <s v="NA"/>
    <s v="NA"/>
    <s v="AM"/>
    <s v="DM"/>
    <s v="AM"/>
    <s v="DM"/>
    <s v="PASS"/>
    <s v="NA"/>
    <s v="2021"/>
    <s v="Sep"/>
    <s v="NON-RP"/>
  </r>
  <r>
    <n v="136"/>
    <s v="2021N51813"/>
    <n v="2021136"/>
    <s v="CC365954"/>
    <x v="3"/>
    <d v="2020-09-24T00:00:00"/>
    <d v="1899-12-30T17:09:52"/>
    <s v="Sep"/>
    <n v="272690"/>
    <s v="INR"/>
    <n v="48780"/>
    <s v="E112"/>
    <s v="E120"/>
    <s v="NA"/>
    <s v="NA"/>
    <s v="AM"/>
    <s v="DM"/>
    <s v="AM"/>
    <s v="DM"/>
    <s v="PASS"/>
    <s v="NA"/>
    <s v="2021"/>
    <s v="Sep"/>
    <s v="NON-RP"/>
  </r>
  <r>
    <n v="137"/>
    <s v="2021M61954"/>
    <n v="2021137"/>
    <s v="CC624106"/>
    <x v="43"/>
    <d v="2020-09-25T00:00:00"/>
    <d v="1899-12-30T13:50:40"/>
    <s v="Sep"/>
    <n v="253760"/>
    <s v="INR"/>
    <n v="45360"/>
    <s v="E111"/>
    <s v="E117"/>
    <s v="NA"/>
    <s v="NA"/>
    <s v="AM"/>
    <s v="DM"/>
    <s v="AM"/>
    <s v="DM"/>
    <s v="PASS"/>
    <s v="NA"/>
    <s v="2021"/>
    <s v="Sep"/>
    <s v="NON-RP"/>
  </r>
  <r>
    <n v="138"/>
    <s v="2021H81749"/>
    <n v="2021138"/>
    <s v="CC388111"/>
    <x v="22"/>
    <d v="2020-09-26T00:00:00"/>
    <d v="1899-12-30T10:47:43"/>
    <s v="Sep"/>
    <n v="361660"/>
    <s v="INR"/>
    <n v="64800"/>
    <s v="E113"/>
    <s v="E120"/>
    <s v="NA"/>
    <s v="NA"/>
    <s v="AM"/>
    <s v="DM"/>
    <s v="AM"/>
    <s v="DM"/>
    <s v="PASS"/>
    <s v="NA"/>
    <s v="2021"/>
    <s v="Sep"/>
    <s v="NON-RP"/>
  </r>
  <r>
    <n v="139"/>
    <s v="2021P01829"/>
    <n v="2021139"/>
    <s v="CC692084"/>
    <x v="4"/>
    <d v="2020-09-28T00:00:00"/>
    <d v="1899-12-30T15:36:19"/>
    <s v="Sep"/>
    <n v="325730"/>
    <s v="INR"/>
    <n v="58320"/>
    <s v="E114"/>
    <s v="E121"/>
    <s v="NA"/>
    <s v="NA"/>
    <s v="AM"/>
    <s v="DM"/>
    <s v="AM"/>
    <s v="DM"/>
    <s v="PASS"/>
    <s v="NA"/>
    <s v="2021"/>
    <s v="Sep"/>
    <s v="NON-RP"/>
  </r>
  <r>
    <n v="140"/>
    <s v="2021K11075"/>
    <n v="2021140"/>
    <s v="CC226211"/>
    <x v="39"/>
    <d v="2020-09-29T00:00:00"/>
    <d v="1899-12-30T12:49:53"/>
    <s v="Sep"/>
    <n v="343420"/>
    <s v="INR"/>
    <n v="61380"/>
    <s v="E116"/>
    <s v="E119"/>
    <s v="NA"/>
    <s v="NA"/>
    <s v="AM"/>
    <s v="DM"/>
    <s v="AM"/>
    <s v="DM"/>
    <s v="PASS"/>
    <s v="NA"/>
    <s v="2021"/>
    <s v="Sep"/>
    <s v="NON-RP"/>
  </r>
  <r>
    <n v="141"/>
    <s v="2021A71669"/>
    <n v="2021141"/>
    <s v="CC718075"/>
    <x v="35"/>
    <d v="2020-09-29T00:00:00"/>
    <d v="1899-12-30T13:20:58"/>
    <s v="Sep"/>
    <n v="413230"/>
    <s v="INR"/>
    <n v="74160"/>
    <s v="E116"/>
    <s v="E121"/>
    <s v="NA"/>
    <s v="NA"/>
    <s v="AM"/>
    <s v="DM"/>
    <s v="AM"/>
    <s v="DM"/>
    <s v="PASS"/>
    <s v="NA"/>
    <s v="2021"/>
    <s v="Sep"/>
    <s v="NON-RP"/>
  </r>
  <r>
    <n v="142"/>
    <s v="2021Z31837"/>
    <n v="2021142"/>
    <s v="CC933354"/>
    <x v="31"/>
    <d v="2020-09-30T00:00:00"/>
    <d v="1899-12-30T12:37:53"/>
    <s v="Sep"/>
    <n v="287450"/>
    <s v="INR"/>
    <n v="51480"/>
    <s v="E114"/>
    <s v="E121"/>
    <s v="NA"/>
    <s v="NA"/>
    <s v="AM"/>
    <s v="DM"/>
    <s v="AM"/>
    <s v="DM"/>
    <s v="PASS"/>
    <s v="NA"/>
    <s v="2021"/>
    <s v="Sep"/>
    <s v="NON-RP"/>
  </r>
  <r>
    <n v="143"/>
    <s v="2021N81135"/>
    <n v="2021143"/>
    <s v="CC143212"/>
    <x v="16"/>
    <d v="2020-09-30T00:00:00"/>
    <d v="1899-12-30T11:38:00"/>
    <s v="Sep"/>
    <n v="465230"/>
    <s v="INR"/>
    <n v="83700"/>
    <s v="E115"/>
    <s v="E117"/>
    <s v="NA"/>
    <s v="NA"/>
    <s v="AM"/>
    <s v="DM"/>
    <s v="AM"/>
    <s v="DM"/>
    <s v="PASS"/>
    <s v="NA"/>
    <s v="2021"/>
    <s v="Sep"/>
    <s v="NON-RP"/>
  </r>
  <r>
    <n v="144"/>
    <s v="2021T41774"/>
    <n v="2021144"/>
    <s v="CC105500"/>
    <x v="7"/>
    <d v="2020-09-30T00:00:00"/>
    <d v="1899-12-30T16:04:08"/>
    <s v="Sep"/>
    <n v="459200"/>
    <s v="INR"/>
    <n v="82440"/>
    <s v="E111"/>
    <s v="E117"/>
    <s v="NA"/>
    <s v="NA"/>
    <s v="AM"/>
    <s v="DM"/>
    <s v="AM"/>
    <s v="DM"/>
    <s v="PASS"/>
    <s v="NA"/>
    <s v="2021"/>
    <s v="Sep"/>
    <s v="NON-RP"/>
  </r>
  <r>
    <n v="145"/>
    <s v="2021F71912"/>
    <n v="2021145"/>
    <s v="CC833641"/>
    <x v="46"/>
    <d v="2020-09-30T00:00:00"/>
    <d v="1899-12-30T11:30:46"/>
    <s v="Sep"/>
    <n v="363610"/>
    <s v="INR"/>
    <n v="64980"/>
    <s v="E114"/>
    <s v="E117"/>
    <s v="NA"/>
    <s v="NA"/>
    <s v="AM"/>
    <s v="DM"/>
    <s v="AM"/>
    <s v="DM"/>
    <s v="PASS"/>
    <s v="NA"/>
    <s v="2021"/>
    <s v="Sep"/>
    <s v="RP"/>
  </r>
  <r>
    <n v="146"/>
    <s v="2021M31038"/>
    <n v="2021146"/>
    <s v="CC585370"/>
    <x v="16"/>
    <d v="2020-09-30T00:00:00"/>
    <d v="1899-12-30T15:16:07"/>
    <s v="Sep"/>
    <n v="324490"/>
    <s v="INR"/>
    <n v="57960"/>
    <s v="E111"/>
    <s v="E117"/>
    <s v="NA"/>
    <s v="NA"/>
    <s v="AM"/>
    <s v="DM"/>
    <s v="AM"/>
    <s v="DM"/>
    <s v="PASS"/>
    <s v="NA"/>
    <s v="2021"/>
    <s v="Sep"/>
    <s v="NON-RP"/>
  </r>
  <r>
    <n v="147"/>
    <s v="2021R71619"/>
    <n v="2021147"/>
    <s v="CC676088"/>
    <x v="22"/>
    <d v="2020-10-01T00:00:00"/>
    <d v="1899-12-30T17:23:12"/>
    <s v="Oct"/>
    <n v="477100"/>
    <s v="INR"/>
    <n v="85500"/>
    <s v="E115"/>
    <s v="E119"/>
    <s v="NA"/>
    <s v="NA"/>
    <s v="AM"/>
    <s v="DM"/>
    <s v="AM"/>
    <s v="DM"/>
    <s v="PASS"/>
    <s v="NA"/>
    <s v="2021"/>
    <s v="Oct"/>
    <s v="NON-RP"/>
  </r>
  <r>
    <n v="148"/>
    <s v="2021G41356"/>
    <n v="2021148"/>
    <s v="CC744652"/>
    <x v="11"/>
    <d v="2020-10-02T00:00:00"/>
    <d v="1899-12-30T12:11:37"/>
    <s v="Sep"/>
    <n v="277730"/>
    <s v="INR"/>
    <n v="49500"/>
    <s v="E111"/>
    <s v="E117"/>
    <s v="NA"/>
    <s v="NA"/>
    <s v="AM"/>
    <s v="DM"/>
    <s v="AM"/>
    <s v="DM"/>
    <s v="PASS"/>
    <s v="NA"/>
    <s v="2021"/>
    <s v="Oct"/>
    <s v="NON-RP"/>
  </r>
  <r>
    <n v="149"/>
    <s v="2021W91598"/>
    <n v="2021149"/>
    <s v="CC417823"/>
    <x v="10"/>
    <d v="2020-10-02T00:00:00"/>
    <d v="1899-12-30T14:01:25"/>
    <s v="Sep"/>
    <n v="338510"/>
    <s v="INR"/>
    <n v="60660"/>
    <s v="E113"/>
    <s v="E120"/>
    <s v="NA"/>
    <s v="NA"/>
    <s v="AM"/>
    <s v="DM"/>
    <s v="AM"/>
    <s v="DM"/>
    <s v="PASS"/>
    <s v="NA"/>
    <s v="2021"/>
    <s v="Oct"/>
    <s v="NON-RP"/>
  </r>
  <r>
    <n v="150"/>
    <s v="2021Z91645"/>
    <n v="2021150"/>
    <s v="CC259184"/>
    <x v="27"/>
    <d v="2020-10-09T00:00:00"/>
    <d v="1899-12-30T13:11:48"/>
    <s v="Sep"/>
    <n v="494440"/>
    <s v="INR"/>
    <n v="88920"/>
    <s v="E110"/>
    <s v="E120"/>
    <s v="NA"/>
    <s v="NA"/>
    <s v="AM"/>
    <s v="DM"/>
    <s v="AM"/>
    <s v="DM"/>
    <s v="PASS"/>
    <s v="NA"/>
    <s v="2021"/>
    <s v="Oct"/>
    <s v="NON-RP"/>
  </r>
  <r>
    <n v="151"/>
    <s v="2021D71186"/>
    <n v="2021151"/>
    <s v="CC327987"/>
    <x v="34"/>
    <d v="2020-10-10T00:00:00"/>
    <d v="1899-12-30T11:18:30"/>
    <s v="Oct"/>
    <n v="354520"/>
    <s v="INR"/>
    <n v="63540"/>
    <s v="E111"/>
    <s v="E121"/>
    <s v="NA"/>
    <s v="NA"/>
    <s v="AM"/>
    <s v="DM"/>
    <s v="AM"/>
    <s v="DM"/>
    <s v="PASS"/>
    <s v="NA"/>
    <s v="2021"/>
    <s v="Oct"/>
    <s v="NON-RP"/>
  </r>
  <r>
    <n v="152"/>
    <s v="2021N21531"/>
    <n v="2021152"/>
    <s v="CC809239"/>
    <x v="25"/>
    <d v="2020-10-10T00:00:00"/>
    <d v="1899-12-30T12:53:37"/>
    <s v="Oct"/>
    <n v="236430"/>
    <s v="INR"/>
    <n v="42300"/>
    <s v="E116"/>
    <s v="E117"/>
    <s v="NA"/>
    <s v="NA"/>
    <s v="AM"/>
    <s v="DM"/>
    <s v="AM"/>
    <s v="DM"/>
    <s v="PASS"/>
    <s v="NA"/>
    <s v="2021"/>
    <s v="Oct"/>
    <s v="NON-RP"/>
  </r>
  <r>
    <n v="153"/>
    <s v="2021E11764"/>
    <n v="2021153"/>
    <s v="CC619981"/>
    <x v="9"/>
    <d v="2020-10-10T00:00:00"/>
    <d v="1899-12-30T10:05:38"/>
    <s v="Oct"/>
    <n v="269550"/>
    <s v="INR"/>
    <n v="48240"/>
    <s v="E115"/>
    <s v="E117"/>
    <s v="NA"/>
    <s v="NA"/>
    <s v="AM"/>
    <s v="DM"/>
    <s v="AM"/>
    <s v="DM"/>
    <s v="PASS"/>
    <s v="NA"/>
    <s v="2021"/>
    <s v="Oct"/>
    <s v="NON-RP"/>
  </r>
  <r>
    <n v="154"/>
    <s v="2021U91067"/>
    <n v="2021154"/>
    <s v="CC625217"/>
    <x v="31"/>
    <d v="2020-10-12T00:00:00"/>
    <d v="1899-12-30T16:52:19"/>
    <s v="Oct"/>
    <n v="4699400"/>
    <s v="INR"/>
    <n v="845640"/>
    <s v="E125"/>
    <s v="E126"/>
    <s v="NA"/>
    <s v="NA"/>
    <s v="CM"/>
    <s v="CFO"/>
    <s v="CM"/>
    <s v="CFO"/>
    <s v="PASS"/>
    <s v="NA"/>
    <s v="2021"/>
    <s v="Oct"/>
    <s v="NON-RP"/>
  </r>
  <r>
    <n v="155"/>
    <s v="2021T31939"/>
    <n v="2021155"/>
    <s v="CC677517"/>
    <x v="28"/>
    <d v="2020-10-12T00:00:00"/>
    <d v="1899-12-30T11:25:52"/>
    <s v="Oct"/>
    <n v="40290"/>
    <s v="INR"/>
    <n v="7200"/>
    <s v="E102"/>
    <s v="E115"/>
    <s v="NA"/>
    <s v="NA"/>
    <s v="SE"/>
    <s v="AM"/>
    <s v="SE"/>
    <s v="AM"/>
    <s v="PASS"/>
    <s v="NA"/>
    <s v="2021"/>
    <s v="Oct"/>
    <s v="NON-RP"/>
  </r>
  <r>
    <n v="156"/>
    <s v="2021P31013"/>
    <n v="2021156"/>
    <s v="CC702013"/>
    <x v="6"/>
    <d v="2020-10-16T00:00:00"/>
    <d v="1899-12-30T16:59:57"/>
    <s v="Oct"/>
    <n v="427530"/>
    <s v="INR"/>
    <n v="76860"/>
    <s v="E111"/>
    <s v="E120"/>
    <s v="NA"/>
    <s v="NA"/>
    <s v="AM"/>
    <s v="DM"/>
    <s v="AM"/>
    <s v="DM"/>
    <s v="PASS"/>
    <s v="NA"/>
    <s v="2021"/>
    <s v="Oct"/>
    <s v="NON-RP"/>
  </r>
  <r>
    <n v="157"/>
    <s v="2021S81432"/>
    <n v="2021157"/>
    <s v="CC779818"/>
    <x v="34"/>
    <d v="2020-10-17T00:00:00"/>
    <d v="1899-12-30T11:09:58"/>
    <s v="Oct"/>
    <n v="375010"/>
    <s v="INR"/>
    <n v="67320"/>
    <s v="E111"/>
    <s v="E120"/>
    <s v="NA"/>
    <s v="NA"/>
    <s v="AM"/>
    <s v="DM"/>
    <s v="AM"/>
    <s v="DM"/>
    <s v="PASS"/>
    <s v="NA"/>
    <s v="2021"/>
    <s v="Oct"/>
    <s v="NON-RP"/>
  </r>
  <r>
    <n v="158"/>
    <s v="2021U21619"/>
    <n v="2021158"/>
    <s v="CC454104"/>
    <x v="25"/>
    <d v="2020-10-21T00:00:00"/>
    <d v="1899-12-30T12:51:49"/>
    <s v="Oct"/>
    <n v="233840"/>
    <s v="INR"/>
    <n v="41580"/>
    <s v="E114"/>
    <s v="E121"/>
    <s v="NA"/>
    <s v="NA"/>
    <s v="AM"/>
    <s v="DM"/>
    <s v="AM"/>
    <s v="DM"/>
    <s v="PASS"/>
    <s v="NA"/>
    <s v="2021"/>
    <s v="Oct"/>
    <s v="NON-RP"/>
  </r>
  <r>
    <n v="159"/>
    <s v="2021D91475"/>
    <n v="2021159"/>
    <s v="CC924095"/>
    <x v="43"/>
    <d v="2020-10-21T00:00:00"/>
    <d v="1899-12-30T10:05:22"/>
    <s v="Oct"/>
    <n v="486560"/>
    <s v="INR"/>
    <n v="87300"/>
    <s v="E115"/>
    <s v="E120"/>
    <s v="NA"/>
    <s v="NA"/>
    <s v="AM"/>
    <s v="DM"/>
    <s v="AM"/>
    <s v="DM"/>
    <s v="PASS"/>
    <s v="NA"/>
    <s v="2021"/>
    <s v="Oct"/>
    <s v="NON-RP"/>
  </r>
  <r>
    <n v="160"/>
    <s v="2021V91929"/>
    <n v="2021160"/>
    <s v="CC301372"/>
    <x v="35"/>
    <d v="2020-10-22T00:00:00"/>
    <d v="1899-12-30T13:11:05"/>
    <s v="Oct"/>
    <n v="394840"/>
    <s v="INR"/>
    <n v="70560"/>
    <s v="E114"/>
    <s v="E119"/>
    <s v="NA"/>
    <s v="NA"/>
    <s v="AM"/>
    <s v="DM"/>
    <s v="AM"/>
    <s v="DM"/>
    <s v="PASS"/>
    <s v="NA"/>
    <s v="2021"/>
    <s v="Oct"/>
    <s v="NON-RP"/>
  </r>
  <r>
    <n v="161"/>
    <s v="2021Y01767"/>
    <n v="2021161"/>
    <s v="CC180974"/>
    <x v="36"/>
    <d v="2020-10-23T00:00:00"/>
    <d v="1899-12-30T13:14:31"/>
    <s v="Oct"/>
    <n v="496620"/>
    <s v="INR"/>
    <n v="88920"/>
    <s v="E114"/>
    <s v="E119"/>
    <s v="NA"/>
    <s v="NA"/>
    <s v="AM"/>
    <s v="DM"/>
    <s v="AM"/>
    <s v="DM"/>
    <s v="PASS"/>
    <s v="NA"/>
    <s v="2021"/>
    <s v="Oct"/>
    <s v="NON-RP"/>
  </r>
  <r>
    <n v="162"/>
    <s v="2021L21306"/>
    <n v="2021162"/>
    <s v="CC879944"/>
    <x v="28"/>
    <d v="2020-10-23T00:00:00"/>
    <d v="1899-12-30T12:01:58"/>
    <s v="Oct"/>
    <n v="423630"/>
    <s v="INR"/>
    <n v="75780"/>
    <s v="E110"/>
    <s v="E121"/>
    <s v="NA"/>
    <s v="NA"/>
    <s v="AM"/>
    <s v="DM"/>
    <s v="AM"/>
    <s v="DM"/>
    <s v="PASS"/>
    <s v="NA"/>
    <s v="2021"/>
    <s v="Oct"/>
    <s v="NON-RP"/>
  </r>
  <r>
    <n v="163"/>
    <s v="2021X31264"/>
    <n v="2021163"/>
    <s v="CC309164"/>
    <x v="1"/>
    <d v="2020-10-26T00:00:00"/>
    <d v="1899-12-30T11:45:11"/>
    <s v="Oct"/>
    <n v="342230"/>
    <s v="INR"/>
    <n v="61200"/>
    <s v="E115"/>
    <s v="E118"/>
    <s v="NA"/>
    <s v="NA"/>
    <s v="AM"/>
    <s v="DM"/>
    <s v="AM"/>
    <s v="DM"/>
    <s v="PASS"/>
    <s v="NA"/>
    <s v="2021"/>
    <s v="Oct"/>
    <s v="NON-RP"/>
  </r>
  <r>
    <n v="164"/>
    <s v="2021Q41237"/>
    <n v="2021164"/>
    <s v="CC555009"/>
    <x v="25"/>
    <d v="2020-10-27T00:00:00"/>
    <d v="1899-12-30T11:32:12"/>
    <s v="Oct"/>
    <n v="313120"/>
    <s v="INR"/>
    <n v="56340"/>
    <s v="E115"/>
    <s v="E117"/>
    <s v="NA"/>
    <s v="NA"/>
    <s v="AM"/>
    <s v="DM"/>
    <s v="AM"/>
    <s v="DM"/>
    <s v="PASS"/>
    <s v="NA"/>
    <s v="2021"/>
    <s v="Oct"/>
    <s v="NON-RP"/>
  </r>
  <r>
    <n v="165"/>
    <s v="2021U31823"/>
    <n v="2021165"/>
    <s v="CC967324"/>
    <x v="38"/>
    <d v="2020-10-28T00:00:00"/>
    <d v="1899-12-30T15:45:01"/>
    <s v="Oct"/>
    <n v="482500"/>
    <s v="INR"/>
    <n v="86580"/>
    <s v="E115"/>
    <s v="E117"/>
    <s v="NA"/>
    <s v="NA"/>
    <s v="AM"/>
    <s v="DM"/>
    <s v="AM"/>
    <s v="DM"/>
    <s v="PASS"/>
    <s v="NA"/>
    <s v="2021"/>
    <s v="Oct"/>
    <s v="RP"/>
  </r>
  <r>
    <n v="166"/>
    <s v="2021R11934"/>
    <n v="2021166"/>
    <s v="CC203009"/>
    <x v="41"/>
    <d v="2020-10-29T00:00:00"/>
    <d v="1899-12-30T10:08:49"/>
    <s v="Oct"/>
    <n v="228570"/>
    <s v="INR"/>
    <n v="41040"/>
    <s v="E115"/>
    <s v="E120"/>
    <s v="NA"/>
    <s v="NA"/>
    <s v="AM"/>
    <s v="DM"/>
    <s v="AM"/>
    <s v="DM"/>
    <s v="PASS"/>
    <s v="NA"/>
    <s v="2021"/>
    <s v="Oct"/>
    <s v="NON-RP"/>
  </r>
  <r>
    <n v="167"/>
    <s v="2021Q71393"/>
    <n v="2021167"/>
    <s v="CC492186"/>
    <x v="33"/>
    <d v="2020-10-31T00:00:00"/>
    <d v="1899-12-30T14:31:53"/>
    <s v="Oct"/>
    <n v="374680"/>
    <s v="INR"/>
    <n v="66960"/>
    <s v="E113"/>
    <s v="E119"/>
    <s v="NA"/>
    <s v="NA"/>
    <s v="AM"/>
    <s v="DM"/>
    <s v="AM"/>
    <s v="DM"/>
    <s v="PASS"/>
    <s v="NA"/>
    <s v="2021"/>
    <s v="Oct"/>
    <s v="NON-RP"/>
  </r>
  <r>
    <n v="168"/>
    <s v="2021B11249"/>
    <n v="2021168"/>
    <s v="CC246720"/>
    <x v="18"/>
    <d v="2020-10-31T00:00:00"/>
    <d v="1899-12-30T12:40:46"/>
    <s v="Oct"/>
    <n v="270290"/>
    <s v="INR"/>
    <n v="48600"/>
    <s v="E112"/>
    <s v="E121"/>
    <s v="NA"/>
    <s v="NA"/>
    <s v="AM"/>
    <s v="DM"/>
    <s v="AM"/>
    <s v="DM"/>
    <s v="PASS"/>
    <s v="NA"/>
    <s v="2021"/>
    <s v="Oct"/>
    <s v="NON-RP"/>
  </r>
  <r>
    <n v="169"/>
    <s v="2021C71712"/>
    <n v="2021169"/>
    <s v="CC694226"/>
    <x v="27"/>
    <d v="2020-11-05T00:00:00"/>
    <d v="1899-12-30T11:59:48"/>
    <s v="Nov"/>
    <n v="230290"/>
    <s v="INR"/>
    <n v="41220"/>
    <s v="E116"/>
    <s v="E118"/>
    <s v="NA"/>
    <s v="NA"/>
    <s v="AM"/>
    <s v="DM"/>
    <s v="AM"/>
    <s v="DM"/>
    <s v="PASS"/>
    <s v="NA"/>
    <s v="2021"/>
    <s v="Nov"/>
    <s v="NON-RP"/>
  </r>
  <r>
    <n v="170"/>
    <s v="2021B01057"/>
    <n v="2021170"/>
    <s v="CC542046"/>
    <x v="40"/>
    <d v="2020-11-05T00:00:00"/>
    <d v="1899-12-30T10:39:04"/>
    <s v="Nov"/>
    <n v="204300"/>
    <s v="INR"/>
    <n v="36720"/>
    <s v="E111"/>
    <s v="E119"/>
    <s v="NA"/>
    <s v="NA"/>
    <s v="AM"/>
    <s v="DM"/>
    <s v="AM"/>
    <s v="DM"/>
    <s v="PASS"/>
    <s v="NA"/>
    <s v="2021"/>
    <s v="Nov"/>
    <s v="NON-RP"/>
  </r>
  <r>
    <n v="171"/>
    <s v="2021N41706"/>
    <n v="2021171"/>
    <s v="CC700480"/>
    <x v="31"/>
    <d v="2020-11-05T00:00:00"/>
    <d v="1899-12-30T11:17:20"/>
    <s v="Nov"/>
    <n v="429430"/>
    <s v="INR"/>
    <n v="77220"/>
    <s v="E116"/>
    <s v="E119"/>
    <s v="NA"/>
    <s v="NA"/>
    <s v="AM"/>
    <s v="DM"/>
    <s v="AM"/>
    <s v="DM"/>
    <s v="PASS"/>
    <s v="NA"/>
    <s v="2021"/>
    <s v="Nov"/>
    <s v="NON-RP"/>
  </r>
  <r>
    <n v="172"/>
    <s v="2021U31013"/>
    <n v="2021172"/>
    <s v="CC333327"/>
    <x v="16"/>
    <d v="2020-11-06T00:00:00"/>
    <d v="1899-12-30T15:13:56"/>
    <s v="Nov"/>
    <n v="208840"/>
    <s v="INR"/>
    <n v="37440"/>
    <s v="E111"/>
    <s v="E121"/>
    <s v="NA"/>
    <s v="NA"/>
    <s v="AM"/>
    <s v="DM"/>
    <s v="AM"/>
    <s v="DM"/>
    <s v="PASS"/>
    <s v="NA"/>
    <s v="2021"/>
    <s v="Nov"/>
    <s v="NON-RP"/>
  </r>
  <r>
    <n v="173"/>
    <s v="2021X41947"/>
    <n v="2021173"/>
    <s v="CC325561"/>
    <x v="7"/>
    <d v="2020-11-07T00:00:00"/>
    <d v="1899-12-30T16:13:58"/>
    <s v="Nov"/>
    <n v="459190"/>
    <s v="INR"/>
    <n v="82620"/>
    <s v="E111"/>
    <s v="E121"/>
    <s v="NA"/>
    <s v="NA"/>
    <s v="AM"/>
    <s v="DM"/>
    <s v="AM"/>
    <s v="DM"/>
    <s v="PASS"/>
    <s v="NA"/>
    <s v="2021"/>
    <s v="Nov"/>
    <s v="NON-RP"/>
  </r>
  <r>
    <n v="174"/>
    <s v="2021G71031"/>
    <n v="2021174"/>
    <s v="CC256327"/>
    <x v="7"/>
    <d v="2020-11-07T00:00:00"/>
    <d v="1899-12-30T15:44:25"/>
    <s v="Oct"/>
    <n v="356940"/>
    <s v="INR"/>
    <n v="64080"/>
    <s v="E112"/>
    <s v="E117"/>
    <s v="NA"/>
    <s v="NA"/>
    <s v="AM"/>
    <s v="DM"/>
    <s v="AM"/>
    <s v="DM"/>
    <s v="PASS"/>
    <s v="NA"/>
    <s v="2021"/>
    <s v="Nov"/>
    <s v="NON-RP"/>
  </r>
  <r>
    <n v="175"/>
    <s v="2021W41973"/>
    <n v="2021175"/>
    <s v="CC489112"/>
    <x v="23"/>
    <d v="2020-11-13T00:00:00"/>
    <d v="1899-12-30T17:24:26"/>
    <s v="Nov"/>
    <n v="205260"/>
    <s v="INR"/>
    <n v="36720"/>
    <s v="E114"/>
    <s v="E118"/>
    <s v="NA"/>
    <s v="NA"/>
    <s v="AM"/>
    <s v="DM"/>
    <s v="AM"/>
    <s v="DM"/>
    <s v="PASS"/>
    <s v="NA"/>
    <s v="2021"/>
    <s v="Nov"/>
    <s v="NON-RP"/>
  </r>
  <r>
    <n v="176"/>
    <s v="2021J51508"/>
    <n v="2021176"/>
    <s v="CC853034"/>
    <x v="41"/>
    <d v="2020-11-13T00:00:00"/>
    <d v="1899-12-30T16:37:33"/>
    <s v="Nov"/>
    <n v="397250"/>
    <s v="INR"/>
    <n v="71460"/>
    <s v="E113"/>
    <s v="E117"/>
    <s v="NA"/>
    <s v="NA"/>
    <s v="AM"/>
    <s v="DM"/>
    <s v="AM"/>
    <s v="DM"/>
    <s v="PASS"/>
    <s v="NA"/>
    <s v="2021"/>
    <s v="Nov"/>
    <s v="NON-RP"/>
  </r>
  <r>
    <n v="177"/>
    <s v="2021J11327"/>
    <n v="2021177"/>
    <s v="CC347294"/>
    <x v="5"/>
    <d v="2020-11-13T00:00:00"/>
    <d v="1899-12-30T10:09:39"/>
    <s v="Nov"/>
    <n v="473010"/>
    <s v="INR"/>
    <n v="84780"/>
    <s v="E115"/>
    <s v="E120"/>
    <s v="NA"/>
    <s v="NA"/>
    <s v="AM"/>
    <s v="DM"/>
    <s v="AM"/>
    <s v="DM"/>
    <s v="PASS"/>
    <s v="NA"/>
    <s v="2021"/>
    <s v="Nov"/>
    <s v="NON-RP"/>
  </r>
  <r>
    <n v="178"/>
    <s v="2021V21414"/>
    <n v="2021178"/>
    <s v="CC114057"/>
    <x v="11"/>
    <d v="2020-11-18T00:00:00"/>
    <d v="1899-12-30T14:13:18"/>
    <s v="Nov"/>
    <n v="497830"/>
    <s v="INR"/>
    <n v="89280"/>
    <s v="E115"/>
    <s v="E120"/>
    <s v="NA"/>
    <s v="NA"/>
    <s v="AM"/>
    <s v="DM"/>
    <s v="AM"/>
    <s v="DM"/>
    <s v="PASS"/>
    <s v="NA"/>
    <s v="2021"/>
    <s v="Nov"/>
    <s v="NON-RP"/>
  </r>
  <r>
    <n v="179"/>
    <s v="2021D41324"/>
    <n v="2021179"/>
    <s v="CC347326"/>
    <x v="40"/>
    <d v="2020-11-19T00:00:00"/>
    <d v="1899-12-30T13:45:47"/>
    <s v="Nov"/>
    <n v="260110"/>
    <s v="INR"/>
    <n v="46620"/>
    <s v="E113"/>
    <s v="E118"/>
    <s v="NA"/>
    <s v="NA"/>
    <s v="AM"/>
    <s v="DM"/>
    <s v="AM"/>
    <s v="DM"/>
    <s v="PASS"/>
    <s v="NA"/>
    <s v="2021"/>
    <s v="Nov"/>
    <s v="NON-RP"/>
  </r>
  <r>
    <n v="180"/>
    <s v="2021Z71400"/>
    <n v="2021180"/>
    <s v="CC959522"/>
    <x v="26"/>
    <d v="2020-11-20T00:00:00"/>
    <d v="1899-12-30T16:14:03"/>
    <s v="Nov"/>
    <n v="270080"/>
    <s v="INR"/>
    <n v="48240"/>
    <s v="E110"/>
    <s v="E118"/>
    <s v="NA"/>
    <s v="NA"/>
    <s v="AM"/>
    <s v="DM"/>
    <s v="AM"/>
    <s v="DM"/>
    <s v="PASS"/>
    <s v="NA"/>
    <s v="2021"/>
    <s v="Nov"/>
    <s v="NON-RP"/>
  </r>
  <r>
    <n v="181"/>
    <s v="2021A71034"/>
    <n v="2021181"/>
    <s v="CC356891"/>
    <x v="9"/>
    <d v="2020-11-25T00:00:00"/>
    <d v="1899-12-30T16:09:55"/>
    <s v="Nov"/>
    <n v="422330"/>
    <s v="INR"/>
    <n v="75960"/>
    <s v="E116"/>
    <s v="E117"/>
    <s v="NA"/>
    <s v="NA"/>
    <s v="AM"/>
    <s v="DM"/>
    <s v="AM"/>
    <s v="DM"/>
    <s v="PASS"/>
    <s v="NA"/>
    <s v="2021"/>
    <s v="Nov"/>
    <s v="NON-RP"/>
  </r>
  <r>
    <n v="182"/>
    <s v="2021J01515"/>
    <n v="2021182"/>
    <s v="CC460870"/>
    <x v="44"/>
    <d v="2020-11-26T00:00:00"/>
    <d v="1899-12-30T15:45:55"/>
    <s v="Nov"/>
    <n v="252510"/>
    <s v="INR"/>
    <n v="45360"/>
    <s v="E110"/>
    <s v="E119"/>
    <s v="NA"/>
    <s v="NA"/>
    <s v="AM"/>
    <s v="DM"/>
    <s v="AM"/>
    <s v="DM"/>
    <s v="PASS"/>
    <s v="NA"/>
    <s v="2021"/>
    <s v="Nov"/>
    <s v="RP"/>
  </r>
  <r>
    <n v="183"/>
    <s v="2021O61093"/>
    <n v="2021183"/>
    <s v="CC193334"/>
    <x v="44"/>
    <d v="2020-11-27T00:00:00"/>
    <d v="1899-12-30T16:53:26"/>
    <s v="Nov"/>
    <n v="376120"/>
    <s v="INR"/>
    <n v="67500"/>
    <s v="E112"/>
    <s v="E118"/>
    <s v="NA"/>
    <s v="NA"/>
    <s v="AM"/>
    <s v="DM"/>
    <s v="AM"/>
    <s v="DM"/>
    <s v="PASS"/>
    <s v="NA"/>
    <s v="2021"/>
    <s v="Nov"/>
    <s v="RP"/>
  </r>
  <r>
    <n v="184"/>
    <s v="2021R21681"/>
    <n v="2021184"/>
    <s v="CC362924"/>
    <x v="20"/>
    <d v="2020-11-27T00:00:00"/>
    <d v="1899-12-30T15:35:15"/>
    <s v="Nov"/>
    <n v="367080"/>
    <s v="INR"/>
    <n v="65700"/>
    <s v="E111"/>
    <s v="E120"/>
    <s v="NA"/>
    <s v="NA"/>
    <s v="AM"/>
    <s v="DM"/>
    <s v="AM"/>
    <s v="DM"/>
    <s v="PASS"/>
    <s v="NA"/>
    <s v="2021"/>
    <s v="Nov"/>
    <s v="RP"/>
  </r>
  <r>
    <n v="185"/>
    <s v="2021N81182"/>
    <n v="2021185"/>
    <s v="CC900413"/>
    <x v="26"/>
    <d v="2020-11-27T00:00:00"/>
    <d v="1899-12-30T11:02:38"/>
    <s v="Nov"/>
    <n v="39110"/>
    <s v="INR"/>
    <n v="7020"/>
    <s v="E102"/>
    <s v="E113"/>
    <s v="NA"/>
    <s v="NA"/>
    <s v="SE"/>
    <s v="AM"/>
    <s v="SE"/>
    <s v="AM"/>
    <s v="PASS"/>
    <s v="NA"/>
    <s v="2021"/>
    <s v="Nov"/>
    <s v="NON-RP"/>
  </r>
  <r>
    <n v="186"/>
    <s v="2021M41259"/>
    <n v="2021186"/>
    <s v="CC342892"/>
    <x v="0"/>
    <d v="2020-11-28T00:00:00"/>
    <d v="1899-12-30T10:11:31"/>
    <s v="Nov"/>
    <n v="246800"/>
    <s v="INR"/>
    <n v="44280"/>
    <s v="E111"/>
    <s v="E119"/>
    <s v="NA"/>
    <s v="NA"/>
    <s v="AM"/>
    <s v="DM"/>
    <s v="AM"/>
    <s v="DM"/>
    <s v="PASS"/>
    <s v="NA"/>
    <s v="2021"/>
    <s v="Nov"/>
    <s v="NON-RP"/>
  </r>
  <r>
    <n v="187"/>
    <s v="2021L41581"/>
    <n v="2021187"/>
    <s v="CC504113"/>
    <x v="1"/>
    <d v="2020-11-30T00:00:00"/>
    <d v="1899-12-30T11:10:14"/>
    <s v="Oct"/>
    <n v="339230"/>
    <s v="INR"/>
    <n v="60840"/>
    <s v="E113"/>
    <s v="E119"/>
    <s v="NA"/>
    <s v="NA"/>
    <s v="AM"/>
    <s v="DM"/>
    <s v="AM"/>
    <s v="DM"/>
    <s v="PASS"/>
    <s v="NA"/>
    <s v="2021"/>
    <s v="Nov"/>
    <s v="NON-RP"/>
  </r>
  <r>
    <n v="188"/>
    <s v="2021L41475"/>
    <n v="2021188"/>
    <s v="CC738266"/>
    <x v="25"/>
    <d v="2020-11-30T00:00:00"/>
    <d v="1899-12-30T16:37:29"/>
    <s v="Nov"/>
    <n v="359950"/>
    <s v="INR"/>
    <n v="64440"/>
    <s v="E113"/>
    <s v="E118"/>
    <s v="NA"/>
    <s v="NA"/>
    <s v="AM"/>
    <s v="DM"/>
    <s v="AM"/>
    <s v="DM"/>
    <s v="PASS"/>
    <s v="NA"/>
    <s v="2021"/>
    <s v="Nov"/>
    <s v="NON-RP"/>
  </r>
  <r>
    <n v="189"/>
    <s v="2021B91790"/>
    <n v="2021189"/>
    <s v="CC185236"/>
    <x v="5"/>
    <d v="2020-12-05T00:00:00"/>
    <d v="1899-12-30T11:33:45"/>
    <s v="Dec"/>
    <n v="342950"/>
    <s v="INR"/>
    <n v="61380"/>
    <s v="E110"/>
    <s v="E118"/>
    <s v="NA"/>
    <s v="NA"/>
    <s v="AM"/>
    <s v="DM"/>
    <s v="AM"/>
    <s v="DM"/>
    <s v="PASS"/>
    <s v="NA"/>
    <s v="2021"/>
    <s v="Dec"/>
    <s v="NON-RP"/>
  </r>
  <r>
    <n v="190"/>
    <s v="2021T81296"/>
    <n v="2021190"/>
    <s v="CC433773"/>
    <x v="20"/>
    <d v="2020-12-05T00:00:00"/>
    <d v="1899-12-30T15:16:28"/>
    <s v="Dec"/>
    <n v="406180"/>
    <s v="INR"/>
    <n v="73080"/>
    <s v="E110"/>
    <s v="E121"/>
    <s v="NA"/>
    <s v="NA"/>
    <s v="AM"/>
    <s v="DM"/>
    <s v="AM"/>
    <s v="DM"/>
    <s v="PASS"/>
    <s v="NA"/>
    <s v="2021"/>
    <s v="Dec"/>
    <s v="RP"/>
  </r>
  <r>
    <n v="191"/>
    <s v="2021F11411"/>
    <n v="2021191"/>
    <s v="CC494319"/>
    <x v="29"/>
    <d v="2020-12-05T00:00:00"/>
    <d v="1899-12-30T10:40:18"/>
    <s v="Dec"/>
    <n v="5702060"/>
    <s v="INR"/>
    <n v="1026000"/>
    <s v="E125"/>
    <s v="E126"/>
    <s v="Approved"/>
    <s v="BM/CC494319C241"/>
    <s v="CM"/>
    <s v="CFO"/>
    <s v="CM"/>
    <s v="CFO"/>
    <s v="PASS"/>
    <s v="PASS"/>
    <s v="2021"/>
    <s v="Dec"/>
    <s v="NON-RP"/>
  </r>
  <r>
    <n v="192"/>
    <s v="2021P71495"/>
    <n v="2021192"/>
    <s v="CC878640"/>
    <x v="37"/>
    <d v="2020-12-07T00:00:00"/>
    <d v="1899-12-30T14:56:53"/>
    <s v="Dec"/>
    <n v="307890"/>
    <s v="INR"/>
    <n v="55080"/>
    <s v="E114"/>
    <s v="E119"/>
    <s v="NA"/>
    <s v="NA"/>
    <s v="AM"/>
    <s v="DM"/>
    <s v="AM"/>
    <s v="DM"/>
    <s v="PASS"/>
    <s v="NA"/>
    <s v="2021"/>
    <s v="Dec"/>
    <s v="NON-RP"/>
  </r>
  <r>
    <n v="193"/>
    <s v="2021I01944"/>
    <n v="2021193"/>
    <s v="CC990867"/>
    <x v="34"/>
    <d v="2020-12-07T00:00:00"/>
    <d v="1899-12-30T13:22:58"/>
    <s v="Dec"/>
    <n v="391680"/>
    <s v="INR"/>
    <n v="70380"/>
    <s v="E112"/>
    <s v="E117"/>
    <s v="NA"/>
    <s v="NA"/>
    <s v="AM"/>
    <s v="DM"/>
    <s v="AM"/>
    <s v="DM"/>
    <s v="PASS"/>
    <s v="NA"/>
    <s v="2021"/>
    <s v="Dec"/>
    <s v="NON-RP"/>
  </r>
  <r>
    <n v="194"/>
    <s v="2021A11702"/>
    <n v="2021194"/>
    <s v="CC939783"/>
    <x v="21"/>
    <d v="2020-12-08T00:00:00"/>
    <d v="1899-12-30T16:40:15"/>
    <s v="Dec"/>
    <n v="13558220"/>
    <s v="INR"/>
    <n v="2440080"/>
    <s v="E125"/>
    <s v="E126"/>
    <s v="Approved"/>
    <s v="BM/CC939783C218"/>
    <s v="CM"/>
    <s v="CFO"/>
    <s v="CM"/>
    <s v="CFO"/>
    <s v="PASS"/>
    <s v="PASS"/>
    <s v="2021"/>
    <s v="Dec"/>
    <s v="NON-RP"/>
  </r>
  <r>
    <n v="195"/>
    <s v="2021O01979"/>
    <n v="2021195"/>
    <s v="CC892065"/>
    <x v="29"/>
    <d v="2020-12-17T00:00:00"/>
    <d v="1899-12-30T11:17:17"/>
    <s v="Dec"/>
    <n v="271590"/>
    <s v="INR"/>
    <n v="48600"/>
    <s v="E111"/>
    <s v="E117"/>
    <s v="NA"/>
    <s v="NA"/>
    <s v="AM"/>
    <s v="DM"/>
    <s v="AM"/>
    <s v="DM"/>
    <s v="PASS"/>
    <s v="NA"/>
    <s v="2021"/>
    <s v="Dec"/>
    <s v="NON-RP"/>
  </r>
  <r>
    <n v="196"/>
    <s v="2021F61628"/>
    <n v="2021196"/>
    <s v="CC593890"/>
    <x v="27"/>
    <d v="2020-12-18T00:00:00"/>
    <d v="1899-12-30T13:17:44"/>
    <s v="Dec"/>
    <n v="334350"/>
    <s v="INR"/>
    <n v="60120"/>
    <s v="E113"/>
    <s v="E119"/>
    <s v="NA"/>
    <s v="NA"/>
    <s v="AM"/>
    <s v="DM"/>
    <s v="AM"/>
    <s v="DM"/>
    <s v="PASS"/>
    <s v="NA"/>
    <s v="2021"/>
    <s v="Dec"/>
    <s v="NON-RP"/>
  </r>
  <r>
    <n v="197"/>
    <s v="2021W81685"/>
    <n v="2021197"/>
    <s v="CC538653"/>
    <x v="44"/>
    <d v="2020-12-21T00:00:00"/>
    <d v="1899-12-30T10:05:54"/>
    <s v="Dec"/>
    <n v="342230"/>
    <s v="INR"/>
    <n v="61200"/>
    <s v="E115"/>
    <s v="E117"/>
    <s v="NA"/>
    <s v="NA"/>
    <s v="AM"/>
    <s v="DM"/>
    <s v="AM"/>
    <s v="DM"/>
    <s v="PASS"/>
    <s v="NA"/>
    <s v="2021"/>
    <s v="Dec"/>
    <s v="RP"/>
  </r>
  <r>
    <n v="198"/>
    <s v="2021X11212"/>
    <n v="2021198"/>
    <s v="CC617656"/>
    <x v="12"/>
    <d v="2020-12-21T00:00:00"/>
    <d v="1899-12-30T13:47:27"/>
    <s v="Dec"/>
    <n v="352880"/>
    <s v="INR"/>
    <n v="63360"/>
    <s v="E113"/>
    <s v="E119"/>
    <s v="NA"/>
    <s v="NA"/>
    <s v="AM"/>
    <s v="DM"/>
    <s v="AM"/>
    <s v="DM"/>
    <s v="PASS"/>
    <s v="NA"/>
    <s v="2021"/>
    <s v="Dec"/>
    <s v="NON-RP"/>
  </r>
  <r>
    <n v="199"/>
    <s v="2021T01241"/>
    <n v="2021199"/>
    <s v="CC231774"/>
    <x v="40"/>
    <d v="2020-12-21T00:00:00"/>
    <d v="1899-12-30T10:16:51"/>
    <s v="Dec"/>
    <n v="416270"/>
    <s v="INR"/>
    <n v="74700"/>
    <s v="E112"/>
    <s v="E121"/>
    <s v="NA"/>
    <s v="NA"/>
    <s v="AM"/>
    <s v="DM"/>
    <s v="AM"/>
    <s v="DM"/>
    <s v="PASS"/>
    <s v="NA"/>
    <s v="2021"/>
    <s v="Dec"/>
    <s v="NON-RP"/>
  </r>
  <r>
    <n v="200"/>
    <s v="2021M61618"/>
    <n v="2021200"/>
    <s v="CC677206"/>
    <x v="30"/>
    <d v="2020-12-21T00:00:00"/>
    <d v="1899-12-30T12:55:15"/>
    <s v="Dec"/>
    <n v="430910"/>
    <s v="INR"/>
    <n v="77400"/>
    <s v="E110"/>
    <s v="E121"/>
    <s v="NA"/>
    <s v="NA"/>
    <s v="AM"/>
    <s v="DM"/>
    <s v="AM"/>
    <s v="DM"/>
    <s v="PASS"/>
    <s v="NA"/>
    <s v="2021"/>
    <s v="Dec"/>
    <s v="NON-RP"/>
  </r>
  <r>
    <n v="201"/>
    <s v="2021I91159"/>
    <n v="2021201"/>
    <s v="CC518388"/>
    <x v="4"/>
    <d v="2020-12-22T00:00:00"/>
    <d v="1899-12-30T12:54:30"/>
    <s v="Dec"/>
    <n v="261940"/>
    <s v="INR"/>
    <n v="46980"/>
    <s v="E113"/>
    <s v="E119"/>
    <s v="NA"/>
    <s v="NA"/>
    <s v="AM"/>
    <s v="DM"/>
    <s v="AM"/>
    <s v="DM"/>
    <s v="PASS"/>
    <s v="NA"/>
    <s v="2021"/>
    <s v="Dec"/>
    <s v="NON-RP"/>
  </r>
  <r>
    <n v="202"/>
    <s v="2021V71037"/>
    <n v="2021202"/>
    <s v="CC268373"/>
    <x v="4"/>
    <d v="2020-12-22T00:00:00"/>
    <d v="1899-12-30T15:40:58"/>
    <s v="Dec"/>
    <n v="221470"/>
    <s v="INR"/>
    <n v="39420"/>
    <s v="E112"/>
    <s v="E121"/>
    <s v="NA"/>
    <s v="NA"/>
    <s v="AM"/>
    <s v="DM"/>
    <s v="AM"/>
    <s v="DM"/>
    <s v="PASS"/>
    <s v="NA"/>
    <s v="2021"/>
    <s v="Dec"/>
    <s v="NON-RP"/>
  </r>
  <r>
    <n v="203"/>
    <s v="2021V11398"/>
    <n v="2021203"/>
    <s v="CC647041"/>
    <x v="12"/>
    <d v="2020-12-28T00:00:00"/>
    <d v="1899-12-30T13:20:12"/>
    <s v="Dec"/>
    <n v="420990"/>
    <s v="INR"/>
    <n v="75600"/>
    <s v="E114"/>
    <s v="E117"/>
    <s v="NA"/>
    <s v="NA"/>
    <s v="AM"/>
    <s v="DM"/>
    <s v="AM"/>
    <s v="DM"/>
    <s v="PASS"/>
    <s v="NA"/>
    <s v="2021"/>
    <s v="Dec"/>
    <s v="NON-RP"/>
  </r>
  <r>
    <n v="204"/>
    <s v="2021B01207"/>
    <n v="2021204"/>
    <s v="CC184692"/>
    <x v="8"/>
    <d v="2020-12-31T00:00:00"/>
    <d v="1899-12-30T14:27:04"/>
    <s v="Dec"/>
    <n v="2125810"/>
    <s v="INR"/>
    <n v="382500"/>
    <s v="E124"/>
    <s v="E125"/>
    <s v="NA"/>
    <s v="NA"/>
    <s v="SM"/>
    <s v="CM"/>
    <s v="SM"/>
    <s v="CM"/>
    <s v="PASS"/>
    <s v="NA"/>
    <s v="2021"/>
    <s v="Dec"/>
    <s v="NON-RP"/>
  </r>
  <r>
    <n v="205"/>
    <s v="2021R21555"/>
    <n v="2021205"/>
    <s v="CC505105"/>
    <x v="9"/>
    <d v="2021-01-01T00:00:00"/>
    <d v="1899-12-30T16:36:06"/>
    <s v="Jan"/>
    <n v="460950"/>
    <s v="INR"/>
    <n v="82620"/>
    <s v="E110"/>
    <s v="E119"/>
    <s v="NA"/>
    <s v="NA"/>
    <s v="AM"/>
    <s v="DM"/>
    <s v="AM"/>
    <s v="DM"/>
    <s v="PASS"/>
    <s v="NA"/>
    <s v="2021"/>
    <s v="Jan"/>
    <s v="NON-RP"/>
  </r>
  <r>
    <n v="206"/>
    <s v="2021H41482"/>
    <n v="2021206"/>
    <s v="CC221035"/>
    <x v="40"/>
    <d v="2021-01-07T00:00:00"/>
    <d v="1899-12-30T12:48:40"/>
    <s v="Jan"/>
    <n v="497450"/>
    <s v="INR"/>
    <n v="89460"/>
    <s v="E115"/>
    <s v="E121"/>
    <s v="NA"/>
    <s v="NA"/>
    <s v="AM"/>
    <s v="DM"/>
    <s v="AM"/>
    <s v="DM"/>
    <s v="PASS"/>
    <s v="NA"/>
    <s v="2021"/>
    <s v="Jan"/>
    <s v="NON-RP"/>
  </r>
  <r>
    <n v="207"/>
    <s v="2021S41231"/>
    <n v="2021207"/>
    <s v="CC931051"/>
    <x v="28"/>
    <d v="2021-01-07T00:00:00"/>
    <d v="1899-12-30T10:28:20"/>
    <s v="Jan"/>
    <n v="325300"/>
    <s v="INR"/>
    <n v="58320"/>
    <s v="E114"/>
    <s v="E120"/>
    <s v="NA"/>
    <s v="NA"/>
    <s v="AM"/>
    <s v="DM"/>
    <s v="AM"/>
    <s v="DM"/>
    <s v="PASS"/>
    <s v="NA"/>
    <s v="2021"/>
    <s v="Jan"/>
    <s v="NON-RP"/>
  </r>
  <r>
    <n v="208"/>
    <s v="2021V51930"/>
    <n v="2021208"/>
    <s v="CC756835"/>
    <x v="19"/>
    <d v="2021-01-07T00:00:00"/>
    <d v="1899-12-30T11:52:16"/>
    <s v="Jan"/>
    <n v="449520"/>
    <s v="INR"/>
    <n v="80640"/>
    <s v="E114"/>
    <s v="E120"/>
    <s v="NA"/>
    <s v="NA"/>
    <s v="AM"/>
    <s v="DM"/>
    <s v="AM"/>
    <s v="DM"/>
    <s v="PASS"/>
    <s v="NA"/>
    <s v="2021"/>
    <s v="Jan"/>
    <s v="NON-RP"/>
  </r>
  <r>
    <n v="209"/>
    <s v="2021M61134"/>
    <n v="2021209"/>
    <s v="CC707097"/>
    <x v="25"/>
    <d v="2021-01-09T00:00:00"/>
    <d v="1899-12-30T14:09:28"/>
    <s v="Jan"/>
    <n v="237540"/>
    <s v="INR"/>
    <n v="42300"/>
    <s v="E113"/>
    <s v="E118"/>
    <s v="NA"/>
    <s v="NA"/>
    <s v="AM"/>
    <s v="DM"/>
    <s v="AM"/>
    <s v="DM"/>
    <s v="PASS"/>
    <s v="NA"/>
    <s v="2021"/>
    <s v="Jan"/>
    <s v="NON-RP"/>
  </r>
  <r>
    <n v="210"/>
    <s v="2021K11672"/>
    <n v="2021210"/>
    <s v="CC836863"/>
    <x v="26"/>
    <d v="2021-01-15T00:00:00"/>
    <d v="1899-12-30T11:03:55"/>
    <s v="Jan"/>
    <n v="260730"/>
    <s v="INR"/>
    <n v="46440"/>
    <s v="E115"/>
    <s v="E120"/>
    <s v="NA"/>
    <s v="NA"/>
    <s v="AM"/>
    <s v="DM"/>
    <s v="AM"/>
    <s v="DM"/>
    <s v="PASS"/>
    <s v="NA"/>
    <s v="2021"/>
    <s v="Jan"/>
    <s v="NON-RP"/>
  </r>
  <r>
    <n v="211"/>
    <s v="2021G81985"/>
    <n v="2021211"/>
    <s v="CC134892"/>
    <x v="22"/>
    <d v="2021-01-16T00:00:00"/>
    <d v="1899-12-30T13:20:09"/>
    <s v="Jan"/>
    <n v="369470"/>
    <s v="INR"/>
    <n v="66420"/>
    <s v="E116"/>
    <s v="E117"/>
    <s v="NA"/>
    <s v="NA"/>
    <s v="AM"/>
    <s v="DM"/>
    <s v="AM"/>
    <s v="DM"/>
    <s v="PASS"/>
    <s v="NA"/>
    <s v="2021"/>
    <s v="Jan"/>
    <s v="NON-RP"/>
  </r>
  <r>
    <n v="212"/>
    <s v="2021A41131"/>
    <n v="2021212"/>
    <s v="CC710367"/>
    <x v="35"/>
    <d v="2021-01-18T00:00:00"/>
    <d v="1899-12-30T14:53:32"/>
    <s v="Jan"/>
    <n v="395500"/>
    <s v="INR"/>
    <n v="71100"/>
    <s v="E110"/>
    <s v="E117"/>
    <s v="NA"/>
    <s v="NA"/>
    <s v="AM"/>
    <s v="DM"/>
    <s v="AM"/>
    <s v="DM"/>
    <s v="PASS"/>
    <s v="NA"/>
    <s v="2021"/>
    <s v="Jan"/>
    <s v="NON-RP"/>
  </r>
  <r>
    <n v="213"/>
    <s v="2021J21066"/>
    <n v="2021213"/>
    <s v="CC220203"/>
    <x v="26"/>
    <d v="2021-01-18T00:00:00"/>
    <d v="1899-12-30T13:43:30"/>
    <s v="Jan"/>
    <n v="374810"/>
    <s v="INR"/>
    <n v="67320"/>
    <s v="E111"/>
    <s v="E117"/>
    <s v="NA"/>
    <s v="NA"/>
    <s v="AM"/>
    <s v="DM"/>
    <s v="AM"/>
    <s v="DM"/>
    <s v="PASS"/>
    <s v="NA"/>
    <s v="2021"/>
    <s v="Jan"/>
    <s v="NON-RP"/>
  </r>
  <r>
    <n v="214"/>
    <s v="2021Y31186"/>
    <n v="2021214"/>
    <s v="CC251428"/>
    <x v="11"/>
    <d v="2021-01-22T00:00:00"/>
    <d v="1899-12-30T11:26:40"/>
    <s v="Jan"/>
    <n v="433570"/>
    <s v="INR"/>
    <n v="77760"/>
    <s v="E110"/>
    <s v="E119"/>
    <s v="NA"/>
    <s v="NA"/>
    <s v="AM"/>
    <s v="DM"/>
    <s v="AM"/>
    <s v="DM"/>
    <s v="PASS"/>
    <s v="NA"/>
    <s v="2021"/>
    <s v="Jan"/>
    <s v="NON-RP"/>
  </r>
  <r>
    <n v="215"/>
    <s v="2021W31079"/>
    <n v="2021215"/>
    <s v="CC177208"/>
    <x v="38"/>
    <d v="2021-01-23T00:00:00"/>
    <d v="1899-12-30T14:41:15"/>
    <s v="Jan"/>
    <n v="302470"/>
    <s v="INR"/>
    <n v="54000"/>
    <s v="E111"/>
    <s v="E118"/>
    <s v="NA"/>
    <s v="NA"/>
    <s v="AM"/>
    <s v="DM"/>
    <s v="AM"/>
    <s v="DM"/>
    <s v="PASS"/>
    <s v="NA"/>
    <s v="2021"/>
    <s v="Jan"/>
    <s v="RP"/>
  </r>
  <r>
    <n v="216"/>
    <s v="2021A11742"/>
    <n v="2021216"/>
    <s v="CC220150"/>
    <x v="41"/>
    <d v="2021-01-25T00:00:00"/>
    <d v="1899-12-30T13:08:35"/>
    <s v="Jan"/>
    <n v="388980"/>
    <s v="INR"/>
    <n v="69840"/>
    <s v="E114"/>
    <s v="E118"/>
    <s v="NA"/>
    <s v="NA"/>
    <s v="AM"/>
    <s v="DM"/>
    <s v="AM"/>
    <s v="DM"/>
    <s v="PASS"/>
    <s v="NA"/>
    <s v="2021"/>
    <s v="Jan"/>
    <s v="NON-RP"/>
  </r>
  <r>
    <n v="217"/>
    <s v="2021X21239"/>
    <n v="2021217"/>
    <s v="CC724229"/>
    <x v="15"/>
    <d v="2021-01-25T00:00:00"/>
    <d v="1899-12-30T17:43:08"/>
    <s v="Jan"/>
    <n v="21830"/>
    <s v="INR"/>
    <n v="3780"/>
    <s v="E108"/>
    <s v="E115"/>
    <s v="NA"/>
    <s v="NA"/>
    <s v="SE"/>
    <s v="AM"/>
    <s v="SE"/>
    <s v="AM"/>
    <s v="PASS"/>
    <s v="NA"/>
    <s v="2021"/>
    <s v="Jan"/>
    <s v="NON-RP"/>
  </r>
  <r>
    <n v="218"/>
    <s v="2021E01998"/>
    <n v="2021218"/>
    <s v="CC784348"/>
    <x v="6"/>
    <d v="2021-01-25T00:00:00"/>
    <d v="1899-12-30T16:45:48"/>
    <s v="Jan"/>
    <n v="434470"/>
    <s v="INR"/>
    <n v="78120"/>
    <s v="E112"/>
    <s v="E117"/>
    <s v="NA"/>
    <s v="NA"/>
    <s v="AM"/>
    <s v="DM"/>
    <s v="AM"/>
    <s v="DM"/>
    <s v="PASS"/>
    <s v="NA"/>
    <s v="2021"/>
    <s v="Jan"/>
    <s v="NON-RP"/>
  </r>
  <r>
    <n v="219"/>
    <s v="2021A51339"/>
    <n v="2021219"/>
    <s v="CC481657"/>
    <x v="18"/>
    <d v="2021-01-27T00:00:00"/>
    <d v="1899-12-30T15:41:24"/>
    <s v="Jan"/>
    <n v="359170"/>
    <s v="INR"/>
    <n v="64260"/>
    <s v="E113"/>
    <s v="E120"/>
    <s v="NA"/>
    <s v="NA"/>
    <s v="AM"/>
    <s v="DM"/>
    <s v="AM"/>
    <s v="DM"/>
    <s v="PASS"/>
    <s v="NA"/>
    <s v="2021"/>
    <s v="Jan"/>
    <s v="NON-RP"/>
  </r>
  <r>
    <n v="220"/>
    <s v="2021N61833"/>
    <n v="2021220"/>
    <s v="CC732502"/>
    <x v="9"/>
    <d v="2021-01-29T00:00:00"/>
    <d v="1899-12-30T13:54:43"/>
    <s v="Jan"/>
    <n v="464740"/>
    <s v="INR"/>
    <n v="83520"/>
    <s v="E114"/>
    <s v="E120"/>
    <s v="NA"/>
    <s v="NA"/>
    <s v="AM"/>
    <s v="DM"/>
    <s v="AM"/>
    <s v="DM"/>
    <s v="PASS"/>
    <s v="NA"/>
    <s v="2021"/>
    <s v="Jan"/>
    <s v="NON-RP"/>
  </r>
  <r>
    <n v="221"/>
    <s v="2021U81802"/>
    <n v="2021221"/>
    <s v="CC429902"/>
    <x v="37"/>
    <d v="2021-02-02T00:00:00"/>
    <d v="1899-12-30T14:49:04"/>
    <s v="Feb"/>
    <n v="343880"/>
    <s v="INR"/>
    <n v="61380"/>
    <s v="E110"/>
    <s v="E117"/>
    <s v="NA"/>
    <s v="NA"/>
    <s v="AM"/>
    <s v="DM"/>
    <s v="AM"/>
    <s v="DM"/>
    <s v="PASS"/>
    <s v="NA"/>
    <s v="2021"/>
    <s v="Feb"/>
    <s v="NON-RP"/>
  </r>
  <r>
    <n v="222"/>
    <s v="2021S41968"/>
    <n v="2021222"/>
    <s v="CC181596"/>
    <x v="21"/>
    <d v="2021-02-03T00:00:00"/>
    <d v="1899-12-30T12:01:00"/>
    <s v="Feb"/>
    <n v="464470"/>
    <s v="INR"/>
    <n v="83520"/>
    <s v="E113"/>
    <s v="E119"/>
    <s v="NA"/>
    <s v="NA"/>
    <s v="AM"/>
    <s v="DM"/>
    <s v="AM"/>
    <s v="DM"/>
    <s v="PASS"/>
    <s v="NA"/>
    <s v="2021"/>
    <s v="Feb"/>
    <s v="NON-RP"/>
  </r>
  <r>
    <n v="223"/>
    <s v="2021C21478"/>
    <n v="2021223"/>
    <s v="CC253325"/>
    <x v="26"/>
    <d v="2021-02-04T00:00:00"/>
    <d v="1899-12-30T14:06:19"/>
    <s v="Feb"/>
    <n v="207340"/>
    <s v="INR"/>
    <n v="37080"/>
    <s v="E112"/>
    <s v="E120"/>
    <s v="NA"/>
    <s v="NA"/>
    <s v="AM"/>
    <s v="DM"/>
    <s v="AM"/>
    <s v="DM"/>
    <s v="PASS"/>
    <s v="NA"/>
    <s v="2021"/>
    <s v="Feb"/>
    <s v="NON-RP"/>
  </r>
  <r>
    <n v="224"/>
    <s v="2021D41673"/>
    <n v="2021224"/>
    <s v="CC835206"/>
    <x v="36"/>
    <d v="2021-02-04T00:00:00"/>
    <d v="1899-12-30T12:56:18"/>
    <s v="Feb"/>
    <n v="235030"/>
    <s v="INR"/>
    <n v="42120"/>
    <s v="E115"/>
    <s v="E120"/>
    <s v="NA"/>
    <s v="NA"/>
    <s v="AM"/>
    <s v="DM"/>
    <s v="AM"/>
    <s v="DM"/>
    <s v="PASS"/>
    <s v="NA"/>
    <s v="2021"/>
    <s v="Feb"/>
    <s v="NON-RP"/>
  </r>
  <r>
    <n v="225"/>
    <s v="2021I91670"/>
    <n v="2021225"/>
    <s v="CC327133"/>
    <x v="39"/>
    <d v="2021-02-04T00:00:00"/>
    <d v="1899-12-30T16:02:32"/>
    <s v="Jan"/>
    <n v="289800"/>
    <s v="INR"/>
    <n v="51660"/>
    <s v="E112"/>
    <s v="E120"/>
    <s v="NA"/>
    <s v="NA"/>
    <s v="AM"/>
    <s v="DM"/>
    <s v="AM"/>
    <s v="DM"/>
    <s v="PASS"/>
    <s v="NA"/>
    <s v="2021"/>
    <s v="Feb"/>
    <s v="NON-RP"/>
  </r>
  <r>
    <n v="226"/>
    <s v="2021Q81054"/>
    <n v="2021226"/>
    <s v="CC669664"/>
    <x v="12"/>
    <d v="2021-02-04T00:00:00"/>
    <d v="1899-12-30T10:15:59"/>
    <s v="Jan"/>
    <n v="452530"/>
    <s v="INR"/>
    <n v="81360"/>
    <s v="E112"/>
    <s v="E121"/>
    <s v="NA"/>
    <s v="NA"/>
    <s v="AM"/>
    <s v="DM"/>
    <s v="AM"/>
    <s v="DM"/>
    <s v="PASS"/>
    <s v="NA"/>
    <s v="2021"/>
    <s v="Feb"/>
    <s v="NON-RP"/>
  </r>
  <r>
    <n v="227"/>
    <s v="2021R51014"/>
    <n v="2021227"/>
    <s v="CC932506"/>
    <x v="14"/>
    <d v="2021-02-05T00:00:00"/>
    <d v="1899-12-30T16:38:56"/>
    <s v="Feb"/>
    <n v="461930"/>
    <s v="INR"/>
    <n v="82800"/>
    <s v="E112"/>
    <s v="E117"/>
    <s v="NA"/>
    <s v="NA"/>
    <s v="AM"/>
    <s v="DM"/>
    <s v="AM"/>
    <s v="DM"/>
    <s v="PASS"/>
    <s v="NA"/>
    <s v="2021"/>
    <s v="Feb"/>
    <s v="NON-RP"/>
  </r>
  <r>
    <n v="228"/>
    <s v="2021H21378"/>
    <n v="2021228"/>
    <s v="CC162925"/>
    <x v="21"/>
    <d v="2021-02-08T00:00:00"/>
    <d v="1899-12-30T11:08:09"/>
    <s v="Feb"/>
    <n v="380650"/>
    <s v="INR"/>
    <n v="68040"/>
    <s v="E114"/>
    <s v="E121"/>
    <s v="NA"/>
    <s v="NA"/>
    <s v="AM"/>
    <s v="DM"/>
    <s v="AM"/>
    <s v="DM"/>
    <s v="PASS"/>
    <s v="NA"/>
    <s v="2021"/>
    <s v="Feb"/>
    <s v="NON-RP"/>
  </r>
  <r>
    <n v="229"/>
    <s v="2021U81425"/>
    <n v="2021229"/>
    <s v="CC781724"/>
    <x v="2"/>
    <d v="2021-02-12T00:00:00"/>
    <d v="1899-12-30T16:51:57"/>
    <s v="Feb"/>
    <n v="362410"/>
    <s v="INR"/>
    <n v="65160"/>
    <s v="E115"/>
    <s v="E118"/>
    <s v="NA"/>
    <s v="NA"/>
    <s v="AM"/>
    <s v="DM"/>
    <s v="AM"/>
    <s v="DM"/>
    <s v="PASS"/>
    <s v="NA"/>
    <s v="2021"/>
    <s v="Feb"/>
    <s v="NON-RP"/>
  </r>
  <r>
    <n v="230"/>
    <s v="2021E31971"/>
    <n v="2021230"/>
    <s v="CC531621"/>
    <x v="43"/>
    <d v="2021-02-12T00:00:00"/>
    <d v="1899-12-30T13:39:53"/>
    <s v="Feb"/>
    <n v="6899270"/>
    <s v="INR"/>
    <n v="1241640"/>
    <s v="E125"/>
    <s v="E126"/>
    <s v="Approved"/>
    <s v="BM/CC531621C231"/>
    <s v="CM"/>
    <s v="CFO"/>
    <s v="CM"/>
    <s v="CFO"/>
    <s v="PASS"/>
    <s v="PASS"/>
    <s v="2021"/>
    <s v="Feb"/>
    <s v="NON-RP"/>
  </r>
  <r>
    <n v="231"/>
    <s v="2021O71082"/>
    <n v="2021231"/>
    <s v="CC242246"/>
    <x v="27"/>
    <d v="2021-02-13T00:00:00"/>
    <d v="1899-12-30T15:47:00"/>
    <s v="Feb"/>
    <n v="417340"/>
    <s v="INR"/>
    <n v="75060"/>
    <s v="E115"/>
    <s v="E117"/>
    <s v="NA"/>
    <s v="NA"/>
    <s v="AM"/>
    <s v="DM"/>
    <s v="AM"/>
    <s v="DM"/>
    <s v="PASS"/>
    <s v="NA"/>
    <s v="2021"/>
    <s v="Feb"/>
    <s v="NON-RP"/>
  </r>
  <r>
    <n v="232"/>
    <s v="2021V51128"/>
    <n v="2021232"/>
    <s v="CC449443"/>
    <x v="33"/>
    <d v="2021-02-15T00:00:00"/>
    <d v="1899-12-30T15:23:06"/>
    <s v="Feb"/>
    <n v="214490"/>
    <s v="INR"/>
    <n v="38340"/>
    <s v="E113"/>
    <s v="E120"/>
    <s v="NA"/>
    <s v="NA"/>
    <s v="AM"/>
    <s v="DM"/>
    <s v="AM"/>
    <s v="DM"/>
    <s v="PASS"/>
    <s v="NA"/>
    <s v="2021"/>
    <s v="Feb"/>
    <s v="NON-RP"/>
  </r>
  <r>
    <n v="233"/>
    <s v="2021F21013"/>
    <n v="2021233"/>
    <s v="CC147682"/>
    <x v="11"/>
    <d v="2021-02-15T00:00:00"/>
    <d v="1899-12-30T14:01:39"/>
    <s v="Jan"/>
    <n v="395980"/>
    <s v="INR"/>
    <n v="70920"/>
    <s v="E116"/>
    <s v="E120"/>
    <s v="NA"/>
    <s v="NA"/>
    <s v="AM"/>
    <s v="DM"/>
    <s v="AM"/>
    <s v="DM"/>
    <s v="PASS"/>
    <s v="NA"/>
    <s v="2021"/>
    <s v="Feb"/>
    <s v="NON-RP"/>
  </r>
  <r>
    <n v="234"/>
    <s v="2021Y01920"/>
    <n v="2021234"/>
    <s v="CC542717"/>
    <x v="28"/>
    <d v="2021-02-18T00:00:00"/>
    <d v="1899-12-30T16:32:32"/>
    <s v="Feb"/>
    <n v="278800"/>
    <s v="INR"/>
    <n v="49680"/>
    <s v="E113"/>
    <s v="E117"/>
    <s v="NA"/>
    <s v="NA"/>
    <s v="AM"/>
    <s v="DM"/>
    <s v="AM"/>
    <s v="DM"/>
    <s v="PASS"/>
    <s v="NA"/>
    <s v="2021"/>
    <s v="Feb"/>
    <s v="NON-RP"/>
  </r>
  <r>
    <n v="235"/>
    <s v="2021H51320"/>
    <n v="2021235"/>
    <s v="CC787496"/>
    <x v="8"/>
    <d v="2021-02-20T00:00:00"/>
    <d v="1899-12-30T13:18:23"/>
    <s v="Feb"/>
    <n v="431320"/>
    <s v="INR"/>
    <n v="77580"/>
    <s v="E110"/>
    <s v="E120"/>
    <s v="NA"/>
    <s v="NA"/>
    <s v="AM"/>
    <s v="DM"/>
    <s v="AM"/>
    <s v="DM"/>
    <s v="PASS"/>
    <s v="NA"/>
    <s v="2021"/>
    <s v="Feb"/>
    <s v="NON-RP"/>
  </r>
  <r>
    <n v="236"/>
    <s v="2021H01753"/>
    <n v="2021236"/>
    <s v="CC390958"/>
    <x v="18"/>
    <d v="2021-02-23T00:00:00"/>
    <d v="1899-12-30T12:30:54"/>
    <s v="Feb"/>
    <n v="216430"/>
    <s v="INR"/>
    <n v="38700"/>
    <s v="E114"/>
    <s v="E118"/>
    <s v="NA"/>
    <s v="NA"/>
    <s v="AM"/>
    <s v="DM"/>
    <s v="AM"/>
    <s v="DM"/>
    <s v="PASS"/>
    <s v="NA"/>
    <s v="2021"/>
    <s v="Feb"/>
    <s v="NON-RP"/>
  </r>
  <r>
    <n v="237"/>
    <s v="2021S61275"/>
    <n v="2021237"/>
    <s v="CC730239"/>
    <x v="31"/>
    <d v="2021-02-24T00:00:00"/>
    <d v="1899-12-30T15:55:40"/>
    <s v="Feb"/>
    <n v="201920"/>
    <s v="INR"/>
    <n v="36180"/>
    <s v="E115"/>
    <s v="E117"/>
    <s v="NA"/>
    <s v="NA"/>
    <s v="AM"/>
    <s v="DM"/>
    <s v="AM"/>
    <s v="DM"/>
    <s v="PASS"/>
    <s v="NA"/>
    <s v="2021"/>
    <s v="Feb"/>
    <s v="NON-RP"/>
  </r>
  <r>
    <n v="238"/>
    <s v="2021D91627"/>
    <n v="2021238"/>
    <s v="CC485002"/>
    <x v="8"/>
    <d v="2021-02-24T00:00:00"/>
    <d v="1899-12-30T11:38:50"/>
    <s v="Feb"/>
    <n v="383620"/>
    <s v="INR"/>
    <n v="68580"/>
    <s v="E116"/>
    <s v="E120"/>
    <s v="NA"/>
    <s v="NA"/>
    <s v="AM"/>
    <s v="DM"/>
    <s v="AM"/>
    <s v="DM"/>
    <s v="PASS"/>
    <s v="NA"/>
    <s v="2021"/>
    <s v="Feb"/>
    <s v="NON-RP"/>
  </r>
  <r>
    <n v="239"/>
    <s v="2021O71083"/>
    <n v="2021239"/>
    <s v="CC108593"/>
    <x v="12"/>
    <d v="2021-02-27T00:00:00"/>
    <d v="1899-12-30T16:55:49"/>
    <s v="Jan"/>
    <n v="495540"/>
    <s v="INR"/>
    <n v="88740"/>
    <s v="E114"/>
    <s v="E119"/>
    <s v="NA"/>
    <s v="NA"/>
    <s v="AM"/>
    <s v="DM"/>
    <s v="AM"/>
    <s v="DM"/>
    <s v="PASS"/>
    <s v="NA"/>
    <s v="2021"/>
    <s v="Feb"/>
    <s v="NON-RP"/>
  </r>
  <r>
    <n v="240"/>
    <s v="2021V31530"/>
    <n v="2021240"/>
    <s v="CC710839"/>
    <x v="10"/>
    <d v="2021-03-01T00:00:00"/>
    <d v="1899-12-30T16:01:17"/>
    <s v="Mar"/>
    <n v="285080"/>
    <s v="INR"/>
    <n v="51120"/>
    <s v="E110"/>
    <s v="E117"/>
    <s v="NA"/>
    <s v="NA"/>
    <s v="AM"/>
    <s v="DM"/>
    <s v="AM"/>
    <s v="DM"/>
    <s v="PASS"/>
    <s v="NA"/>
    <s v="2021"/>
    <s v="Mar"/>
    <s v="NON-RP"/>
  </r>
  <r>
    <n v="241"/>
    <s v="2021E91338"/>
    <n v="2021241"/>
    <s v="CC735962"/>
    <x v="47"/>
    <d v="2021-03-01T00:00:00"/>
    <d v="1899-12-30T14:09:59"/>
    <s v="Mar"/>
    <n v="441790"/>
    <s v="INR"/>
    <n v="79200"/>
    <s v="E116"/>
    <s v="E119"/>
    <s v="NA"/>
    <s v="NA"/>
    <s v="AM"/>
    <s v="DM"/>
    <s v="AM"/>
    <s v="DM"/>
    <s v="PASS"/>
    <s v="NA"/>
    <s v="2021"/>
    <s v="Mar"/>
    <s v="RP"/>
  </r>
  <r>
    <n v="242"/>
    <s v="2021W91822"/>
    <n v="2021242"/>
    <s v="CC819433"/>
    <x v="3"/>
    <d v="2021-03-02T00:00:00"/>
    <d v="1899-12-30T12:00:52"/>
    <s v="Mar"/>
    <n v="339640"/>
    <s v="INR"/>
    <n v="60660"/>
    <s v="E115"/>
    <s v="E117"/>
    <s v="NA"/>
    <s v="NA"/>
    <s v="AM"/>
    <s v="DM"/>
    <s v="AM"/>
    <s v="DM"/>
    <s v="PASS"/>
    <s v="NA"/>
    <s v="2021"/>
    <s v="Mar"/>
    <s v="NON-RP"/>
  </r>
  <r>
    <n v="243"/>
    <s v="2021V51135"/>
    <n v="2021243"/>
    <s v="CC839432"/>
    <x v="39"/>
    <d v="2021-03-09T00:00:00"/>
    <d v="1899-12-30T11:28:57"/>
    <s v="Mar"/>
    <n v="494660"/>
    <s v="INR"/>
    <n v="88740"/>
    <s v="E114"/>
    <s v="E119"/>
    <s v="NA"/>
    <s v="NA"/>
    <s v="AM"/>
    <s v="DM"/>
    <s v="AM"/>
    <s v="DM"/>
    <s v="PASS"/>
    <s v="NA"/>
    <s v="2021"/>
    <s v="Mar"/>
    <s v="NON-RP"/>
  </r>
  <r>
    <n v="244"/>
    <s v="2021U51868"/>
    <n v="2021244"/>
    <s v="CC767295"/>
    <x v="18"/>
    <d v="2021-03-09T00:00:00"/>
    <d v="1899-12-30T14:01:03"/>
    <s v="Mar"/>
    <n v="463590"/>
    <s v="INR"/>
    <n v="82980"/>
    <s v="E115"/>
    <s v="E118"/>
    <s v="NA"/>
    <s v="NA"/>
    <s v="AM"/>
    <s v="DM"/>
    <s v="AM"/>
    <s v="DM"/>
    <s v="PASS"/>
    <s v="NA"/>
    <s v="2021"/>
    <s v="Mar"/>
    <s v="NON-RP"/>
  </r>
  <r>
    <n v="245"/>
    <s v="2021R11888"/>
    <n v="2021245"/>
    <s v="CC320123"/>
    <x v="23"/>
    <d v="2021-03-10T00:00:00"/>
    <d v="1899-12-30T13:07:48"/>
    <s v="Mar"/>
    <n v="474470"/>
    <s v="INR"/>
    <n v="85140"/>
    <s v="E112"/>
    <s v="E120"/>
    <s v="NA"/>
    <s v="NA"/>
    <s v="AM"/>
    <s v="DM"/>
    <s v="AM"/>
    <s v="DM"/>
    <s v="PASS"/>
    <s v="NA"/>
    <s v="2021"/>
    <s v="Mar"/>
    <s v="NON-RP"/>
  </r>
  <r>
    <n v="246"/>
    <s v="2021Y51752"/>
    <n v="2021246"/>
    <s v="CC678700"/>
    <x v="27"/>
    <d v="2021-03-11T00:00:00"/>
    <d v="1899-12-30T13:54:37"/>
    <s v="Mar"/>
    <n v="236850"/>
    <s v="INR"/>
    <n v="42120"/>
    <s v="E114"/>
    <s v="E121"/>
    <s v="NA"/>
    <s v="NA"/>
    <s v="AM"/>
    <s v="DM"/>
    <s v="AM"/>
    <s v="DM"/>
    <s v="PASS"/>
    <s v="NA"/>
    <s v="2021"/>
    <s v="Mar"/>
    <s v="NON-RP"/>
  </r>
  <r>
    <n v="247"/>
    <s v="2021Q71203"/>
    <n v="2021247"/>
    <s v="CC589880"/>
    <x v="11"/>
    <d v="2021-03-12T00:00:00"/>
    <d v="1899-12-30T12:41:43"/>
    <s v="Mar"/>
    <n v="37380"/>
    <s v="INR"/>
    <n v="6660"/>
    <s v="E107"/>
    <s v="E110"/>
    <s v="NA"/>
    <s v="NA"/>
    <s v="SE"/>
    <s v="AM"/>
    <s v="SE"/>
    <s v="AM"/>
    <s v="PASS"/>
    <s v="NA"/>
    <s v="2021"/>
    <s v="Mar"/>
    <s v="NON-RP"/>
  </r>
  <r>
    <n v="248"/>
    <s v="2021I71095"/>
    <n v="2021248"/>
    <s v="CC477089"/>
    <x v="0"/>
    <d v="2021-03-13T00:00:00"/>
    <d v="1899-12-30T14:39:00"/>
    <s v="Mar"/>
    <n v="474250"/>
    <s v="INR"/>
    <n v="85140"/>
    <s v="E113"/>
    <s v="E121"/>
    <s v="NA"/>
    <s v="NA"/>
    <s v="AM"/>
    <s v="DM"/>
    <s v="AM"/>
    <s v="DM"/>
    <s v="PASS"/>
    <s v="NA"/>
    <s v="2021"/>
    <s v="Mar"/>
    <s v="NON-RP"/>
  </r>
  <r>
    <n v="249"/>
    <s v="2021R81881"/>
    <n v="2021249"/>
    <s v="CC184376"/>
    <x v="5"/>
    <d v="2021-03-15T00:00:00"/>
    <d v="1899-12-30T13:26:18"/>
    <s v="Mar"/>
    <n v="322680"/>
    <s v="INR"/>
    <n v="57600"/>
    <s v="E111"/>
    <s v="E117"/>
    <s v="NA"/>
    <s v="NA"/>
    <s v="AM"/>
    <s v="DM"/>
    <s v="AM"/>
    <s v="DM"/>
    <s v="PASS"/>
    <s v="NA"/>
    <s v="2021"/>
    <s v="Mar"/>
    <s v="NON-RP"/>
  </r>
  <r>
    <n v="250"/>
    <s v="2021P51427"/>
    <n v="2021250"/>
    <s v="CC235801"/>
    <x v="8"/>
    <d v="2021-03-15T00:00:00"/>
    <d v="1899-12-30T14:31:59"/>
    <s v="Mar"/>
    <n v="245600"/>
    <s v="INR"/>
    <n v="43740"/>
    <s v="E110"/>
    <s v="E119"/>
    <s v="NA"/>
    <s v="NA"/>
    <s v="AM"/>
    <s v="DM"/>
    <s v="AM"/>
    <s v="DM"/>
    <s v="PASS"/>
    <s v="NA"/>
    <s v="2021"/>
    <s v="Mar"/>
    <s v="NON-RP"/>
  </r>
  <r>
    <n v="251"/>
    <s v="2021U71300"/>
    <n v="2021251"/>
    <s v="CC198375"/>
    <x v="23"/>
    <d v="2021-03-15T00:00:00"/>
    <d v="1899-12-30T16:37:08"/>
    <s v="Mar"/>
    <n v="276510"/>
    <s v="INR"/>
    <n v="49320"/>
    <s v="E113"/>
    <s v="E118"/>
    <s v="NA"/>
    <s v="NA"/>
    <s v="AM"/>
    <s v="DM"/>
    <s v="AM"/>
    <s v="DM"/>
    <s v="PASS"/>
    <s v="NA"/>
    <s v="2021"/>
    <s v="Mar"/>
    <s v="NON-RP"/>
  </r>
  <r>
    <n v="252"/>
    <s v="2021B41753"/>
    <n v="2021252"/>
    <s v="CC169643"/>
    <x v="2"/>
    <d v="2021-03-17T00:00:00"/>
    <d v="1899-12-30T13:20:37"/>
    <s v="Mar"/>
    <n v="290150"/>
    <s v="INR"/>
    <n v="51840"/>
    <s v="E116"/>
    <s v="E120"/>
    <s v="NA"/>
    <s v="NA"/>
    <s v="AM"/>
    <s v="DM"/>
    <s v="AM"/>
    <s v="DM"/>
    <s v="PASS"/>
    <s v="NA"/>
    <s v="2021"/>
    <s v="Mar"/>
    <s v="NON-RP"/>
  </r>
  <r>
    <n v="253"/>
    <s v="2021U91446"/>
    <n v="2021253"/>
    <s v="CC960587"/>
    <x v="15"/>
    <d v="2021-03-17T00:00:00"/>
    <d v="1899-12-30T14:31:31"/>
    <s v="Mar"/>
    <n v="215830"/>
    <s v="INR"/>
    <n v="38340"/>
    <s v="E111"/>
    <s v="E117"/>
    <s v="NA"/>
    <s v="NA"/>
    <s v="AM"/>
    <s v="DM"/>
    <s v="AM"/>
    <s v="DM"/>
    <s v="PASS"/>
    <s v="NA"/>
    <s v="2021"/>
    <s v="Mar"/>
    <s v="NON-RP"/>
  </r>
  <r>
    <n v="254"/>
    <s v="2021K71243"/>
    <n v="2021254"/>
    <s v="CC971074"/>
    <x v="21"/>
    <d v="2021-03-18T00:00:00"/>
    <d v="1899-12-30T14:08:48"/>
    <s v="Mar"/>
    <n v="310790"/>
    <s v="INR"/>
    <n v="55440"/>
    <s v="E113"/>
    <s v="E119"/>
    <s v="NA"/>
    <s v="NA"/>
    <s v="AM"/>
    <s v="DM"/>
    <s v="AM"/>
    <s v="DM"/>
    <s v="PASS"/>
    <s v="NA"/>
    <s v="2021"/>
    <s v="Mar"/>
    <s v="NON-RP"/>
  </r>
  <r>
    <n v="255"/>
    <s v="2021S11451"/>
    <n v="2021255"/>
    <s v="CC392995"/>
    <x v="20"/>
    <d v="2021-03-23T00:00:00"/>
    <d v="1899-12-30T13:30:16"/>
    <s v="Mar"/>
    <n v="275200"/>
    <s v="INR"/>
    <n v="49140"/>
    <s v="E114"/>
    <s v="E117"/>
    <s v="NA"/>
    <s v="NA"/>
    <s v="AM"/>
    <s v="DM"/>
    <s v="AM"/>
    <s v="DM"/>
    <s v="PASS"/>
    <s v="NA"/>
    <s v="2021"/>
    <s v="Mar"/>
    <s v="RP"/>
  </r>
  <r>
    <n v="256"/>
    <s v="2021F71106"/>
    <n v="2021256"/>
    <s v="CC519070"/>
    <x v="48"/>
    <d v="2021-03-24T00:00:00"/>
    <d v="1899-12-30T14:26:04"/>
    <s v="Mar"/>
    <n v="347560"/>
    <s v="INR"/>
    <n v="62100"/>
    <s v="E115"/>
    <s v="E118"/>
    <s v="NA"/>
    <s v="NA"/>
    <s v="AM"/>
    <s v="DM"/>
    <s v="AM"/>
    <s v="DM"/>
    <s v="PASS"/>
    <s v="NA"/>
    <s v="2021"/>
    <s v="Mar"/>
    <s v="NON-RP"/>
  </r>
  <r>
    <n v="257"/>
    <s v="2021E41460"/>
    <n v="2021257"/>
    <s v="CC351804"/>
    <x v="31"/>
    <d v="2021-03-25T00:00:00"/>
    <d v="1899-12-30T15:25:45"/>
    <s v="Mar"/>
    <n v="463330"/>
    <s v="INR"/>
    <n v="83340"/>
    <s v="E112"/>
    <s v="E117"/>
    <s v="NA"/>
    <s v="NA"/>
    <s v="AM"/>
    <s v="DM"/>
    <s v="AM"/>
    <s v="DM"/>
    <s v="PASS"/>
    <s v="NA"/>
    <s v="2021"/>
    <s v="Mar"/>
    <s v="NON-RP"/>
  </r>
  <r>
    <n v="258"/>
    <s v="2021X51076"/>
    <n v="2021258"/>
    <s v="CC561355"/>
    <x v="27"/>
    <d v="2021-03-31T00:00:00"/>
    <d v="1899-12-30T16:50:13"/>
    <s v="Mar"/>
    <n v="237420"/>
    <s v="INR"/>
    <n v="42660"/>
    <s v="E110"/>
    <s v="E121"/>
    <s v="NA"/>
    <s v="NA"/>
    <s v="AM"/>
    <s v="DM"/>
    <s v="AM"/>
    <s v="DM"/>
    <s v="PASS"/>
    <s v="NA"/>
    <s v="2021"/>
    <s v="Mar"/>
    <s v="NON-RP"/>
  </r>
  <r>
    <n v="259"/>
    <s v="2021I91390"/>
    <n v="2021259"/>
    <s v="CC971207"/>
    <x v="36"/>
    <d v="2021-03-31T00:00:00"/>
    <d v="1899-12-30T14:04:50"/>
    <s v="Mar"/>
    <n v="367870"/>
    <s v="INR"/>
    <n v="65700"/>
    <s v="E110"/>
    <s v="E118"/>
    <s v="NA"/>
    <s v="NA"/>
    <s v="AM"/>
    <s v="DM"/>
    <s v="AM"/>
    <s v="DM"/>
    <s v="PASS"/>
    <s v="NA"/>
    <s v="2021"/>
    <s v="Mar"/>
    <s v="NON-RP"/>
  </r>
  <r>
    <n v="260"/>
    <s v="2122E41682"/>
    <n v="21221"/>
    <s v="CC244019"/>
    <x v="13"/>
    <d v="2021-04-01T00:00:00"/>
    <d v="1899-12-30T16:29:32"/>
    <s v="Apr"/>
    <n v="10252420"/>
    <s v="INR"/>
    <n v="1845000"/>
    <s v="E125"/>
    <s v="E126"/>
    <s v="Approved"/>
    <s v="BM/CC244019C235"/>
    <s v="CM"/>
    <s v="CFO"/>
    <s v="CM"/>
    <s v="CFO"/>
    <s v="PASS"/>
    <s v="PASS"/>
    <s v="2122"/>
    <s v="Apr"/>
    <s v="NON-RP"/>
  </r>
  <r>
    <n v="261"/>
    <s v="2122W31073"/>
    <n v="21222"/>
    <s v="CC881381"/>
    <x v="11"/>
    <d v="2021-04-03T00:00:00"/>
    <d v="1899-12-30T17:07:06"/>
    <s v="Apr"/>
    <n v="277050"/>
    <s v="INR"/>
    <n v="49680"/>
    <s v="E116"/>
    <s v="E118"/>
    <s v="NA"/>
    <s v="NA"/>
    <s v="AM"/>
    <s v="DM"/>
    <s v="AM"/>
    <s v="DM"/>
    <s v="PASS"/>
    <s v="NA"/>
    <s v="2122"/>
    <s v="Apr"/>
    <s v="NON-RP"/>
  </r>
  <r>
    <n v="262"/>
    <s v="2122J21075"/>
    <n v="21223"/>
    <s v="CC316029"/>
    <x v="31"/>
    <d v="2021-04-03T00:00:00"/>
    <d v="1899-12-30T10:51:36"/>
    <s v="Apr"/>
    <n v="234800"/>
    <s v="INR"/>
    <n v="41760"/>
    <s v="E115"/>
    <s v="E117"/>
    <s v="NA"/>
    <s v="NA"/>
    <s v="AM"/>
    <s v="DM"/>
    <s v="AM"/>
    <s v="DM"/>
    <s v="PASS"/>
    <s v="NA"/>
    <s v="2122"/>
    <s v="Apr"/>
    <s v="NON-RP"/>
  </r>
  <r>
    <n v="263"/>
    <s v="2122Q81980"/>
    <n v="21224"/>
    <s v="CC926037"/>
    <x v="42"/>
    <d v="2021-04-05T00:00:00"/>
    <d v="1899-12-30T15:53:47"/>
    <s v="Apr"/>
    <n v="491400"/>
    <s v="INR"/>
    <n v="88380"/>
    <s v="E112"/>
    <s v="E118"/>
    <s v="NA"/>
    <s v="NA"/>
    <s v="AM"/>
    <s v="DM"/>
    <s v="AM"/>
    <s v="DM"/>
    <s v="PASS"/>
    <s v="NA"/>
    <s v="2122"/>
    <s v="Apr"/>
    <s v="NON-RP"/>
  </r>
  <r>
    <n v="264"/>
    <s v="2122R91504"/>
    <n v="21225"/>
    <s v="CC748469"/>
    <x v="38"/>
    <d v="2021-04-06T00:00:00"/>
    <d v="1899-12-30T13:53:19"/>
    <s v="Apr"/>
    <n v="203540"/>
    <s v="INR"/>
    <n v="36360"/>
    <s v="E110"/>
    <s v="E120"/>
    <s v="NA"/>
    <s v="NA"/>
    <s v="AM"/>
    <s v="DM"/>
    <s v="AM"/>
    <s v="DM"/>
    <s v="PASS"/>
    <s v="NA"/>
    <s v="2122"/>
    <s v="Apr"/>
    <s v="RP"/>
  </r>
  <r>
    <n v="265"/>
    <s v="2122E61635"/>
    <n v="21226"/>
    <s v="CC373590"/>
    <x v="26"/>
    <d v="2021-04-07T00:00:00"/>
    <d v="1899-12-30T16:56:38"/>
    <s v="Apr"/>
    <n v="255220"/>
    <s v="INR"/>
    <n v="45900"/>
    <s v="E112"/>
    <s v="E120"/>
    <s v="NA"/>
    <s v="NA"/>
    <s v="AM"/>
    <s v="DM"/>
    <s v="AM"/>
    <s v="DM"/>
    <s v="PASS"/>
    <s v="NA"/>
    <s v="2122"/>
    <s v="Apr"/>
    <s v="NON-RP"/>
  </r>
  <r>
    <n v="266"/>
    <s v="2122I21455"/>
    <n v="21227"/>
    <s v="CC757405"/>
    <x v="13"/>
    <d v="2021-04-08T00:00:00"/>
    <d v="1899-12-30T16:13:21"/>
    <s v="Apr"/>
    <n v="233510"/>
    <s v="INR"/>
    <n v="41580"/>
    <s v="E113"/>
    <s v="E117"/>
    <s v="NA"/>
    <s v="NA"/>
    <s v="AM"/>
    <s v="DM"/>
    <s v="AM"/>
    <s v="DM"/>
    <s v="PASS"/>
    <s v="NA"/>
    <s v="2122"/>
    <s v="Apr"/>
    <s v="NON-RP"/>
  </r>
  <r>
    <n v="267"/>
    <s v="2122S41901"/>
    <n v="21228"/>
    <s v="CC810183"/>
    <x v="3"/>
    <d v="2021-04-08T00:00:00"/>
    <d v="1899-12-30T12:23:21"/>
    <s v="Apr"/>
    <n v="287430"/>
    <s v="INR"/>
    <n v="51660"/>
    <s v="E110"/>
    <s v="E120"/>
    <s v="NA"/>
    <s v="NA"/>
    <s v="AM"/>
    <s v="DM"/>
    <s v="AM"/>
    <s v="DM"/>
    <s v="PASS"/>
    <s v="NA"/>
    <s v="2122"/>
    <s v="Apr"/>
    <s v="NON-RP"/>
  </r>
  <r>
    <n v="268"/>
    <s v="2122H61160"/>
    <n v="21229"/>
    <s v="CC306959"/>
    <x v="15"/>
    <d v="2021-04-09T00:00:00"/>
    <d v="1899-12-30T13:44:04"/>
    <s v="Apr"/>
    <n v="448190"/>
    <s v="INR"/>
    <n v="80460"/>
    <s v="E113"/>
    <s v="E121"/>
    <s v="NA"/>
    <s v="NA"/>
    <s v="AM"/>
    <s v="DM"/>
    <s v="AM"/>
    <s v="DM"/>
    <s v="PASS"/>
    <s v="NA"/>
    <s v="2122"/>
    <s v="Apr"/>
    <s v="NON-RP"/>
  </r>
  <r>
    <n v="269"/>
    <s v="2122W21972"/>
    <n v="212210"/>
    <s v="CC220009"/>
    <x v="33"/>
    <d v="2021-04-09T00:00:00"/>
    <d v="1899-12-30T17:16:18"/>
    <s v="Apr"/>
    <n v="443830"/>
    <s v="INR"/>
    <n v="79560"/>
    <s v="E110"/>
    <s v="E119"/>
    <s v="NA"/>
    <s v="NA"/>
    <s v="AM"/>
    <s v="DM"/>
    <s v="AM"/>
    <s v="DM"/>
    <s v="PASS"/>
    <s v="NA"/>
    <s v="2122"/>
    <s v="Apr"/>
    <s v="NON-RP"/>
  </r>
  <r>
    <n v="270"/>
    <s v="2122R71388"/>
    <n v="212211"/>
    <s v="CC522619"/>
    <x v="36"/>
    <d v="2021-04-12T00:00:00"/>
    <d v="1899-12-30T15:34:38"/>
    <s v="Apr"/>
    <n v="322290"/>
    <s v="INR"/>
    <n v="57960"/>
    <s v="E112"/>
    <s v="E118"/>
    <s v="NA"/>
    <s v="NA"/>
    <s v="AM"/>
    <s v="DM"/>
    <s v="AM"/>
    <s v="DM"/>
    <s v="PASS"/>
    <s v="NA"/>
    <s v="2122"/>
    <s v="Apr"/>
    <s v="NON-RP"/>
  </r>
  <r>
    <n v="271"/>
    <s v="2122O41500"/>
    <n v="212212"/>
    <s v="CC486761"/>
    <x v="47"/>
    <d v="2021-04-12T00:00:00"/>
    <d v="1899-12-30T17:26:07"/>
    <s v="Apr"/>
    <n v="202040"/>
    <s v="INR"/>
    <n v="36180"/>
    <s v="E111"/>
    <s v="E120"/>
    <s v="NA"/>
    <s v="NA"/>
    <s v="AM"/>
    <s v="DM"/>
    <s v="AM"/>
    <s v="DM"/>
    <s v="PASS"/>
    <s v="NA"/>
    <s v="2122"/>
    <s v="Apr"/>
    <s v="RP"/>
  </r>
  <r>
    <n v="272"/>
    <s v="2122R61882"/>
    <n v="212213"/>
    <s v="CC891736"/>
    <x v="13"/>
    <d v="2021-04-12T00:00:00"/>
    <d v="1899-12-30T13:00:14"/>
    <s v="Apr"/>
    <n v="254090"/>
    <s v="INR"/>
    <n v="45540"/>
    <s v="E113"/>
    <s v="E119"/>
    <s v="NA"/>
    <s v="NA"/>
    <s v="AM"/>
    <s v="DM"/>
    <s v="AM"/>
    <s v="DM"/>
    <s v="PASS"/>
    <s v="NA"/>
    <s v="2122"/>
    <s v="Apr"/>
    <s v="NON-RP"/>
  </r>
  <r>
    <n v="273"/>
    <s v="2122N51414"/>
    <n v="212214"/>
    <s v="CC829313"/>
    <x v="32"/>
    <d v="2021-04-12T00:00:00"/>
    <d v="1899-12-30T12:41:27"/>
    <s v="Apr"/>
    <n v="449120"/>
    <s v="INR"/>
    <n v="80820"/>
    <s v="E110"/>
    <s v="E118"/>
    <s v="NA"/>
    <s v="NA"/>
    <s v="AM"/>
    <s v="DM"/>
    <s v="AM"/>
    <s v="DM"/>
    <s v="PASS"/>
    <s v="NA"/>
    <s v="2122"/>
    <s v="Apr"/>
    <s v="NON-RP"/>
  </r>
  <r>
    <n v="274"/>
    <s v="2122Y71890"/>
    <n v="212215"/>
    <s v="CC592980"/>
    <x v="36"/>
    <d v="2021-04-14T00:00:00"/>
    <d v="1899-12-30T12:58:00"/>
    <s v="Apr"/>
    <n v="403890"/>
    <s v="INR"/>
    <n v="72540"/>
    <s v="E112"/>
    <s v="E120"/>
    <s v="NA"/>
    <s v="NA"/>
    <s v="AM"/>
    <s v="DM"/>
    <s v="AM"/>
    <s v="DM"/>
    <s v="PASS"/>
    <s v="NA"/>
    <s v="2122"/>
    <s v="Apr"/>
    <s v="NON-RP"/>
  </r>
  <r>
    <n v="275"/>
    <s v="2122H91695"/>
    <n v="212216"/>
    <s v="CC432437"/>
    <x v="44"/>
    <d v="2021-04-16T00:00:00"/>
    <d v="1899-12-30T14:39:52"/>
    <s v="Apr"/>
    <n v="284840"/>
    <s v="INR"/>
    <n v="51120"/>
    <s v="E116"/>
    <s v="E121"/>
    <s v="NA"/>
    <s v="NA"/>
    <s v="AM"/>
    <s v="DM"/>
    <s v="AM"/>
    <s v="DM"/>
    <s v="PASS"/>
    <s v="NA"/>
    <s v="2122"/>
    <s v="Apr"/>
    <s v="RP"/>
  </r>
  <r>
    <n v="276"/>
    <s v="2122A71300"/>
    <n v="212217"/>
    <s v="CC299835"/>
    <x v="47"/>
    <d v="2021-04-16T00:00:00"/>
    <d v="1899-12-30T17:35:19"/>
    <s v="Apr"/>
    <n v="400460"/>
    <s v="INR"/>
    <n v="71820"/>
    <s v="E111"/>
    <s v="E117"/>
    <s v="NA"/>
    <s v="NA"/>
    <s v="AM"/>
    <s v="DM"/>
    <s v="AM"/>
    <s v="DM"/>
    <s v="PASS"/>
    <s v="NA"/>
    <s v="2122"/>
    <s v="Apr"/>
    <s v="RP"/>
  </r>
  <r>
    <n v="277"/>
    <s v="2122C41326"/>
    <n v="212218"/>
    <s v="CC665938"/>
    <x v="45"/>
    <d v="2021-04-17T00:00:00"/>
    <d v="1899-12-30T11:15:48"/>
    <s v="Apr"/>
    <n v="281550"/>
    <s v="INR"/>
    <n v="50220"/>
    <s v="E116"/>
    <s v="E119"/>
    <s v="NA"/>
    <s v="NA"/>
    <s v="AM"/>
    <s v="DM"/>
    <s v="AM"/>
    <s v="DM"/>
    <s v="PASS"/>
    <s v="NA"/>
    <s v="2122"/>
    <s v="Apr"/>
    <s v="NON-RP"/>
  </r>
  <r>
    <n v="278"/>
    <s v="2122Y21532"/>
    <n v="212219"/>
    <s v="CC161282"/>
    <x v="9"/>
    <d v="2021-04-17T00:00:00"/>
    <d v="1899-12-30T10:42:51"/>
    <s v="Apr"/>
    <n v="283210"/>
    <s v="INR"/>
    <n v="50580"/>
    <s v="E112"/>
    <s v="E118"/>
    <s v="NA"/>
    <s v="NA"/>
    <s v="AM"/>
    <s v="DM"/>
    <s v="AM"/>
    <s v="DM"/>
    <s v="PASS"/>
    <s v="NA"/>
    <s v="2122"/>
    <s v="Apr"/>
    <s v="NON-RP"/>
  </r>
  <r>
    <n v="279"/>
    <s v="2122W21540"/>
    <n v="212220"/>
    <s v="CC756683"/>
    <x v="15"/>
    <d v="2021-04-19T00:00:00"/>
    <d v="1899-12-30T17:24:49"/>
    <s v="Apr"/>
    <n v="277600"/>
    <s v="INR"/>
    <n v="49680"/>
    <s v="E114"/>
    <s v="E119"/>
    <s v="NA"/>
    <s v="NA"/>
    <s v="AM"/>
    <s v="DM"/>
    <s v="AM"/>
    <s v="DM"/>
    <s v="PASS"/>
    <s v="NA"/>
    <s v="2122"/>
    <s v="Apr"/>
    <s v="NON-RP"/>
  </r>
  <r>
    <n v="280"/>
    <s v="2122P81088"/>
    <n v="212221"/>
    <s v="CC162344"/>
    <x v="40"/>
    <d v="2021-04-19T00:00:00"/>
    <d v="1899-12-30T11:55:20"/>
    <s v="Apr"/>
    <n v="24700"/>
    <s v="INR"/>
    <n v="4140"/>
    <s v="E109"/>
    <s v="E116"/>
    <s v="NA"/>
    <s v="NA"/>
    <s v="SE"/>
    <s v="AM"/>
    <s v="SE"/>
    <s v="AM"/>
    <s v="PASS"/>
    <s v="NA"/>
    <s v="2122"/>
    <s v="Apr"/>
    <s v="NON-RP"/>
  </r>
  <r>
    <n v="281"/>
    <s v="2122D01344"/>
    <n v="212222"/>
    <s v="CC714981"/>
    <x v="32"/>
    <d v="2021-04-19T00:00:00"/>
    <d v="1899-12-30T11:49:13"/>
    <s v="Apr"/>
    <n v="449990"/>
    <s v="INR"/>
    <n v="80820"/>
    <s v="E115"/>
    <s v="E120"/>
    <s v="NA"/>
    <s v="NA"/>
    <s v="AM"/>
    <s v="DM"/>
    <s v="AM"/>
    <s v="DM"/>
    <s v="PASS"/>
    <s v="NA"/>
    <s v="2122"/>
    <s v="Apr"/>
    <s v="NON-RP"/>
  </r>
  <r>
    <n v="282"/>
    <s v="2122G11410"/>
    <n v="212223"/>
    <s v="CC323347"/>
    <x v="21"/>
    <d v="2021-04-19T00:00:00"/>
    <d v="1899-12-30T17:00:54"/>
    <s v="Apr"/>
    <n v="397160"/>
    <s v="INR"/>
    <n v="71100"/>
    <s v="E113"/>
    <s v="E118"/>
    <s v="NA"/>
    <s v="NA"/>
    <s v="AM"/>
    <s v="DM"/>
    <s v="AM"/>
    <s v="DM"/>
    <s v="PASS"/>
    <s v="NA"/>
    <s v="2122"/>
    <s v="Apr"/>
    <s v="NON-RP"/>
  </r>
  <r>
    <n v="283"/>
    <s v="2122M91677"/>
    <n v="212224"/>
    <s v="CC327526"/>
    <x v="12"/>
    <d v="2021-04-20T00:00:00"/>
    <d v="1899-12-30T11:07:44"/>
    <s v="Apr"/>
    <n v="428840"/>
    <s v="INR"/>
    <n v="77040"/>
    <s v="E111"/>
    <s v="E121"/>
    <s v="NA"/>
    <s v="NA"/>
    <s v="AM"/>
    <s v="DM"/>
    <s v="AM"/>
    <s v="DM"/>
    <s v="PASS"/>
    <s v="NA"/>
    <s v="2122"/>
    <s v="Apr"/>
    <s v="NON-RP"/>
  </r>
  <r>
    <n v="284"/>
    <s v="2122Y51906"/>
    <n v="212225"/>
    <s v="CC373965"/>
    <x v="10"/>
    <d v="2021-04-22T00:00:00"/>
    <d v="1899-12-30T12:02:48"/>
    <s v="Apr"/>
    <n v="397150"/>
    <s v="INR"/>
    <n v="71100"/>
    <s v="E112"/>
    <s v="E121"/>
    <s v="NA"/>
    <s v="NA"/>
    <s v="AM"/>
    <s v="DM"/>
    <s v="AM"/>
    <s v="DM"/>
    <s v="PASS"/>
    <s v="NA"/>
    <s v="2122"/>
    <s v="Apr"/>
    <s v="NON-RP"/>
  </r>
  <r>
    <n v="285"/>
    <s v="2122H21009"/>
    <n v="212226"/>
    <s v="CC854841"/>
    <x v="6"/>
    <d v="2021-04-22T00:00:00"/>
    <d v="1899-12-30T13:49:41"/>
    <s v="Apr"/>
    <n v="413530"/>
    <s v="INR"/>
    <n v="74160"/>
    <s v="E110"/>
    <s v="E117"/>
    <s v="NA"/>
    <s v="NA"/>
    <s v="AM"/>
    <s v="DM"/>
    <s v="AM"/>
    <s v="DM"/>
    <s v="PASS"/>
    <s v="NA"/>
    <s v="2122"/>
    <s v="Apr"/>
    <s v="NON-RP"/>
  </r>
  <r>
    <n v="286"/>
    <s v="2122T21938"/>
    <n v="212227"/>
    <s v="CC342728"/>
    <x v="0"/>
    <d v="2021-04-23T00:00:00"/>
    <d v="1899-12-30T16:09:38"/>
    <s v="Apr"/>
    <n v="489190"/>
    <s v="INR"/>
    <n v="88020"/>
    <s v="E116"/>
    <s v="E117"/>
    <s v="NA"/>
    <s v="NA"/>
    <s v="AM"/>
    <s v="DM"/>
    <s v="AM"/>
    <s v="DM"/>
    <s v="PASS"/>
    <s v="NA"/>
    <s v="2122"/>
    <s v="Apr"/>
    <s v="NON-RP"/>
  </r>
  <r>
    <n v="287"/>
    <s v="2122V91827"/>
    <n v="212228"/>
    <s v="CC382291"/>
    <x v="38"/>
    <d v="2021-04-26T00:00:00"/>
    <d v="1899-12-30T13:48:02"/>
    <s v="Apr"/>
    <n v="274850"/>
    <s v="INR"/>
    <n v="49140"/>
    <s v="E116"/>
    <s v="E119"/>
    <s v="NA"/>
    <s v="NA"/>
    <s v="AM"/>
    <s v="DM"/>
    <s v="AM"/>
    <s v="DM"/>
    <s v="PASS"/>
    <s v="NA"/>
    <s v="2122"/>
    <s v="Apr"/>
    <s v="RP"/>
  </r>
  <r>
    <n v="288"/>
    <s v="2122F81122"/>
    <n v="212229"/>
    <s v="CC388791"/>
    <x v="7"/>
    <d v="2021-04-26T00:00:00"/>
    <d v="1899-12-30T16:35:35"/>
    <s v="Apr"/>
    <n v="333930"/>
    <s v="INR"/>
    <n v="59940"/>
    <s v="E116"/>
    <s v="E121"/>
    <s v="NA"/>
    <s v="NA"/>
    <s v="AM"/>
    <s v="DM"/>
    <s v="AM"/>
    <s v="DM"/>
    <s v="PASS"/>
    <s v="NA"/>
    <s v="2122"/>
    <s v="Apr"/>
    <s v="NON-RP"/>
  </r>
  <r>
    <n v="289"/>
    <s v="2122K71403"/>
    <n v="212230"/>
    <s v="CC719146"/>
    <x v="23"/>
    <d v="2021-04-26T00:00:00"/>
    <d v="1899-12-30T17:23:12"/>
    <s v="Apr"/>
    <n v="330040"/>
    <s v="INR"/>
    <n v="59040"/>
    <s v="E112"/>
    <s v="E121"/>
    <s v="NA"/>
    <s v="NA"/>
    <s v="AM"/>
    <s v="DM"/>
    <s v="AM"/>
    <s v="DM"/>
    <s v="PASS"/>
    <s v="NA"/>
    <s v="2122"/>
    <s v="Apr"/>
    <s v="NON-RP"/>
  </r>
  <r>
    <n v="290"/>
    <s v="2122O11519"/>
    <n v="212231"/>
    <s v="CC154932"/>
    <x v="18"/>
    <d v="2021-04-27T00:00:00"/>
    <d v="1899-12-30T15:03:42"/>
    <s v="Apr"/>
    <n v="212740"/>
    <s v="INR"/>
    <n v="38160"/>
    <s v="E110"/>
    <s v="E117"/>
    <s v="NA"/>
    <s v="NA"/>
    <s v="AM"/>
    <s v="DM"/>
    <s v="AM"/>
    <s v="DM"/>
    <s v="PASS"/>
    <s v="NA"/>
    <s v="2122"/>
    <s v="Apr"/>
    <s v="NON-RP"/>
  </r>
  <r>
    <n v="291"/>
    <s v="2122W31052"/>
    <n v="212232"/>
    <s v="CC991683"/>
    <x v="27"/>
    <d v="2021-04-29T00:00:00"/>
    <d v="1899-12-30T15:27:09"/>
    <s v="Apr"/>
    <n v="229650"/>
    <s v="INR"/>
    <n v="40860"/>
    <s v="E116"/>
    <s v="E117"/>
    <s v="NA"/>
    <s v="NA"/>
    <s v="AM"/>
    <s v="DM"/>
    <s v="AM"/>
    <s v="DM"/>
    <s v="PASS"/>
    <s v="NA"/>
    <s v="2122"/>
    <s v="Apr"/>
    <s v="NON-RP"/>
  </r>
  <r>
    <n v="292"/>
    <s v="2122S31761"/>
    <n v="212233"/>
    <s v="CC737026"/>
    <x v="4"/>
    <d v="2021-04-30T00:00:00"/>
    <d v="1899-12-30T11:37:48"/>
    <s v="Apr"/>
    <n v="276090"/>
    <s v="INR"/>
    <n v="49500"/>
    <s v="E112"/>
    <s v="E118"/>
    <s v="NA"/>
    <s v="NA"/>
    <s v="AM"/>
    <s v="DM"/>
    <s v="AM"/>
    <s v="DM"/>
    <s v="PASS"/>
    <s v="NA"/>
    <s v="2122"/>
    <s v="Apr"/>
    <s v="NON-RP"/>
  </r>
  <r>
    <n v="293"/>
    <s v="2122A71503"/>
    <n v="212234"/>
    <s v="CC740841"/>
    <x v="15"/>
    <d v="2021-04-30T00:00:00"/>
    <d v="1899-12-30T10:14:03"/>
    <s v="Apr"/>
    <n v="250910"/>
    <s v="INR"/>
    <n v="44820"/>
    <s v="E116"/>
    <s v="E121"/>
    <s v="NA"/>
    <s v="NA"/>
    <s v="AM"/>
    <s v="DM"/>
    <s v="AM"/>
    <s v="DM"/>
    <s v="PASS"/>
    <s v="NA"/>
    <s v="2122"/>
    <s v="Apr"/>
    <s v="NON-RP"/>
  </r>
  <r>
    <n v="294"/>
    <s v="2122L81527"/>
    <n v="212235"/>
    <s v="CC786502"/>
    <x v="30"/>
    <d v="2021-05-01T00:00:00"/>
    <d v="1899-12-30T14:52:08"/>
    <s v="May"/>
    <n v="498030"/>
    <s v="INR"/>
    <n v="89280"/>
    <s v="E112"/>
    <s v="E119"/>
    <s v="NA"/>
    <s v="NA"/>
    <s v="AM"/>
    <s v="DM"/>
    <s v="AM"/>
    <s v="DM"/>
    <s v="PASS"/>
    <s v="NA"/>
    <s v="2122"/>
    <s v="May"/>
    <s v="NON-RP"/>
  </r>
  <r>
    <n v="295"/>
    <s v="2122Q51651"/>
    <n v="212236"/>
    <s v="CC753187"/>
    <x v="1"/>
    <d v="2021-05-03T00:00:00"/>
    <d v="1899-12-30T12:04:55"/>
    <s v="May"/>
    <n v="258340"/>
    <s v="INR"/>
    <n v="46260"/>
    <s v="E110"/>
    <s v="E121"/>
    <s v="NA"/>
    <s v="NA"/>
    <s v="AM"/>
    <s v="DM"/>
    <s v="AM"/>
    <s v="DM"/>
    <s v="PASS"/>
    <s v="NA"/>
    <s v="2122"/>
    <s v="May"/>
    <s v="NON-RP"/>
  </r>
  <r>
    <n v="296"/>
    <s v="2122J41238"/>
    <n v="212237"/>
    <s v="CC826713"/>
    <x v="37"/>
    <d v="2021-05-03T00:00:00"/>
    <d v="1899-12-30T16:22:27"/>
    <s v="May"/>
    <n v="240520"/>
    <s v="INR"/>
    <n v="42840"/>
    <s v="E114"/>
    <s v="E118"/>
    <s v="NA"/>
    <s v="NA"/>
    <s v="AM"/>
    <s v="DM"/>
    <s v="AM"/>
    <s v="DM"/>
    <s v="PASS"/>
    <s v="NA"/>
    <s v="2122"/>
    <s v="May"/>
    <s v="NON-RP"/>
  </r>
  <r>
    <n v="297"/>
    <s v="2122C31086"/>
    <n v="212238"/>
    <s v="CC945706"/>
    <x v="17"/>
    <d v="2021-05-05T00:00:00"/>
    <d v="1899-12-30T17:26:39"/>
    <s v="May"/>
    <n v="403020"/>
    <s v="INR"/>
    <n v="72180"/>
    <s v="E114"/>
    <s v="E118"/>
    <s v="NA"/>
    <s v="NA"/>
    <s v="AM"/>
    <s v="DM"/>
    <s v="AM"/>
    <s v="DM"/>
    <s v="PASS"/>
    <s v="NA"/>
    <s v="2122"/>
    <s v="May"/>
    <s v="NON-RP"/>
  </r>
  <r>
    <n v="298"/>
    <s v="2122X11877"/>
    <n v="212239"/>
    <s v="CC279086"/>
    <x v="1"/>
    <d v="2021-05-05T00:00:00"/>
    <d v="1899-12-30T14:57:53"/>
    <s v="May"/>
    <n v="328460"/>
    <s v="INR"/>
    <n v="58860"/>
    <s v="E113"/>
    <s v="E121"/>
    <s v="NA"/>
    <s v="NA"/>
    <s v="AM"/>
    <s v="DM"/>
    <s v="AM"/>
    <s v="DM"/>
    <s v="PASS"/>
    <s v="NA"/>
    <s v="2122"/>
    <s v="May"/>
    <s v="NON-RP"/>
  </r>
  <r>
    <n v="299"/>
    <s v="2122P61734"/>
    <n v="212240"/>
    <s v="CC572393"/>
    <x v="22"/>
    <d v="2021-05-06T00:00:00"/>
    <d v="1899-12-30T11:47:06"/>
    <s v="May"/>
    <n v="321090"/>
    <s v="INR"/>
    <n v="57600"/>
    <s v="E110"/>
    <s v="E120"/>
    <s v="NA"/>
    <s v="NA"/>
    <s v="AM"/>
    <s v="DM"/>
    <s v="AM"/>
    <s v="DM"/>
    <s v="PASS"/>
    <s v="NA"/>
    <s v="2122"/>
    <s v="May"/>
    <s v="NON-RP"/>
  </r>
  <r>
    <n v="300"/>
    <s v="2122H31456"/>
    <n v="212241"/>
    <s v="CC199480"/>
    <x v="32"/>
    <d v="2021-05-06T00:00:00"/>
    <d v="1899-12-30T17:38:35"/>
    <s v="May"/>
    <n v="27380"/>
    <s v="INR"/>
    <n v="4500"/>
    <s v="E102"/>
    <s v="E116"/>
    <s v="NA"/>
    <s v="NA"/>
    <s v="SE"/>
    <s v="AM"/>
    <s v="SE"/>
    <s v="AM"/>
    <s v="PASS"/>
    <s v="NA"/>
    <s v="2122"/>
    <s v="May"/>
    <s v="NON-RP"/>
  </r>
  <r>
    <n v="301"/>
    <s v="2122U51176"/>
    <n v="212242"/>
    <s v="CC915591"/>
    <x v="14"/>
    <d v="2021-05-07T00:00:00"/>
    <d v="1899-12-30T13:58:22"/>
    <s v="May"/>
    <n v="494080"/>
    <s v="INR"/>
    <n v="88560"/>
    <s v="E115"/>
    <s v="E120"/>
    <s v="NA"/>
    <s v="NA"/>
    <s v="AM"/>
    <s v="DM"/>
    <s v="AM"/>
    <s v="DM"/>
    <s v="PASS"/>
    <s v="NA"/>
    <s v="2122"/>
    <s v="May"/>
    <s v="NON-RP"/>
  </r>
  <r>
    <n v="302"/>
    <s v="2122R81752"/>
    <n v="212243"/>
    <s v="CC714760"/>
    <x v="20"/>
    <d v="2021-05-09T00:00:00"/>
    <d v="1899-12-30T11:54:24"/>
    <s v="May"/>
    <n v="4279450"/>
    <s v="INR"/>
    <n v="770040"/>
    <s v="E123"/>
    <s v="E125"/>
    <s v="NA"/>
    <s v="NA"/>
    <s v="SM"/>
    <s v="CM"/>
    <s v="SM"/>
    <s v="CM"/>
    <s v="PASS"/>
    <s v="NA"/>
    <s v="2122"/>
    <s v="May"/>
    <s v="RP"/>
  </r>
  <r>
    <n v="303"/>
    <s v="2122J71071"/>
    <n v="212244"/>
    <s v="CC779996"/>
    <x v="16"/>
    <d v="2021-05-10T00:00:00"/>
    <d v="1899-12-30T11:31:57"/>
    <s v="May"/>
    <n v="42630"/>
    <s v="INR"/>
    <n v="7200"/>
    <s v="E106"/>
    <s v="E110"/>
    <s v="NA"/>
    <s v="NA"/>
    <s v="SE"/>
    <s v="AM"/>
    <s v="SE"/>
    <s v="AM"/>
    <s v="PASS"/>
    <s v="NA"/>
    <s v="2122"/>
    <s v="May"/>
    <s v="NON-RP"/>
  </r>
  <r>
    <n v="304"/>
    <s v="2122P71588"/>
    <n v="212245"/>
    <s v="CC712750"/>
    <x v="34"/>
    <d v="2021-05-10T00:00:00"/>
    <d v="1899-12-30T10:54:29"/>
    <s v="May"/>
    <n v="491380"/>
    <s v="INR"/>
    <n v="88020"/>
    <s v="E111"/>
    <s v="E120"/>
    <s v="NA"/>
    <s v="NA"/>
    <s v="AM"/>
    <s v="DM"/>
    <s v="AM"/>
    <s v="DM"/>
    <s v="PASS"/>
    <s v="NA"/>
    <s v="2122"/>
    <s v="May"/>
    <s v="NON-RP"/>
  </r>
  <r>
    <n v="305"/>
    <s v="2122E11194"/>
    <n v="212246"/>
    <s v="CC936408"/>
    <x v="15"/>
    <d v="2021-05-11T00:00:00"/>
    <d v="1899-12-30T10:23:44"/>
    <s v="May"/>
    <n v="35080"/>
    <s v="INR"/>
    <n v="5940"/>
    <s v="E107"/>
    <s v="E110"/>
    <s v="NA"/>
    <s v="NA"/>
    <s v="SE"/>
    <s v="AM"/>
    <s v="SE"/>
    <s v="AM"/>
    <s v="PASS"/>
    <s v="NA"/>
    <s v="2122"/>
    <s v="May"/>
    <s v="NON-RP"/>
  </r>
  <r>
    <n v="306"/>
    <s v="2122E92000"/>
    <n v="212247"/>
    <s v="CC913421"/>
    <x v="30"/>
    <d v="2021-05-12T00:00:00"/>
    <d v="1899-12-30T16:37:13"/>
    <s v="May"/>
    <n v="33330"/>
    <s v="INR"/>
    <n v="5580"/>
    <s v="E105"/>
    <s v="E115"/>
    <s v="NA"/>
    <s v="NA"/>
    <s v="SE"/>
    <s v="AM"/>
    <s v="SE"/>
    <s v="AM"/>
    <s v="PASS"/>
    <s v="NA"/>
    <s v="2122"/>
    <s v="May"/>
    <s v="NON-RP"/>
  </r>
  <r>
    <n v="307"/>
    <s v="2122A51332"/>
    <n v="212248"/>
    <s v="CC694145"/>
    <x v="48"/>
    <d v="2021-05-13T00:00:00"/>
    <d v="1899-12-30T11:58:45"/>
    <s v="May"/>
    <n v="29410"/>
    <s v="INR"/>
    <n v="5040"/>
    <s v="E108"/>
    <s v="E112"/>
    <s v="NA"/>
    <s v="NA"/>
    <s v="SE"/>
    <s v="AM"/>
    <s v="SE"/>
    <s v="AM"/>
    <s v="PASS"/>
    <s v="NA"/>
    <s v="2122"/>
    <s v="May"/>
    <s v="NON-RP"/>
  </r>
  <r>
    <n v="308"/>
    <s v="2122N21290"/>
    <n v="212249"/>
    <s v="CC812055"/>
    <x v="30"/>
    <d v="2021-05-13T00:00:00"/>
    <d v="1899-12-30T17:14:16"/>
    <s v="May"/>
    <n v="488580"/>
    <s v="INR"/>
    <n v="87480"/>
    <s v="E111"/>
    <s v="E119"/>
    <s v="NA"/>
    <s v="NA"/>
    <s v="AM"/>
    <s v="DM"/>
    <s v="AM"/>
    <s v="DM"/>
    <s v="PASS"/>
    <s v="NA"/>
    <s v="2122"/>
    <s v="May"/>
    <s v="NON-RP"/>
  </r>
  <r>
    <n v="309"/>
    <s v="2122H61356"/>
    <n v="212250"/>
    <s v="CC533198"/>
    <x v="8"/>
    <d v="2021-05-15T00:00:00"/>
    <d v="1899-12-30T14:47:20"/>
    <s v="May"/>
    <n v="458040"/>
    <s v="INR"/>
    <n v="82260"/>
    <s v="E115"/>
    <s v="E119"/>
    <s v="NA"/>
    <s v="NA"/>
    <s v="AM"/>
    <s v="DM"/>
    <s v="AM"/>
    <s v="DM"/>
    <s v="PASS"/>
    <s v="NA"/>
    <s v="2122"/>
    <s v="May"/>
    <s v="NON-RP"/>
  </r>
  <r>
    <n v="310"/>
    <s v="2122G71828"/>
    <n v="212251"/>
    <s v="CC403177"/>
    <x v="8"/>
    <d v="2021-05-17T00:00:00"/>
    <d v="1899-12-30T15:12:05"/>
    <s v="May"/>
    <n v="31230"/>
    <s v="INR"/>
    <n v="5400"/>
    <s v="E109"/>
    <s v="E112"/>
    <s v="NA"/>
    <s v="NA"/>
    <s v="SE"/>
    <s v="AM"/>
    <s v="SE"/>
    <s v="AM"/>
    <s v="PASS"/>
    <s v="NA"/>
    <s v="2122"/>
    <s v="May"/>
    <s v="NON-RP"/>
  </r>
  <r>
    <n v="311"/>
    <s v="2122Z81727"/>
    <n v="212252"/>
    <s v="CC834403"/>
    <x v="16"/>
    <d v="2021-05-17T00:00:00"/>
    <d v="1899-12-30T10:11:05"/>
    <s v="May"/>
    <n v="492890"/>
    <s v="INR"/>
    <n v="88560"/>
    <s v="E111"/>
    <s v="E117"/>
    <s v="NA"/>
    <s v="NA"/>
    <s v="AM"/>
    <s v="DM"/>
    <s v="AM"/>
    <s v="DM"/>
    <s v="PASS"/>
    <s v="NA"/>
    <s v="2122"/>
    <s v="May"/>
    <s v="NON-RP"/>
  </r>
  <r>
    <n v="312"/>
    <s v="2122C71512"/>
    <n v="212253"/>
    <s v="CC464231"/>
    <x v="20"/>
    <d v="2021-05-16T00:00:00"/>
    <d v="1899-12-30T12:31:43"/>
    <s v="May"/>
    <n v="4951880"/>
    <s v="INR"/>
    <n v="891000"/>
    <s v="E125"/>
    <s v="E126"/>
    <s v="NA"/>
    <s v="NA"/>
    <s v="CM"/>
    <s v="CFO"/>
    <s v="CM"/>
    <s v="CFO"/>
    <s v="PASS"/>
    <s v="NA"/>
    <s v="2122"/>
    <s v="May"/>
    <s v="RP"/>
  </r>
  <r>
    <n v="313"/>
    <s v="2122I51463"/>
    <n v="212254"/>
    <s v="CC228462"/>
    <x v="34"/>
    <d v="2021-05-18T00:00:00"/>
    <d v="1899-12-30T17:24:41"/>
    <s v="May"/>
    <n v="422770"/>
    <s v="INR"/>
    <n v="75600"/>
    <s v="E116"/>
    <s v="E118"/>
    <s v="NA"/>
    <s v="NA"/>
    <s v="AM"/>
    <s v="DM"/>
    <s v="AM"/>
    <s v="DM"/>
    <s v="PASS"/>
    <s v="NA"/>
    <s v="2122"/>
    <s v="May"/>
    <s v="NON-RP"/>
  </r>
  <r>
    <n v="314"/>
    <s v="2122E81958"/>
    <n v="212255"/>
    <s v="CC329189"/>
    <x v="34"/>
    <d v="2021-05-18T00:00:00"/>
    <d v="1899-12-30T13:49:58"/>
    <s v="May"/>
    <n v="471550"/>
    <s v="INR"/>
    <n v="84600"/>
    <s v="E116"/>
    <s v="E120"/>
    <s v="NA"/>
    <s v="NA"/>
    <s v="AM"/>
    <s v="DM"/>
    <s v="AM"/>
    <s v="DM"/>
    <s v="PASS"/>
    <s v="NA"/>
    <s v="2122"/>
    <s v="May"/>
    <s v="NON-RP"/>
  </r>
  <r>
    <n v="315"/>
    <s v="2122U21721"/>
    <n v="212256"/>
    <s v="CC219614"/>
    <x v="9"/>
    <d v="2021-05-19T00:00:00"/>
    <d v="1899-12-30T11:13:18"/>
    <s v="Apr"/>
    <n v="493100"/>
    <s v="INR"/>
    <n v="88380"/>
    <s v="E113"/>
    <s v="E117"/>
    <s v="NA"/>
    <s v="NA"/>
    <s v="AM"/>
    <s v="DM"/>
    <s v="AM"/>
    <s v="DM"/>
    <s v="PASS"/>
    <s v="NA"/>
    <s v="2122"/>
    <s v="May"/>
    <s v="NON-RP"/>
  </r>
  <r>
    <n v="316"/>
    <s v="2122A91382"/>
    <n v="212257"/>
    <s v="CC360973"/>
    <x v="33"/>
    <d v="2021-05-19T00:00:00"/>
    <d v="1899-12-30T16:59:54"/>
    <s v="May"/>
    <n v="32770"/>
    <s v="INR"/>
    <n v="5760"/>
    <s v="E108"/>
    <s v="E114"/>
    <s v="NA"/>
    <s v="NA"/>
    <s v="SE"/>
    <s v="AM"/>
    <s v="SE"/>
    <s v="AM"/>
    <s v="PASS"/>
    <s v="NA"/>
    <s v="2122"/>
    <s v="May"/>
    <s v="NON-RP"/>
  </r>
  <r>
    <n v="317"/>
    <s v="2122F51501"/>
    <n v="212258"/>
    <s v="CC996672"/>
    <x v="42"/>
    <d v="2021-05-21T00:00:00"/>
    <d v="1899-12-30T11:07:50"/>
    <s v="May"/>
    <n v="33370"/>
    <s v="INR"/>
    <n v="5760"/>
    <s v="E108"/>
    <s v="E116"/>
    <s v="NA"/>
    <s v="NA"/>
    <s v="SE"/>
    <s v="AM"/>
    <s v="SE"/>
    <s v="AM"/>
    <s v="PASS"/>
    <s v="NA"/>
    <s v="2122"/>
    <s v="May"/>
    <s v="NON-RP"/>
  </r>
  <r>
    <n v="318"/>
    <s v="2122I71828"/>
    <n v="212259"/>
    <s v="CC402764"/>
    <x v="12"/>
    <d v="2021-05-21T00:00:00"/>
    <d v="1899-12-30T13:18:34"/>
    <s v="May"/>
    <n v="33290"/>
    <s v="INR"/>
    <n v="5580"/>
    <s v="E109"/>
    <s v="E113"/>
    <s v="NA"/>
    <s v="NA"/>
    <s v="SE"/>
    <s v="AM"/>
    <s v="SE"/>
    <s v="AM"/>
    <s v="PASS"/>
    <s v="NA"/>
    <s v="2122"/>
    <s v="May"/>
    <s v="NON-RP"/>
  </r>
  <r>
    <n v="319"/>
    <s v="2122P31207"/>
    <n v="212260"/>
    <s v="CC822579"/>
    <x v="7"/>
    <d v="2021-05-21T00:00:00"/>
    <d v="1899-12-30T12:59:38"/>
    <s v="May"/>
    <n v="31350"/>
    <s v="INR"/>
    <n v="5580"/>
    <s v="E100"/>
    <s v="E114"/>
    <s v="NA"/>
    <s v="NA"/>
    <s v="SE"/>
    <s v="AM"/>
    <s v="SE"/>
    <s v="AM"/>
    <s v="PASS"/>
    <s v="NA"/>
    <s v="2122"/>
    <s v="May"/>
    <s v="NON-RP"/>
  </r>
  <r>
    <n v="320"/>
    <s v="2122S11948"/>
    <n v="212261"/>
    <s v="CC551324"/>
    <x v="44"/>
    <d v="2021-05-23T00:00:00"/>
    <d v="1899-12-30T10:37:15"/>
    <s v="May"/>
    <n v="4062620"/>
    <s v="INR"/>
    <n v="730800"/>
    <s v="E123"/>
    <s v="E125"/>
    <s v="NA"/>
    <s v="NA"/>
    <s v="SM"/>
    <s v="CM"/>
    <s v="SM"/>
    <s v="CM"/>
    <s v="PASS"/>
    <s v="NA"/>
    <s v="2122"/>
    <s v="May"/>
    <s v="RP"/>
  </r>
  <r>
    <n v="321"/>
    <s v="2122T61344"/>
    <n v="212262"/>
    <s v="CC117699"/>
    <x v="44"/>
    <d v="2021-05-22T00:00:00"/>
    <d v="1899-12-30T19:35:18"/>
    <s v="May"/>
    <n v="4672170"/>
    <s v="INR"/>
    <n v="840780"/>
    <s v="E125"/>
    <s v="E126"/>
    <s v="NA"/>
    <s v="NA"/>
    <s v="CM"/>
    <s v="CFO"/>
    <s v="CM"/>
    <s v="CFO"/>
    <s v="PASS"/>
    <s v="NA"/>
    <s v="2122"/>
    <s v="May"/>
    <s v="RP"/>
  </r>
  <r>
    <n v="322"/>
    <s v="2122K41100"/>
    <n v="212263"/>
    <s v="CC345184"/>
    <x v="3"/>
    <d v="2021-05-22T00:00:00"/>
    <d v="1899-12-30T10:54:50"/>
    <s v="May"/>
    <n v="33750"/>
    <s v="INR"/>
    <n v="5760"/>
    <s v="E106"/>
    <s v="E116"/>
    <s v="NA"/>
    <s v="NA"/>
    <s v="SE"/>
    <s v="AM"/>
    <s v="SE"/>
    <s v="AM"/>
    <s v="PASS"/>
    <s v="NA"/>
    <s v="2122"/>
    <s v="May"/>
    <s v="NON-RP"/>
  </r>
  <r>
    <n v="323"/>
    <s v="2122Y01059"/>
    <n v="212264"/>
    <s v="CC328264"/>
    <x v="22"/>
    <d v="2021-05-22T00:00:00"/>
    <d v="1899-12-30T10:32:01"/>
    <s v="May"/>
    <n v="31040"/>
    <s v="INR"/>
    <n v="5220"/>
    <s v="E101"/>
    <s v="E112"/>
    <s v="NA"/>
    <s v="NA"/>
    <s v="SE"/>
    <s v="AM"/>
    <s v="SE"/>
    <s v="AM"/>
    <s v="PASS"/>
    <s v="NA"/>
    <s v="2122"/>
    <s v="May"/>
    <s v="NON-RP"/>
  </r>
  <r>
    <n v="324"/>
    <s v="2122C91143"/>
    <n v="212265"/>
    <s v="CC616697"/>
    <x v="11"/>
    <d v="2021-05-24T00:00:00"/>
    <d v="1899-12-30T12:15:54"/>
    <s v="May"/>
    <n v="36470"/>
    <s v="INR"/>
    <n v="6120"/>
    <s v="E102"/>
    <s v="E116"/>
    <s v="NA"/>
    <s v="NA"/>
    <s v="SE"/>
    <s v="AM"/>
    <s v="SE"/>
    <s v="AM"/>
    <s v="PASS"/>
    <s v="NA"/>
    <s v="2122"/>
    <s v="May"/>
    <s v="NON-RP"/>
  </r>
  <r>
    <n v="325"/>
    <s v="2122Z91814"/>
    <n v="212266"/>
    <s v="CC296237"/>
    <x v="34"/>
    <d v="2021-05-24T00:00:00"/>
    <d v="1899-12-30T17:22:02"/>
    <s v="May"/>
    <n v="31200"/>
    <s v="INR"/>
    <n v="5400"/>
    <s v="E102"/>
    <s v="E115"/>
    <s v="NA"/>
    <s v="NA"/>
    <s v="SE"/>
    <s v="AM"/>
    <s v="SE"/>
    <s v="AM"/>
    <s v="PASS"/>
    <s v="NA"/>
    <s v="2122"/>
    <s v="May"/>
    <s v="NON-RP"/>
  </r>
  <r>
    <n v="326"/>
    <s v="2122Y31120"/>
    <n v="212267"/>
    <s v="CC431429"/>
    <x v="39"/>
    <d v="2021-05-28T00:00:00"/>
    <d v="1899-12-30T10:58:48"/>
    <s v="May"/>
    <n v="384050"/>
    <s v="INR"/>
    <n v="68940"/>
    <s v="E111"/>
    <s v="E119"/>
    <s v="NA"/>
    <s v="NA"/>
    <s v="AM"/>
    <s v="DM"/>
    <s v="AM"/>
    <s v="DM"/>
    <s v="PASS"/>
    <s v="NA"/>
    <s v="2122"/>
    <s v="May"/>
    <s v="NON-RP"/>
  </r>
  <r>
    <n v="327"/>
    <s v="2122W11173"/>
    <n v="212268"/>
    <s v="CC793013"/>
    <x v="36"/>
    <d v="2021-05-28T00:00:00"/>
    <d v="1899-12-30T13:17:00"/>
    <s v="May"/>
    <n v="487120"/>
    <s v="INR"/>
    <n v="87300"/>
    <s v="E110"/>
    <s v="E121"/>
    <s v="NA"/>
    <s v="NA"/>
    <s v="AM"/>
    <s v="DM"/>
    <s v="AM"/>
    <s v="DM"/>
    <s v="PASS"/>
    <s v="NA"/>
    <s v="2122"/>
    <s v="May"/>
    <s v="NON-RP"/>
  </r>
  <r>
    <n v="328"/>
    <s v="2122K21518"/>
    <n v="212269"/>
    <s v="CC609741"/>
    <x v="47"/>
    <d v="2021-05-29T00:00:00"/>
    <d v="1899-12-30T19:45:36"/>
    <s v="May"/>
    <n v="4611710"/>
    <s v="INR"/>
    <n v="829800"/>
    <s v="E125"/>
    <s v="E126"/>
    <s v="NA"/>
    <s v="NA"/>
    <s v="CM"/>
    <s v="CFO"/>
    <s v="CM"/>
    <s v="CFO"/>
    <s v="PASS"/>
    <s v="NA"/>
    <s v="2122"/>
    <s v="May"/>
    <s v="RP"/>
  </r>
  <r>
    <n v="329"/>
    <s v="2122O11507"/>
    <n v="212270"/>
    <s v="CC724728"/>
    <x v="21"/>
    <d v="2021-05-31T00:00:00"/>
    <d v="1899-12-30T13:18:29"/>
    <s v="May"/>
    <n v="302270"/>
    <s v="INR"/>
    <n v="54360"/>
    <s v="E113"/>
    <s v="E121"/>
    <s v="NA"/>
    <s v="NA"/>
    <s v="AM"/>
    <s v="DM"/>
    <s v="AM"/>
    <s v="DM"/>
    <s v="PASS"/>
    <s v="NA"/>
    <s v="2122"/>
    <s v="May"/>
    <s v="NON-RP"/>
  </r>
  <r>
    <n v="330"/>
    <s v="2122F91688"/>
    <n v="212271"/>
    <s v="CC328767"/>
    <x v="14"/>
    <d v="2021-05-31T00:00:00"/>
    <d v="1899-12-30T10:37:14"/>
    <s v="May"/>
    <n v="255750"/>
    <s v="INR"/>
    <n v="45720"/>
    <s v="E112"/>
    <s v="E117"/>
    <s v="NA"/>
    <s v="NA"/>
    <s v="AM"/>
    <s v="DM"/>
    <s v="AM"/>
    <s v="DM"/>
    <s v="PASS"/>
    <s v="NA"/>
    <s v="2122"/>
    <s v="May"/>
    <s v="NON-RP"/>
  </r>
  <r>
    <n v="331"/>
    <s v="2122W01822"/>
    <n v="212272"/>
    <s v="CC288213"/>
    <x v="41"/>
    <d v="2021-06-01T00:00:00"/>
    <d v="1899-12-30T11:39:48"/>
    <s v="Jun"/>
    <n v="371830"/>
    <s v="INR"/>
    <n v="66420"/>
    <s v="E116"/>
    <s v="E117"/>
    <s v="NA"/>
    <s v="NA"/>
    <s v="AM"/>
    <s v="DM"/>
    <s v="AM"/>
    <s v="DM"/>
    <s v="PASS"/>
    <s v="NA"/>
    <s v="2122"/>
    <s v="Jun"/>
    <s v="NON-RP"/>
  </r>
  <r>
    <n v="332"/>
    <s v="2122P41977"/>
    <n v="212273"/>
    <s v="CC701641"/>
    <x v="24"/>
    <d v="2021-06-01T00:00:00"/>
    <d v="1899-12-30T14:45:29"/>
    <s v="Jun"/>
    <n v="493750"/>
    <s v="INR"/>
    <n v="88740"/>
    <s v="E111"/>
    <s v="E117"/>
    <s v="NA"/>
    <s v="NA"/>
    <s v="AM"/>
    <s v="DM"/>
    <s v="AM"/>
    <s v="DM"/>
    <s v="PASS"/>
    <s v="NA"/>
    <s v="2122"/>
    <s v="Jun"/>
    <s v="NON-RP"/>
  </r>
  <r>
    <n v="333"/>
    <s v="2122N31667"/>
    <n v="212274"/>
    <s v="CC311492"/>
    <x v="35"/>
    <d v="2021-06-03T00:00:00"/>
    <d v="1899-12-30T15:53:46"/>
    <s v="Jun"/>
    <n v="407360"/>
    <s v="INR"/>
    <n v="73080"/>
    <s v="E116"/>
    <s v="E121"/>
    <s v="NA"/>
    <s v="NA"/>
    <s v="AM"/>
    <s v="DM"/>
    <s v="AM"/>
    <s v="DM"/>
    <s v="PASS"/>
    <s v="NA"/>
    <s v="2122"/>
    <s v="Jun"/>
    <s v="NON-RP"/>
  </r>
  <r>
    <n v="334"/>
    <s v="2122D01537"/>
    <n v="212275"/>
    <s v="CC709724"/>
    <x v="0"/>
    <d v="2021-06-03T00:00:00"/>
    <d v="1899-12-30T10:28:34"/>
    <s v="Jun"/>
    <n v="262680"/>
    <s v="INR"/>
    <n v="47160"/>
    <s v="E116"/>
    <s v="E119"/>
    <s v="NA"/>
    <s v="NA"/>
    <s v="AM"/>
    <s v="DM"/>
    <s v="AM"/>
    <s v="DM"/>
    <s v="PASS"/>
    <s v="NA"/>
    <s v="2122"/>
    <s v="Jun"/>
    <s v="NON-RP"/>
  </r>
  <r>
    <n v="335"/>
    <s v="2122D91262"/>
    <n v="212276"/>
    <s v="CC889005"/>
    <x v="47"/>
    <d v="2021-06-06T00:00:00"/>
    <d v="1899-12-30T13:42:19"/>
    <s v="Jun"/>
    <n v="4080130"/>
    <s v="INR"/>
    <n v="734400"/>
    <s v="E124"/>
    <s v="E125"/>
    <s v="NA"/>
    <s v="NA"/>
    <s v="SM"/>
    <s v="CM"/>
    <s v="SM"/>
    <s v="CM"/>
    <s v="PASS"/>
    <s v="NA"/>
    <s v="2122"/>
    <s v="Jun"/>
    <s v="RP"/>
  </r>
  <r>
    <n v="336"/>
    <s v="2122L61433"/>
    <n v="212277"/>
    <s v="CC248245"/>
    <x v="22"/>
    <d v="2021-06-04T00:00:00"/>
    <d v="1899-12-30T12:30:19"/>
    <s v="Jun"/>
    <n v="490650"/>
    <s v="INR"/>
    <n v="88020"/>
    <s v="E116"/>
    <s v="E121"/>
    <s v="NA"/>
    <s v="NA"/>
    <s v="AM"/>
    <s v="DM"/>
    <s v="AM"/>
    <s v="DM"/>
    <s v="PASS"/>
    <s v="NA"/>
    <s v="2122"/>
    <s v="Jun"/>
    <s v="NON-RP"/>
  </r>
  <r>
    <n v="337"/>
    <s v="2122A51824"/>
    <n v="212278"/>
    <s v="CC462512"/>
    <x v="14"/>
    <d v="2021-06-05T00:00:00"/>
    <d v="1899-12-30T12:58:18"/>
    <s v="Jun"/>
    <n v="262560"/>
    <s v="INR"/>
    <n v="46800"/>
    <s v="E115"/>
    <s v="E121"/>
    <s v="NA"/>
    <s v="NA"/>
    <s v="AM"/>
    <s v="DM"/>
    <s v="AM"/>
    <s v="DM"/>
    <s v="PASS"/>
    <s v="NA"/>
    <s v="2122"/>
    <s v="Jun"/>
    <s v="NON-RP"/>
  </r>
  <r>
    <n v="338"/>
    <s v="2122C91935"/>
    <n v="212279"/>
    <s v="CC382059"/>
    <x v="23"/>
    <d v="2021-06-09T00:00:00"/>
    <d v="1899-12-30T16:50:48"/>
    <s v="Jun"/>
    <n v="2262240"/>
    <s v="INR"/>
    <n v="406800"/>
    <s v="E124"/>
    <s v="E125"/>
    <s v="NA"/>
    <s v="NA"/>
    <s v="SM"/>
    <s v="CM"/>
    <s v="SM"/>
    <s v="CM"/>
    <s v="PASS"/>
    <s v="NA"/>
    <s v="2122"/>
    <s v="Jun"/>
    <s v="NON-RP"/>
  </r>
  <r>
    <n v="339"/>
    <s v="2122G01509"/>
    <n v="212280"/>
    <s v="CC571554"/>
    <x v="11"/>
    <d v="2021-06-10T00:00:00"/>
    <d v="1899-12-30T11:56:30"/>
    <s v="Jun"/>
    <n v="354620"/>
    <s v="INR"/>
    <n v="63720"/>
    <s v="E112"/>
    <s v="E117"/>
    <s v="NA"/>
    <s v="NA"/>
    <s v="AM"/>
    <s v="DM"/>
    <s v="AM"/>
    <s v="DM"/>
    <s v="PASS"/>
    <s v="NA"/>
    <s v="2122"/>
    <s v="Jun"/>
    <s v="NON-RP"/>
  </r>
  <r>
    <n v="340"/>
    <s v="2122M81287"/>
    <n v="212281"/>
    <s v="CC438230"/>
    <x v="34"/>
    <d v="2021-06-14T00:00:00"/>
    <d v="1899-12-30T10:33:58"/>
    <s v="May"/>
    <n v="346810"/>
    <s v="INR"/>
    <n v="61920"/>
    <s v="E110"/>
    <s v="E121"/>
    <s v="NA"/>
    <s v="NA"/>
    <s v="AM"/>
    <s v="DM"/>
    <s v="AM"/>
    <s v="DM"/>
    <s v="PASS"/>
    <s v="NA"/>
    <s v="2122"/>
    <s v="Jun"/>
    <s v="NON-RP"/>
  </r>
  <r>
    <n v="341"/>
    <s v="2122X11995"/>
    <n v="212282"/>
    <s v="CC157174"/>
    <x v="43"/>
    <d v="2021-06-14T00:00:00"/>
    <d v="1899-12-30T11:38:10"/>
    <s v="Jun"/>
    <n v="268040"/>
    <s v="INR"/>
    <n v="47880"/>
    <s v="E113"/>
    <s v="E119"/>
    <s v="NA"/>
    <s v="NA"/>
    <s v="AM"/>
    <s v="DM"/>
    <s v="AM"/>
    <s v="DM"/>
    <s v="PASS"/>
    <s v="NA"/>
    <s v="2122"/>
    <s v="Jun"/>
    <s v="NON-RP"/>
  </r>
  <r>
    <n v="342"/>
    <s v="2122P01373"/>
    <n v="212283"/>
    <s v="CC667613"/>
    <x v="37"/>
    <d v="2021-06-17T00:00:00"/>
    <d v="1899-12-30T11:59:18"/>
    <s v="Jun"/>
    <n v="447580"/>
    <s v="INR"/>
    <n v="80280"/>
    <s v="E116"/>
    <s v="E117"/>
    <s v="NA"/>
    <s v="NA"/>
    <s v="AM"/>
    <s v="DM"/>
    <s v="AM"/>
    <s v="DM"/>
    <s v="PASS"/>
    <s v="NA"/>
    <s v="2122"/>
    <s v="Jun"/>
    <s v="NON-RP"/>
  </r>
  <r>
    <n v="343"/>
    <s v="2122D11524"/>
    <n v="212284"/>
    <s v="CC986776"/>
    <x v="11"/>
    <d v="2021-06-18T00:00:00"/>
    <d v="1899-12-30T17:01:33"/>
    <s v="May"/>
    <n v="293240"/>
    <s v="INR"/>
    <n v="52380"/>
    <s v="E113"/>
    <s v="E117"/>
    <s v="NA"/>
    <s v="NA"/>
    <s v="AM"/>
    <s v="DM"/>
    <s v="AM"/>
    <s v="DM"/>
    <s v="PASS"/>
    <s v="NA"/>
    <s v="2122"/>
    <s v="Jun"/>
    <s v="NON-RP"/>
  </r>
  <r>
    <n v="344"/>
    <s v="2122K31734"/>
    <n v="212285"/>
    <s v="CC917205"/>
    <x v="28"/>
    <d v="2021-06-19T00:00:00"/>
    <d v="1899-12-30T11:36:12"/>
    <s v="Jun"/>
    <n v="455400"/>
    <s v="INR"/>
    <n v="81540"/>
    <s v="E113"/>
    <s v="E117"/>
    <s v="NA"/>
    <s v="NA"/>
    <s v="AM"/>
    <s v="DM"/>
    <s v="AM"/>
    <s v="DM"/>
    <s v="PASS"/>
    <s v="NA"/>
    <s v="2122"/>
    <s v="Jun"/>
    <s v="NON-RP"/>
  </r>
  <r>
    <n v="345"/>
    <s v="2122W51264"/>
    <n v="212286"/>
    <s v="CC744505"/>
    <x v="37"/>
    <d v="2021-06-21T00:00:00"/>
    <d v="1899-12-30T10:50:30"/>
    <s v="Jun"/>
    <n v="451620"/>
    <s v="INR"/>
    <n v="81180"/>
    <s v="E110"/>
    <s v="E120"/>
    <s v="NA"/>
    <s v="NA"/>
    <s v="AM"/>
    <s v="DM"/>
    <s v="AM"/>
    <s v="DM"/>
    <s v="PASS"/>
    <s v="NA"/>
    <s v="2122"/>
    <s v="Jun"/>
    <s v="NON-RP"/>
  </r>
  <r>
    <n v="346"/>
    <s v="2122E81308"/>
    <n v="212287"/>
    <s v="CC368408"/>
    <x v="31"/>
    <d v="2021-06-21T00:00:00"/>
    <d v="1899-12-30T11:34:13"/>
    <s v="Jun"/>
    <n v="253470"/>
    <s v="INR"/>
    <n v="45360"/>
    <s v="E111"/>
    <s v="E118"/>
    <s v="NA"/>
    <s v="NA"/>
    <s v="AM"/>
    <s v="DM"/>
    <s v="AM"/>
    <s v="DM"/>
    <s v="PASS"/>
    <s v="NA"/>
    <s v="2122"/>
    <s v="Jun"/>
    <s v="NON-RP"/>
  </r>
  <r>
    <n v="347"/>
    <s v="2122M11324"/>
    <n v="212288"/>
    <s v="CC351025"/>
    <x v="24"/>
    <d v="2021-06-24T00:00:00"/>
    <d v="1899-12-30T15:35:20"/>
    <s v="Jun"/>
    <n v="459760"/>
    <s v="INR"/>
    <n v="82260"/>
    <s v="E113"/>
    <s v="E117"/>
    <s v="NA"/>
    <s v="NA"/>
    <s v="AM"/>
    <s v="DM"/>
    <s v="AM"/>
    <s v="DM"/>
    <s v="PASS"/>
    <s v="NA"/>
    <s v="2122"/>
    <s v="Jun"/>
    <s v="NON-RP"/>
  </r>
  <r>
    <n v="348"/>
    <s v="2122Q71449"/>
    <n v="212289"/>
    <s v="CC843843"/>
    <x v="22"/>
    <d v="2021-06-24T00:00:00"/>
    <d v="1899-12-30T17:52:51"/>
    <s v="Jun"/>
    <n v="334490"/>
    <s v="INR"/>
    <n v="59760"/>
    <s v="E113"/>
    <s v="E117"/>
    <s v="NA"/>
    <s v="NA"/>
    <s v="AM"/>
    <s v="DM"/>
    <s v="AM"/>
    <s v="DM"/>
    <s v="PASS"/>
    <s v="NA"/>
    <s v="2122"/>
    <s v="Jun"/>
    <s v="NON-RP"/>
  </r>
  <r>
    <n v="349"/>
    <s v="2122J41040"/>
    <n v="212290"/>
    <s v="CC758767"/>
    <x v="44"/>
    <d v="2021-06-26T00:00:00"/>
    <d v="1899-12-30T19:32:42"/>
    <s v="Jun"/>
    <n v="4330520"/>
    <s v="INR"/>
    <n v="779400"/>
    <s v="E123"/>
    <s v="E125"/>
    <s v="NA"/>
    <s v="NA"/>
    <s v="SM"/>
    <s v="CM"/>
    <s v="SM"/>
    <s v="CM"/>
    <s v="PASS"/>
    <s v="NA"/>
    <s v="2122"/>
    <s v="Jun"/>
    <s v="RP"/>
  </r>
  <r>
    <n v="350"/>
    <s v="2122M71189"/>
    <n v="212291"/>
    <s v="CC845878"/>
    <x v="24"/>
    <d v="2021-06-29T00:00:00"/>
    <d v="1899-12-30T12:32:27"/>
    <s v="Jun"/>
    <n v="372550"/>
    <s v="INR"/>
    <n v="66600"/>
    <s v="E113"/>
    <s v="E117"/>
    <s v="NA"/>
    <s v="NA"/>
    <s v="AM"/>
    <s v="DM"/>
    <s v="AM"/>
    <s v="DM"/>
    <s v="PASS"/>
    <s v="NA"/>
    <s v="2122"/>
    <s v="Jun"/>
    <s v="NON-RP"/>
  </r>
  <r>
    <n v="351"/>
    <s v="2122O01612"/>
    <n v="212292"/>
    <s v="CC397746"/>
    <x v="14"/>
    <d v="2021-06-30T00:00:00"/>
    <d v="1899-12-30T10:13:01"/>
    <s v="Jun"/>
    <n v="218040"/>
    <s v="INR"/>
    <n v="38880"/>
    <s v="E110"/>
    <s v="E120"/>
    <s v="NA"/>
    <s v="NA"/>
    <s v="AM"/>
    <s v="DM"/>
    <s v="AM"/>
    <s v="DM"/>
    <s v="PASS"/>
    <s v="NA"/>
    <s v="2122"/>
    <s v="Jun"/>
    <s v="NON-RP"/>
  </r>
  <r>
    <n v="352"/>
    <s v="2122K21667"/>
    <n v="212293"/>
    <s v="CC611971"/>
    <x v="29"/>
    <d v="2021-06-30T00:00:00"/>
    <d v="1899-12-30T13:22:07"/>
    <s v="Jun"/>
    <n v="304750"/>
    <s v="INR"/>
    <n v="54540"/>
    <s v="E110"/>
    <s v="E119"/>
    <s v="NA"/>
    <s v="NA"/>
    <s v="AM"/>
    <s v="DM"/>
    <s v="AM"/>
    <s v="DM"/>
    <s v="PASS"/>
    <s v="NA"/>
    <s v="2122"/>
    <s v="Jun"/>
    <s v="NON-RP"/>
  </r>
  <r>
    <n v="353"/>
    <s v="2122R41764"/>
    <n v="212294"/>
    <s v="CC958168"/>
    <x v="47"/>
    <d v="2021-07-04T00:00:00"/>
    <d v="1899-12-30T11:46:31"/>
    <s v="Jul"/>
    <n v="4673740"/>
    <s v="INR"/>
    <n v="841140"/>
    <s v="E125"/>
    <s v="E126"/>
    <s v="NA"/>
    <s v="NA"/>
    <s v="CM"/>
    <s v="CFO"/>
    <s v="CM"/>
    <s v="CFO"/>
    <s v="PASS"/>
    <s v="NA"/>
    <s v="2122"/>
    <s v="Jul"/>
    <s v="RP"/>
  </r>
  <r>
    <n v="354"/>
    <s v="2122X11966"/>
    <n v="212295"/>
    <s v="CC760438"/>
    <x v="48"/>
    <d v="2021-07-02T00:00:00"/>
    <d v="1899-12-30T16:39:50"/>
    <s v="Jul"/>
    <n v="223240"/>
    <s v="INR"/>
    <n v="40140"/>
    <s v="E111"/>
    <s v="E121"/>
    <s v="NA"/>
    <s v="NA"/>
    <s v="AM"/>
    <s v="DM"/>
    <s v="AM"/>
    <s v="DM"/>
    <s v="PASS"/>
    <s v="NA"/>
    <s v="2122"/>
    <s v="Jul"/>
    <s v="NON-RP"/>
  </r>
  <r>
    <n v="355"/>
    <s v="2122R41436"/>
    <n v="212296"/>
    <s v="CC113941"/>
    <x v="24"/>
    <d v="2021-07-03T00:00:00"/>
    <d v="1899-12-30T11:26:32"/>
    <s v="Jul"/>
    <n v="4880550"/>
    <s v="INR"/>
    <n v="878040"/>
    <s v="E125"/>
    <s v="E126"/>
    <s v="NA"/>
    <s v="NA"/>
    <s v="CM"/>
    <s v="CFO"/>
    <s v="CM"/>
    <s v="CFO"/>
    <s v="PASS"/>
    <s v="NA"/>
    <s v="2122"/>
    <s v="Jul"/>
    <s v="NON-RP"/>
  </r>
  <r>
    <n v="356"/>
    <s v="2122X51421"/>
    <n v="212297"/>
    <s v="CC414518"/>
    <x v="30"/>
    <d v="2021-07-03T00:00:00"/>
    <d v="1899-12-30T12:28:21"/>
    <s v="Jul"/>
    <n v="4982880"/>
    <s v="INR"/>
    <n v="896400"/>
    <s v="E125"/>
    <s v="E126"/>
    <s v="NA"/>
    <s v="NA"/>
    <s v="CM"/>
    <s v="CFO"/>
    <s v="CM"/>
    <s v="CFO"/>
    <s v="PASS"/>
    <s v="NA"/>
    <s v="2122"/>
    <s v="Jul"/>
    <s v="NON-RP"/>
  </r>
  <r>
    <n v="357"/>
    <s v="2122K41582"/>
    <n v="212298"/>
    <s v="CC855150"/>
    <x v="48"/>
    <d v="2021-07-03T00:00:00"/>
    <d v="1899-12-30T15:15:08"/>
    <s v="Jul"/>
    <n v="335690"/>
    <s v="INR"/>
    <n v="60300"/>
    <s v="E112"/>
    <s v="E120"/>
    <s v="NA"/>
    <s v="NA"/>
    <s v="AM"/>
    <s v="DM"/>
    <s v="AM"/>
    <s v="DM"/>
    <s v="PASS"/>
    <s v="NA"/>
    <s v="2122"/>
    <s v="Jul"/>
    <s v="NON-RP"/>
  </r>
  <r>
    <n v="358"/>
    <s v="2122R71561"/>
    <n v="212299"/>
    <s v="CC688525"/>
    <x v="14"/>
    <d v="2021-07-05T00:00:00"/>
    <d v="1899-12-30T13:51:31"/>
    <s v="Jul"/>
    <n v="337610"/>
    <s v="INR"/>
    <n v="60480"/>
    <s v="E110"/>
    <s v="E117"/>
    <s v="NA"/>
    <s v="NA"/>
    <s v="AM"/>
    <s v="DM"/>
    <s v="AM"/>
    <s v="DM"/>
    <s v="PASS"/>
    <s v="NA"/>
    <s v="2122"/>
    <s v="Jul"/>
    <s v="NON-RP"/>
  </r>
  <r>
    <n v="359"/>
    <s v="2122Y51297"/>
    <n v="2122100"/>
    <s v="CC909635"/>
    <x v="25"/>
    <d v="2021-07-05T00:00:00"/>
    <d v="1899-12-30T10:57:19"/>
    <s v="Jul"/>
    <n v="315160"/>
    <s v="INR"/>
    <n v="56340"/>
    <s v="E111"/>
    <s v="E121"/>
    <s v="NA"/>
    <s v="NA"/>
    <s v="AM"/>
    <s v="DM"/>
    <s v="AM"/>
    <s v="DM"/>
    <s v="PASS"/>
    <s v="NA"/>
    <s v="2122"/>
    <s v="Jul"/>
    <s v="NON-RP"/>
  </r>
  <r>
    <n v="360"/>
    <s v="2122A21810"/>
    <n v="2122101"/>
    <s v="CC462535"/>
    <x v="21"/>
    <d v="2021-07-06T00:00:00"/>
    <d v="1899-12-30T17:46:03"/>
    <s v="Jul"/>
    <n v="258880"/>
    <s v="INR"/>
    <n v="46440"/>
    <s v="E116"/>
    <s v="E119"/>
    <s v="NA"/>
    <s v="NA"/>
    <s v="AM"/>
    <s v="DM"/>
    <s v="AM"/>
    <s v="DM"/>
    <s v="PASS"/>
    <s v="NA"/>
    <s v="2122"/>
    <s v="Jul"/>
    <s v="NON-RP"/>
  </r>
  <r>
    <n v="361"/>
    <s v="2122K81299"/>
    <n v="2122102"/>
    <s v="CC730025"/>
    <x v="17"/>
    <d v="2021-07-07T00:00:00"/>
    <d v="1899-12-30T12:50:19"/>
    <s v="Jul"/>
    <n v="4879050"/>
    <s v="INR"/>
    <n v="878040"/>
    <s v="E125"/>
    <s v="E126"/>
    <s v="NA"/>
    <s v="NA"/>
    <s v="CM"/>
    <s v="CFO"/>
    <s v="CM"/>
    <s v="CFO"/>
    <s v="PASS"/>
    <s v="NA"/>
    <s v="2122"/>
    <s v="Jul"/>
    <s v="NON-RP"/>
  </r>
  <r>
    <n v="362"/>
    <s v="2122E81303"/>
    <n v="2122103"/>
    <s v="CC295581"/>
    <x v="45"/>
    <d v="2021-07-07T00:00:00"/>
    <d v="1899-12-30T16:27:49"/>
    <s v="Jul"/>
    <n v="4517900"/>
    <s v="INR"/>
    <n v="812880"/>
    <s v="E125"/>
    <s v="E126"/>
    <s v="NA"/>
    <s v="NA"/>
    <s v="CM"/>
    <s v="CFO"/>
    <s v="CM"/>
    <s v="CFO"/>
    <s v="PASS"/>
    <s v="NA"/>
    <s v="2122"/>
    <s v="Jul"/>
    <s v="NON-RP"/>
  </r>
  <r>
    <n v="363"/>
    <s v="2122O71438"/>
    <n v="2122104"/>
    <s v="CC504719"/>
    <x v="44"/>
    <d v="2021-07-11T00:00:00"/>
    <d v="1899-12-30T12:06:17"/>
    <s v="Jul"/>
    <n v="4059510"/>
    <s v="INR"/>
    <n v="730440"/>
    <s v="E123"/>
    <s v="E125"/>
    <s v="NA"/>
    <s v="NA"/>
    <s v="SM"/>
    <s v="CM"/>
    <s v="SM"/>
    <s v="CM"/>
    <s v="PASS"/>
    <s v="NA"/>
    <s v="2122"/>
    <s v="Jul"/>
    <s v="RP"/>
  </r>
  <r>
    <n v="364"/>
    <s v="2122Y51662"/>
    <n v="2122105"/>
    <s v="CC122844"/>
    <x v="6"/>
    <d v="2021-07-07T00:00:00"/>
    <d v="1899-12-30T10:09:49"/>
    <s v="Jul"/>
    <n v="420600"/>
    <s v="INR"/>
    <n v="75420"/>
    <s v="E112"/>
    <s v="E117"/>
    <s v="NA"/>
    <s v="NA"/>
    <s v="AM"/>
    <s v="DM"/>
    <s v="AM"/>
    <s v="DM"/>
    <s v="PASS"/>
    <s v="NA"/>
    <s v="2122"/>
    <s v="Jul"/>
    <s v="NON-RP"/>
  </r>
  <r>
    <n v="365"/>
    <s v="2122U21295"/>
    <n v="2122106"/>
    <s v="CC955812"/>
    <x v="25"/>
    <d v="2021-07-08T00:00:00"/>
    <d v="1899-12-30T11:56:09"/>
    <s v="Jun"/>
    <n v="247030"/>
    <s v="INR"/>
    <n v="44100"/>
    <s v="E112"/>
    <s v="E119"/>
    <s v="NA"/>
    <s v="NA"/>
    <s v="AM"/>
    <s v="DM"/>
    <s v="AM"/>
    <s v="DM"/>
    <s v="PASS"/>
    <s v="NA"/>
    <s v="2122"/>
    <s v="Jul"/>
    <s v="NON-RP"/>
  </r>
  <r>
    <n v="366"/>
    <s v="2122H51580"/>
    <n v="2122107"/>
    <s v="CC124053"/>
    <x v="7"/>
    <d v="2021-07-08T00:00:00"/>
    <d v="1899-12-30T11:49:36"/>
    <s v="Jul"/>
    <n v="254270"/>
    <s v="INR"/>
    <n v="45540"/>
    <s v="E110"/>
    <s v="E117"/>
    <s v="NA"/>
    <s v="NA"/>
    <s v="AM"/>
    <s v="DM"/>
    <s v="AM"/>
    <s v="DM"/>
    <s v="PASS"/>
    <s v="NA"/>
    <s v="2122"/>
    <s v="Jul"/>
    <s v="NON-RP"/>
  </r>
  <r>
    <n v="367"/>
    <s v="2122F21054"/>
    <n v="2122108"/>
    <s v="CC905493"/>
    <x v="5"/>
    <d v="2021-07-08T00:00:00"/>
    <d v="1899-12-30T14:58:18"/>
    <s v="Jul"/>
    <n v="344300"/>
    <s v="INR"/>
    <n v="61560"/>
    <s v="E112"/>
    <s v="E120"/>
    <s v="NA"/>
    <s v="NA"/>
    <s v="AM"/>
    <s v="DM"/>
    <s v="AM"/>
    <s v="DM"/>
    <s v="PASS"/>
    <s v="NA"/>
    <s v="2122"/>
    <s v="Jul"/>
    <s v="NON-RP"/>
  </r>
  <r>
    <n v="368"/>
    <s v="2122R91732"/>
    <n v="2122109"/>
    <s v="CC775724"/>
    <x v="23"/>
    <d v="2021-07-08T00:00:00"/>
    <d v="1899-12-30T13:13:03"/>
    <s v="Jun"/>
    <n v="457400"/>
    <s v="INR"/>
    <n v="81900"/>
    <s v="E110"/>
    <s v="E118"/>
    <s v="NA"/>
    <s v="NA"/>
    <s v="AM"/>
    <s v="DM"/>
    <s v="AM"/>
    <s v="DM"/>
    <s v="PASS"/>
    <s v="NA"/>
    <s v="2122"/>
    <s v="Jul"/>
    <s v="NON-RP"/>
  </r>
  <r>
    <n v="369"/>
    <s v="2122S21537"/>
    <n v="2122110"/>
    <s v="CC705770"/>
    <x v="14"/>
    <d v="2021-07-09T00:00:00"/>
    <d v="1899-12-30T14:11:38"/>
    <s v="Jul"/>
    <n v="314630"/>
    <s v="INR"/>
    <n v="56340"/>
    <s v="E116"/>
    <s v="E120"/>
    <s v="NA"/>
    <s v="NA"/>
    <s v="AM"/>
    <s v="DM"/>
    <s v="AM"/>
    <s v="DM"/>
    <s v="PASS"/>
    <s v="NA"/>
    <s v="2122"/>
    <s v="Jul"/>
    <s v="NON-RP"/>
  </r>
  <r>
    <n v="370"/>
    <s v="2122T11612"/>
    <n v="2122111"/>
    <s v="CC923656"/>
    <x v="19"/>
    <d v="2021-07-10T00:00:00"/>
    <d v="1899-12-30T15:04:40"/>
    <s v="Jul"/>
    <n v="403900"/>
    <s v="INR"/>
    <n v="72360"/>
    <s v="E111"/>
    <s v="E120"/>
    <s v="NA"/>
    <s v="NA"/>
    <s v="AM"/>
    <s v="DM"/>
    <s v="AM"/>
    <s v="DM"/>
    <s v="PASS"/>
    <s v="NA"/>
    <s v="2122"/>
    <s v="Jul"/>
    <s v="NON-RP"/>
  </r>
  <r>
    <n v="371"/>
    <s v="2122H01575"/>
    <n v="2122112"/>
    <s v="CC427384"/>
    <x v="9"/>
    <d v="2021-07-12T00:00:00"/>
    <d v="1899-12-30T12:16:36"/>
    <s v="Jul"/>
    <n v="318940"/>
    <s v="INR"/>
    <n v="57060"/>
    <s v="E111"/>
    <s v="E119"/>
    <s v="NA"/>
    <s v="NA"/>
    <s v="AM"/>
    <s v="DM"/>
    <s v="AM"/>
    <s v="DM"/>
    <s v="PASS"/>
    <s v="NA"/>
    <s v="2122"/>
    <s v="Jul"/>
    <s v="NON-RP"/>
  </r>
  <r>
    <n v="372"/>
    <s v="2122O91217"/>
    <n v="2122113"/>
    <s v="CC605545"/>
    <x v="35"/>
    <d v="2021-07-12T00:00:00"/>
    <d v="1899-12-30T13:01:22"/>
    <s v="Jul"/>
    <n v="345820"/>
    <s v="INR"/>
    <n v="61740"/>
    <s v="E114"/>
    <s v="E119"/>
    <s v="NA"/>
    <s v="NA"/>
    <s v="AM"/>
    <s v="DM"/>
    <s v="AM"/>
    <s v="DM"/>
    <s v="PASS"/>
    <s v="NA"/>
    <s v="2122"/>
    <s v="Jul"/>
    <s v="NON-RP"/>
  </r>
  <r>
    <n v="373"/>
    <s v="2122N81684"/>
    <n v="2122114"/>
    <s v="CC757772"/>
    <x v="22"/>
    <d v="2021-07-12T00:00:00"/>
    <d v="1899-12-30T12:32:17"/>
    <s v="Jul"/>
    <n v="475420"/>
    <s v="INR"/>
    <n v="85140"/>
    <s v="E115"/>
    <s v="E120"/>
    <s v="NA"/>
    <s v="NA"/>
    <s v="AM"/>
    <s v="DM"/>
    <s v="AM"/>
    <s v="DM"/>
    <s v="PASS"/>
    <s v="NA"/>
    <s v="2122"/>
    <s v="Jul"/>
    <s v="NON-RP"/>
  </r>
  <r>
    <n v="374"/>
    <s v="2122T11572"/>
    <n v="2122115"/>
    <s v="CC776809"/>
    <x v="14"/>
    <d v="2021-07-12T00:00:00"/>
    <d v="1899-12-30T16:58:02"/>
    <s v="Jul"/>
    <n v="307180"/>
    <s v="INR"/>
    <n v="55260"/>
    <s v="E112"/>
    <s v="E117"/>
    <s v="NA"/>
    <s v="NA"/>
    <s v="AM"/>
    <s v="DM"/>
    <s v="AM"/>
    <s v="DM"/>
    <s v="PASS"/>
    <s v="NA"/>
    <s v="2122"/>
    <s v="Jul"/>
    <s v="NON-RP"/>
  </r>
  <r>
    <n v="375"/>
    <s v="2122N41639"/>
    <n v="2122116"/>
    <s v="CC481370"/>
    <x v="34"/>
    <d v="2021-07-12T00:00:00"/>
    <d v="1899-12-30T15:27:42"/>
    <s v="Jul"/>
    <n v="337680"/>
    <s v="INR"/>
    <n v="60300"/>
    <s v="E110"/>
    <s v="E117"/>
    <s v="NA"/>
    <s v="NA"/>
    <s v="AM"/>
    <s v="DM"/>
    <s v="AM"/>
    <s v="DM"/>
    <s v="PASS"/>
    <s v="NA"/>
    <s v="2122"/>
    <s v="Jul"/>
    <s v="NON-RP"/>
  </r>
  <r>
    <n v="376"/>
    <s v="2122T31362"/>
    <n v="2122117"/>
    <s v="CC156411"/>
    <x v="19"/>
    <d v="2021-07-14T00:00:00"/>
    <d v="1899-12-30T16:31:28"/>
    <s v="Jul"/>
    <n v="234720"/>
    <s v="INR"/>
    <n v="42120"/>
    <s v="E115"/>
    <s v="E121"/>
    <s v="NA"/>
    <s v="NA"/>
    <s v="AM"/>
    <s v="DM"/>
    <s v="AM"/>
    <s v="DM"/>
    <s v="PASS"/>
    <s v="NA"/>
    <s v="2122"/>
    <s v="Jul"/>
    <s v="NON-RP"/>
  </r>
  <r>
    <n v="377"/>
    <s v="2122I01269"/>
    <n v="2122118"/>
    <s v="CC535979"/>
    <x v="19"/>
    <d v="2021-07-19T00:00:00"/>
    <d v="1899-12-30T14:53:51"/>
    <s v="Jul"/>
    <n v="4996140"/>
    <s v="INR"/>
    <n v="899100"/>
    <s v="E125"/>
    <s v="E126"/>
    <s v="NA"/>
    <s v="NA"/>
    <s v="CM"/>
    <s v="CFO"/>
    <s v="CM"/>
    <s v="CFO"/>
    <s v="PASS"/>
    <s v="NA"/>
    <s v="2122"/>
    <s v="Jul"/>
    <s v="NON-RP"/>
  </r>
  <r>
    <n v="378"/>
    <s v="2122J91871"/>
    <n v="2122119"/>
    <s v="CC129392"/>
    <x v="40"/>
    <d v="2021-07-19T00:00:00"/>
    <d v="1899-12-30T15:10:19"/>
    <s v="Jul"/>
    <n v="214640"/>
    <s v="INR"/>
    <n v="38160"/>
    <s v="E110"/>
    <s v="E118"/>
    <s v="NA"/>
    <s v="NA"/>
    <s v="AM"/>
    <s v="DM"/>
    <s v="AM"/>
    <s v="DM"/>
    <s v="PASS"/>
    <s v="NA"/>
    <s v="2122"/>
    <s v="Jul"/>
    <s v="NON-RP"/>
  </r>
  <r>
    <n v="379"/>
    <s v="2122E11145"/>
    <n v="2122120"/>
    <s v="CC483508"/>
    <x v="44"/>
    <d v="2021-07-18T00:00:00"/>
    <d v="1899-12-30T12:04:55"/>
    <s v="Jul"/>
    <n v="4211080"/>
    <s v="INR"/>
    <n v="757800"/>
    <s v="E124"/>
    <s v="E125"/>
    <s v="NA"/>
    <s v="NA"/>
    <s v="SM"/>
    <s v="CM"/>
    <s v="SM"/>
    <s v="CM"/>
    <s v="PASS"/>
    <s v="NA"/>
    <s v="2122"/>
    <s v="Jul"/>
    <s v="RP"/>
  </r>
  <r>
    <n v="380"/>
    <s v="2122B11824"/>
    <n v="2122121"/>
    <s v="CC402552"/>
    <x v="2"/>
    <d v="2021-07-20T00:00:00"/>
    <d v="1899-12-30T13:34:13"/>
    <s v="Jul"/>
    <n v="247860"/>
    <s v="INR"/>
    <n v="44280"/>
    <s v="E116"/>
    <s v="E118"/>
    <s v="NA"/>
    <s v="NA"/>
    <s v="AM"/>
    <s v="DM"/>
    <s v="AM"/>
    <s v="DM"/>
    <s v="PASS"/>
    <s v="NA"/>
    <s v="2122"/>
    <s v="Jul"/>
    <s v="NON-RP"/>
  </r>
  <r>
    <n v="381"/>
    <s v="2122L61350"/>
    <n v="2122122"/>
    <s v="CC861125"/>
    <x v="27"/>
    <d v="2021-07-21T00:00:00"/>
    <d v="1899-12-30T16:04:11"/>
    <s v="Jul"/>
    <n v="229830"/>
    <s v="INR"/>
    <n v="40860"/>
    <s v="E110"/>
    <s v="E121"/>
    <s v="NA"/>
    <s v="NA"/>
    <s v="AM"/>
    <s v="DM"/>
    <s v="AM"/>
    <s v="DM"/>
    <s v="PASS"/>
    <s v="NA"/>
    <s v="2122"/>
    <s v="Jul"/>
    <s v="NON-RP"/>
  </r>
  <r>
    <n v="382"/>
    <s v="2122V51057"/>
    <n v="2122123"/>
    <s v="CC665733"/>
    <x v="21"/>
    <d v="2021-07-21T00:00:00"/>
    <d v="1899-12-30T15:39:30"/>
    <s v="Jul"/>
    <n v="399460"/>
    <s v="INR"/>
    <n v="71460"/>
    <s v="E112"/>
    <s v="E121"/>
    <s v="NA"/>
    <s v="NA"/>
    <s v="AM"/>
    <s v="DM"/>
    <s v="AM"/>
    <s v="DM"/>
    <s v="PASS"/>
    <s v="NA"/>
    <s v="2122"/>
    <s v="Jul"/>
    <s v="NON-RP"/>
  </r>
  <r>
    <n v="383"/>
    <s v="2122A01733"/>
    <n v="2122124"/>
    <s v="CC732825"/>
    <x v="16"/>
    <d v="2021-07-22T00:00:00"/>
    <d v="1899-12-30T15:02:16"/>
    <s v="Jul"/>
    <n v="352720"/>
    <s v="INR"/>
    <n v="63360"/>
    <s v="E110"/>
    <s v="E119"/>
    <s v="NA"/>
    <s v="NA"/>
    <s v="AM"/>
    <s v="DM"/>
    <s v="AM"/>
    <s v="DM"/>
    <s v="PASS"/>
    <s v="NA"/>
    <s v="2122"/>
    <s v="Jul"/>
    <s v="NON-RP"/>
  </r>
  <r>
    <n v="384"/>
    <s v="2122H01711"/>
    <n v="2122125"/>
    <s v="CC701593"/>
    <x v="45"/>
    <d v="2021-07-24T00:00:00"/>
    <d v="1899-12-30T16:34:48"/>
    <s v="Jul"/>
    <n v="297520"/>
    <s v="INR"/>
    <n v="53460"/>
    <s v="E110"/>
    <s v="E117"/>
    <s v="NA"/>
    <s v="NA"/>
    <s v="AM"/>
    <s v="DM"/>
    <s v="AM"/>
    <s v="DM"/>
    <s v="PASS"/>
    <s v="NA"/>
    <s v="2122"/>
    <s v="Jul"/>
    <s v="NON-RP"/>
  </r>
  <r>
    <n v="385"/>
    <s v="2122P91585"/>
    <n v="2122126"/>
    <s v="CC538768"/>
    <x v="3"/>
    <d v="2021-07-24T00:00:00"/>
    <d v="1899-12-30T14:26:27"/>
    <s v="Jul"/>
    <n v="4531660"/>
    <s v="INR"/>
    <n v="815580"/>
    <s v="E125"/>
    <s v="E126"/>
    <s v="NA"/>
    <s v="NA"/>
    <s v="CM"/>
    <s v="CFO"/>
    <s v="CM"/>
    <s v="CFO"/>
    <s v="PASS"/>
    <s v="NA"/>
    <s v="2122"/>
    <s v="Jul"/>
    <s v="NON-RP"/>
  </r>
  <r>
    <n v="386"/>
    <s v="2122F01599"/>
    <n v="2122127"/>
    <s v="CC258004"/>
    <x v="37"/>
    <d v="2021-07-24T00:00:00"/>
    <d v="1899-12-30T11:58:50"/>
    <s v="Jul"/>
    <n v="471240"/>
    <s v="INR"/>
    <n v="84780"/>
    <s v="E113"/>
    <s v="E117"/>
    <s v="NA"/>
    <s v="NA"/>
    <s v="AM"/>
    <s v="DM"/>
    <s v="AM"/>
    <s v="DM"/>
    <s v="PASS"/>
    <s v="NA"/>
    <s v="2122"/>
    <s v="Jul"/>
    <s v="NON-RP"/>
  </r>
  <r>
    <n v="387"/>
    <s v="2122E31833"/>
    <n v="2122128"/>
    <s v="CC102948"/>
    <x v="6"/>
    <d v="2021-07-28T00:00:00"/>
    <d v="1899-12-30T10:55:04"/>
    <s v="Jul"/>
    <n v="4229320"/>
    <s v="INR"/>
    <n v="760860"/>
    <s v="E124"/>
    <s v="E125"/>
    <s v="NA"/>
    <s v="NA"/>
    <s v="SM"/>
    <s v="CM"/>
    <s v="SM"/>
    <s v="CM"/>
    <s v="PASS"/>
    <s v="NA"/>
    <s v="2122"/>
    <s v="Jul"/>
    <s v="NON-RP"/>
  </r>
  <r>
    <n v="388"/>
    <s v="2122j61071"/>
    <n v="2122129"/>
    <s v="CC833477"/>
    <x v="42"/>
    <d v="2021-07-29T00:00:00"/>
    <d v="1899-12-30T10:28:16"/>
    <s v="Jul"/>
    <n v="4620700"/>
    <s v="INR"/>
    <n v="831600"/>
    <s v="E125"/>
    <s v="E126"/>
    <s v="NA"/>
    <s v="NA"/>
    <s v="CM"/>
    <s v="CFO"/>
    <s v="CM"/>
    <s v="CFO"/>
    <s v="PASS"/>
    <s v="NA"/>
    <s v="2122"/>
    <s v="Jul"/>
    <s v="NON-RP"/>
  </r>
  <r>
    <n v="389"/>
    <s v="2122K51946"/>
    <n v="2122130"/>
    <s v="CC669865"/>
    <x v="27"/>
    <d v="2021-08-02T00:00:00"/>
    <d v="1899-12-30T16:21:23"/>
    <s v="Aug"/>
    <n v="307480"/>
    <s v="INR"/>
    <n v="55080"/>
    <s v="E116"/>
    <s v="E120"/>
    <s v="NA"/>
    <s v="NA"/>
    <s v="AM"/>
    <s v="DM"/>
    <s v="AM"/>
    <s v="DM"/>
    <s v="PASS"/>
    <s v="NA"/>
    <s v="2122"/>
    <s v="Aug"/>
    <s v="NON-RP"/>
  </r>
  <r>
    <n v="390"/>
    <s v="2122L71265"/>
    <n v="2122131"/>
    <s v="CC687030"/>
    <x v="1"/>
    <d v="2021-08-02T00:00:00"/>
    <d v="1899-12-30T11:37:35"/>
    <s v="Aug"/>
    <n v="423590"/>
    <s v="INR"/>
    <n v="76140"/>
    <s v="E111"/>
    <s v="E119"/>
    <s v="NA"/>
    <s v="NA"/>
    <s v="AM"/>
    <s v="DM"/>
    <s v="AM"/>
    <s v="DM"/>
    <s v="PASS"/>
    <s v="NA"/>
    <s v="2122"/>
    <s v="Aug"/>
    <s v="NON-RP"/>
  </r>
  <r>
    <n v="391"/>
    <s v="2122P71661"/>
    <n v="2122132"/>
    <s v="CC159657"/>
    <x v="36"/>
    <d v="2021-08-02T00:00:00"/>
    <d v="1899-12-30T11:40:08"/>
    <s v="Aug"/>
    <n v="276420"/>
    <s v="INR"/>
    <n v="49680"/>
    <s v="E116"/>
    <s v="E119"/>
    <s v="NA"/>
    <s v="NA"/>
    <s v="AM"/>
    <s v="DM"/>
    <s v="AM"/>
    <s v="DM"/>
    <s v="PASS"/>
    <s v="NA"/>
    <s v="2122"/>
    <s v="Aug"/>
    <s v="NON-RP"/>
  </r>
  <r>
    <n v="392"/>
    <s v="2122C41426"/>
    <n v="2122133"/>
    <s v="CC837422"/>
    <x v="31"/>
    <d v="2021-08-02T00:00:00"/>
    <d v="1899-12-30T13:48:16"/>
    <s v="Aug"/>
    <n v="270730"/>
    <s v="INR"/>
    <n v="48600"/>
    <s v="E114"/>
    <s v="E119"/>
    <s v="NA"/>
    <s v="NA"/>
    <s v="AM"/>
    <s v="DM"/>
    <s v="AM"/>
    <s v="DM"/>
    <s v="PASS"/>
    <s v="NA"/>
    <s v="2122"/>
    <s v="Aug"/>
    <s v="NON-RP"/>
  </r>
  <r>
    <n v="393"/>
    <s v="2122C41965"/>
    <n v="2122134"/>
    <s v="CC974419"/>
    <x v="29"/>
    <d v="2021-08-03T00:00:00"/>
    <d v="1899-12-30T13:52:17"/>
    <s v="Aug"/>
    <n v="319200"/>
    <s v="INR"/>
    <n v="57060"/>
    <s v="E114"/>
    <s v="E119"/>
    <s v="NA"/>
    <s v="NA"/>
    <s v="AM"/>
    <s v="DM"/>
    <s v="AM"/>
    <s v="DM"/>
    <s v="PASS"/>
    <s v="NA"/>
    <s v="2122"/>
    <s v="Aug"/>
    <s v="NON-RP"/>
  </r>
  <r>
    <n v="394"/>
    <s v="2122Q91600"/>
    <n v="2122135"/>
    <s v="CC158828"/>
    <x v="44"/>
    <d v="2021-08-07T00:00:00"/>
    <d v="1899-12-30T19:23:10"/>
    <s v="Aug"/>
    <n v="4250210"/>
    <s v="INR"/>
    <n v="764820"/>
    <s v="E123"/>
    <s v="E125"/>
    <s v="NA"/>
    <s v="NA"/>
    <s v="SM"/>
    <s v="CM"/>
    <s v="SM"/>
    <s v="CM"/>
    <s v="PASS"/>
    <s v="NA"/>
    <s v="2122"/>
    <s v="Aug"/>
    <s v="RP"/>
  </r>
  <r>
    <n v="395"/>
    <s v="2122N41091"/>
    <n v="2122136"/>
    <s v="CC733634"/>
    <x v="13"/>
    <d v="2021-08-04T00:00:00"/>
    <d v="1899-12-30T16:46:05"/>
    <s v="Aug"/>
    <n v="338300"/>
    <s v="INR"/>
    <n v="60660"/>
    <s v="E114"/>
    <s v="E120"/>
    <s v="NA"/>
    <s v="NA"/>
    <s v="AM"/>
    <s v="DM"/>
    <s v="AM"/>
    <s v="DM"/>
    <s v="PASS"/>
    <s v="NA"/>
    <s v="2122"/>
    <s v="Aug"/>
    <s v="NON-RP"/>
  </r>
  <r>
    <n v="396"/>
    <s v="2122J71298"/>
    <n v="2122137"/>
    <s v="CC612045"/>
    <x v="27"/>
    <d v="2021-08-04T00:00:00"/>
    <d v="1899-12-30T16:49:19"/>
    <s v="Aug"/>
    <n v="344160"/>
    <s v="INR"/>
    <n v="61560"/>
    <s v="E116"/>
    <s v="E117"/>
    <s v="NA"/>
    <s v="NA"/>
    <s v="AM"/>
    <s v="DM"/>
    <s v="AM"/>
    <s v="DM"/>
    <s v="PASS"/>
    <s v="NA"/>
    <s v="2122"/>
    <s v="Aug"/>
    <s v="NON-RP"/>
  </r>
  <r>
    <n v="397"/>
    <s v="2122R51511"/>
    <n v="2122138"/>
    <s v="CC196780"/>
    <x v="23"/>
    <d v="2021-08-05T00:00:00"/>
    <d v="1899-12-30T16:21:03"/>
    <s v="Aug"/>
    <n v="41820"/>
    <s v="INR"/>
    <n v="7020"/>
    <s v="E100"/>
    <s v="E115"/>
    <s v="NA"/>
    <s v="NA"/>
    <s v="SE"/>
    <s v="AM"/>
    <s v="SE"/>
    <s v="AM"/>
    <s v="PASS"/>
    <s v="NA"/>
    <s v="2122"/>
    <s v="Aug"/>
    <s v="NON-RP"/>
  </r>
  <r>
    <n v="398"/>
    <s v="2122I21394"/>
    <n v="2122139"/>
    <s v="CC345385"/>
    <x v="15"/>
    <d v="2021-08-05T00:00:00"/>
    <d v="1899-12-30T14:02:18"/>
    <s v="Aug"/>
    <n v="21320"/>
    <s v="INR"/>
    <n v="3780"/>
    <s v="E105"/>
    <s v="E114"/>
    <s v="NA"/>
    <s v="NA"/>
    <s v="SE"/>
    <s v="AM"/>
    <s v="SE"/>
    <s v="AM"/>
    <s v="PASS"/>
    <s v="NA"/>
    <s v="2122"/>
    <s v="Aug"/>
    <s v="NON-RP"/>
  </r>
  <r>
    <n v="399"/>
    <s v="2122S81625"/>
    <n v="2122140"/>
    <s v="CC140319"/>
    <x v="5"/>
    <d v="2021-08-06T00:00:00"/>
    <d v="1899-12-30T16:47:28"/>
    <s v="Aug"/>
    <n v="35390"/>
    <s v="INR"/>
    <n v="6300"/>
    <s v="E102"/>
    <s v="E116"/>
    <s v="NA"/>
    <s v="NA"/>
    <s v="SE"/>
    <s v="AM"/>
    <s v="SE"/>
    <s v="AM"/>
    <s v="PASS"/>
    <s v="NA"/>
    <s v="2122"/>
    <s v="Aug"/>
    <s v="NON-RP"/>
  </r>
  <r>
    <n v="400"/>
    <s v="2122H31439"/>
    <n v="2122141"/>
    <s v="CC721275"/>
    <x v="29"/>
    <d v="2021-08-06T00:00:00"/>
    <d v="1899-12-30T11:50:38"/>
    <s v="Aug"/>
    <n v="31300"/>
    <s v="INR"/>
    <n v="5400"/>
    <s v="E100"/>
    <s v="E112"/>
    <s v="NA"/>
    <s v="NA"/>
    <s v="SE"/>
    <s v="AM"/>
    <s v="SE"/>
    <s v="AM"/>
    <s v="PASS"/>
    <s v="NA"/>
    <s v="2122"/>
    <s v="Aug"/>
    <s v="NON-RP"/>
  </r>
  <r>
    <n v="401"/>
    <s v="2122Z91491"/>
    <n v="2122142"/>
    <s v="CC188057"/>
    <x v="36"/>
    <d v="2021-08-07T00:00:00"/>
    <d v="1899-12-30T10:48:37"/>
    <s v="Aug"/>
    <n v="33140"/>
    <s v="INR"/>
    <n v="5580"/>
    <s v="E101"/>
    <s v="E110"/>
    <s v="NA"/>
    <s v="NA"/>
    <s v="SE"/>
    <s v="AM"/>
    <s v="SE"/>
    <s v="AM"/>
    <s v="PASS"/>
    <s v="NA"/>
    <s v="2122"/>
    <s v="Aug"/>
    <s v="NON-RP"/>
  </r>
  <r>
    <n v="402"/>
    <s v="2122P61430"/>
    <n v="2122143"/>
    <s v="CC967396"/>
    <x v="19"/>
    <d v="2021-08-09T00:00:00"/>
    <d v="1899-12-30T13:38:31"/>
    <s v="Aug"/>
    <n v="37350"/>
    <s v="INR"/>
    <n v="6660"/>
    <s v="E108"/>
    <s v="E114"/>
    <s v="NA"/>
    <s v="NA"/>
    <s v="SE"/>
    <s v="AM"/>
    <s v="SE"/>
    <s v="AM"/>
    <s v="PASS"/>
    <s v="NA"/>
    <s v="2122"/>
    <s v="Aug"/>
    <s v="NON-RP"/>
  </r>
  <r>
    <n v="403"/>
    <s v="2122X71228"/>
    <n v="2122144"/>
    <s v="CC544567"/>
    <x v="15"/>
    <d v="2021-08-10T00:00:00"/>
    <d v="1899-12-30T11:17:44"/>
    <s v="Aug"/>
    <n v="34190"/>
    <s v="INR"/>
    <n v="5940"/>
    <s v="E109"/>
    <s v="E116"/>
    <s v="NA"/>
    <s v="NA"/>
    <s v="SE"/>
    <s v="AM"/>
    <s v="SE"/>
    <s v="AM"/>
    <s v="PASS"/>
    <s v="NA"/>
    <s v="2122"/>
    <s v="Aug"/>
    <s v="NON-RP"/>
  </r>
  <r>
    <n v="404"/>
    <s v="2122A41190"/>
    <n v="2122145"/>
    <s v="CC463984"/>
    <x v="21"/>
    <d v="2021-08-10T00:00:00"/>
    <d v="1899-12-30T14:03:32"/>
    <s v="Aug"/>
    <n v="40780"/>
    <s v="INR"/>
    <n v="7020"/>
    <s v="E105"/>
    <s v="E113"/>
    <s v="NA"/>
    <s v="NA"/>
    <s v="SE"/>
    <s v="AM"/>
    <s v="SE"/>
    <s v="AM"/>
    <s v="PASS"/>
    <s v="NA"/>
    <s v="2122"/>
    <s v="Aug"/>
    <s v="NON-RP"/>
  </r>
  <r>
    <n v="405"/>
    <s v="2122E31771"/>
    <n v="2122146"/>
    <s v="CC210486"/>
    <x v="35"/>
    <d v="2021-08-10T00:00:00"/>
    <d v="1899-12-30T10:52:10"/>
    <s v="Aug"/>
    <n v="31620"/>
    <s v="INR"/>
    <n v="5220"/>
    <s v="E109"/>
    <s v="E110"/>
    <s v="NA"/>
    <s v="NA"/>
    <s v="SE"/>
    <s v="AM"/>
    <s v="SE"/>
    <s v="AM"/>
    <s v="PASS"/>
    <s v="NA"/>
    <s v="2122"/>
    <s v="Aug"/>
    <s v="NON-RP"/>
  </r>
  <r>
    <n v="406"/>
    <s v="2122J21302"/>
    <n v="2122147"/>
    <s v="CC562343"/>
    <x v="27"/>
    <d v="2021-08-11T00:00:00"/>
    <d v="1899-12-30T12:45:47"/>
    <s v="Jun"/>
    <n v="494490"/>
    <s v="INR"/>
    <n v="88920"/>
    <s v="E116"/>
    <s v="E121"/>
    <s v="NA"/>
    <s v="NA"/>
    <s v="AM"/>
    <s v="DM"/>
    <s v="AM"/>
    <s v="DM"/>
    <s v="PASS"/>
    <s v="NA"/>
    <s v="2122"/>
    <s v="Aug"/>
    <s v="NON-RP"/>
  </r>
  <r>
    <n v="407"/>
    <s v="2122U71686"/>
    <n v="2122148"/>
    <s v="CC859081"/>
    <x v="20"/>
    <d v="2021-08-15T00:00:00"/>
    <d v="1899-12-30T11:16:20"/>
    <s v="Aug"/>
    <n v="4927020"/>
    <s v="INR"/>
    <n v="886500"/>
    <s v="E125"/>
    <s v="E126"/>
    <s v="NA"/>
    <s v="NA"/>
    <s v="CM"/>
    <s v="CFO"/>
    <s v="CM"/>
    <s v="CFO"/>
    <s v="PASS"/>
    <s v="NA"/>
    <s v="2122"/>
    <s v="Aug"/>
    <s v="RP"/>
  </r>
  <r>
    <n v="408"/>
    <s v="2122S11655"/>
    <n v="2122149"/>
    <s v="CC823880"/>
    <x v="3"/>
    <d v="2021-08-11T00:00:00"/>
    <d v="1899-12-30T12:44:06"/>
    <s v="Aug"/>
    <n v="31490"/>
    <s v="INR"/>
    <n v="5580"/>
    <s v="E109"/>
    <s v="E111"/>
    <s v="NA"/>
    <s v="NA"/>
    <s v="SE"/>
    <s v="AM"/>
    <s v="SE"/>
    <s v="AM"/>
    <s v="PASS"/>
    <s v="NA"/>
    <s v="2122"/>
    <s v="Aug"/>
    <s v="NON-RP"/>
  </r>
  <r>
    <n v="409"/>
    <s v="2122X71658"/>
    <n v="2122150"/>
    <s v="CC162983"/>
    <x v="23"/>
    <d v="2021-08-12T00:00:00"/>
    <d v="1899-12-30T16:14:22"/>
    <s v="Aug"/>
    <n v="423580"/>
    <s v="INR"/>
    <n v="76140"/>
    <s v="E114"/>
    <s v="E120"/>
    <s v="NA"/>
    <s v="NA"/>
    <s v="AM"/>
    <s v="DM"/>
    <s v="AM"/>
    <s v="DM"/>
    <s v="PASS"/>
    <s v="NA"/>
    <s v="2122"/>
    <s v="Aug"/>
    <s v="NON-RP"/>
  </r>
  <r>
    <n v="410"/>
    <s v="2122V81417"/>
    <n v="2122151"/>
    <s v="CC681538"/>
    <x v="40"/>
    <d v="2021-08-12T00:00:00"/>
    <d v="1899-12-30T12:35:20"/>
    <s v="Aug"/>
    <n v="30970"/>
    <s v="INR"/>
    <n v="5400"/>
    <s v="E101"/>
    <s v="E115"/>
    <s v="NA"/>
    <s v="NA"/>
    <s v="SE"/>
    <s v="AM"/>
    <s v="SE"/>
    <s v="AM"/>
    <s v="PASS"/>
    <s v="NA"/>
    <s v="2122"/>
    <s v="Aug"/>
    <s v="NON-RP"/>
  </r>
  <r>
    <n v="411"/>
    <s v="2122A81307"/>
    <n v="2122152"/>
    <s v="CC237623"/>
    <x v="14"/>
    <d v="2021-08-12T00:00:00"/>
    <d v="1899-12-30T12:53:39"/>
    <s v="Aug"/>
    <n v="461700"/>
    <s v="INR"/>
    <n v="82800"/>
    <s v="E115"/>
    <s v="E121"/>
    <s v="NA"/>
    <s v="NA"/>
    <s v="AM"/>
    <s v="DM"/>
    <s v="AM"/>
    <s v="DM"/>
    <s v="PASS"/>
    <s v="NA"/>
    <s v="2122"/>
    <s v="Aug"/>
    <s v="NON-RP"/>
  </r>
  <r>
    <n v="412"/>
    <s v="2122V01001"/>
    <n v="2122153"/>
    <s v="CC547030"/>
    <x v="5"/>
    <d v="2021-08-13T00:00:00"/>
    <d v="1899-12-30T13:22:57"/>
    <s v="Aug"/>
    <n v="40120"/>
    <s v="INR"/>
    <n v="7020"/>
    <s v="E104"/>
    <s v="E112"/>
    <s v="NA"/>
    <s v="NA"/>
    <s v="SE"/>
    <s v="AM"/>
    <s v="SE"/>
    <s v="AM"/>
    <s v="PASS"/>
    <s v="NA"/>
    <s v="2122"/>
    <s v="Aug"/>
    <s v="NON-RP"/>
  </r>
  <r>
    <n v="413"/>
    <s v="2122T51691"/>
    <n v="2122154"/>
    <s v="CC298816"/>
    <x v="41"/>
    <d v="2021-08-13T00:00:00"/>
    <d v="1899-12-30T13:58:33"/>
    <s v="Aug"/>
    <n v="30120"/>
    <s v="INR"/>
    <n v="5040"/>
    <s v="E101"/>
    <s v="E114"/>
    <s v="NA"/>
    <s v="NA"/>
    <s v="SE"/>
    <s v="AM"/>
    <s v="SE"/>
    <s v="AM"/>
    <s v="PASS"/>
    <s v="NA"/>
    <s v="2122"/>
    <s v="Aug"/>
    <s v="NON-RP"/>
  </r>
  <r>
    <n v="414"/>
    <s v="2122R21294"/>
    <n v="2122155"/>
    <s v="CC694544"/>
    <x v="27"/>
    <d v="2021-08-16T00:00:00"/>
    <d v="1899-12-30T11:06:22"/>
    <s v="Aug"/>
    <n v="13417040"/>
    <s v="INR"/>
    <n v="2414700"/>
    <s v="E125"/>
    <s v="E126"/>
    <s v="Approved"/>
    <s v="BM/CC694544C216"/>
    <s v="CM"/>
    <s v="CFO"/>
    <s v="CM"/>
    <s v="CFO"/>
    <s v="PASS"/>
    <s v="PASS"/>
    <s v="2122"/>
    <s v="Aug"/>
    <s v="NON-RP"/>
  </r>
  <r>
    <n v="415"/>
    <s v="2122F51085"/>
    <n v="2122156"/>
    <s v="CC406497"/>
    <x v="40"/>
    <d v="2021-08-16T00:00:00"/>
    <d v="1899-12-30T15:51:23"/>
    <s v="Aug"/>
    <n v="6976300"/>
    <s v="INR"/>
    <n v="1255320"/>
    <s v="E125"/>
    <s v="E126"/>
    <s v="Approved"/>
    <s v="BM/CC406497C232"/>
    <s v="CM"/>
    <s v="CFO"/>
    <s v="CM"/>
    <s v="CFO"/>
    <s v="PASS"/>
    <s v="PASS"/>
    <s v="2122"/>
    <s v="Aug"/>
    <s v="NON-RP"/>
  </r>
  <r>
    <n v="416"/>
    <s v="2122E51505"/>
    <n v="2122157"/>
    <s v="CC878457"/>
    <x v="2"/>
    <d v="2021-08-17T00:00:00"/>
    <d v="1899-12-30T11:29:11"/>
    <s v="Aug"/>
    <n v="274140"/>
    <s v="INR"/>
    <n v="48960"/>
    <s v="E110"/>
    <s v="E118"/>
    <s v="NA"/>
    <s v="NA"/>
    <s v="AM"/>
    <s v="DM"/>
    <s v="AM"/>
    <s v="DM"/>
    <s v="PASS"/>
    <s v="NA"/>
    <s v="2122"/>
    <s v="Aug"/>
    <s v="NON-RP"/>
  </r>
  <r>
    <n v="417"/>
    <s v="2122T81850"/>
    <n v="2122158"/>
    <s v="CC120821"/>
    <x v="18"/>
    <d v="2021-08-18T00:00:00"/>
    <d v="1899-12-30T11:41:04"/>
    <s v="Aug"/>
    <n v="462050"/>
    <s v="INR"/>
    <n v="82980"/>
    <s v="E115"/>
    <s v="E119"/>
    <s v="NA"/>
    <s v="NA"/>
    <s v="AM"/>
    <s v="DM"/>
    <s v="AM"/>
    <s v="DM"/>
    <s v="PASS"/>
    <s v="NA"/>
    <s v="2122"/>
    <s v="Aug"/>
    <s v="NON-RP"/>
  </r>
  <r>
    <n v="418"/>
    <s v="2122M11446"/>
    <n v="2122159"/>
    <s v="CC988090"/>
    <x v="9"/>
    <d v="2021-08-18T00:00:00"/>
    <d v="1899-12-30T16:21:52"/>
    <s v="Aug"/>
    <n v="297220"/>
    <s v="INR"/>
    <n v="53100"/>
    <s v="E115"/>
    <s v="E120"/>
    <s v="NA"/>
    <s v="NA"/>
    <s v="AM"/>
    <s v="DM"/>
    <s v="AM"/>
    <s v="DM"/>
    <s v="PASS"/>
    <s v="NA"/>
    <s v="2122"/>
    <s v="Aug"/>
    <s v="NON-RP"/>
  </r>
  <r>
    <n v="419"/>
    <s v="2122Q11447"/>
    <n v="2122160"/>
    <s v="CC910656"/>
    <x v="22"/>
    <d v="2021-08-18T00:00:00"/>
    <d v="1899-12-30T10:44:50"/>
    <s v="Aug"/>
    <n v="4002900"/>
    <s v="INR"/>
    <n v="720000"/>
    <s v="E123"/>
    <s v="E125"/>
    <s v="NA"/>
    <s v="NA"/>
    <s v="SM"/>
    <s v="CM"/>
    <s v="SM"/>
    <s v="CM"/>
    <s v="PASS"/>
    <s v="NA"/>
    <s v="2122"/>
    <s v="Aug"/>
    <s v="NON-RP"/>
  </r>
  <r>
    <n v="420"/>
    <s v="2122G51832"/>
    <n v="2122161"/>
    <s v="CC843051"/>
    <x v="26"/>
    <d v="2021-08-19T00:00:00"/>
    <d v="1899-12-30T14:57:19"/>
    <s v="Aug"/>
    <n v="283880"/>
    <s v="INR"/>
    <n v="50760"/>
    <s v="E116"/>
    <s v="E119"/>
    <s v="NA"/>
    <s v="NA"/>
    <s v="AM"/>
    <s v="DM"/>
    <s v="AM"/>
    <s v="DM"/>
    <s v="PASS"/>
    <s v="NA"/>
    <s v="2122"/>
    <s v="Aug"/>
    <s v="NON-RP"/>
  </r>
  <r>
    <n v="421"/>
    <s v="2122P01616"/>
    <n v="2122162"/>
    <s v="CC345294"/>
    <x v="17"/>
    <d v="2021-08-20T00:00:00"/>
    <d v="1899-12-30T12:32:45"/>
    <s v="Aug"/>
    <n v="221870"/>
    <s v="INR"/>
    <n v="39780"/>
    <s v="E116"/>
    <s v="E120"/>
    <s v="NA"/>
    <s v="NA"/>
    <s v="AM"/>
    <s v="DM"/>
    <s v="AM"/>
    <s v="DM"/>
    <s v="PASS"/>
    <s v="NA"/>
    <s v="2122"/>
    <s v="Aug"/>
    <s v="NON-RP"/>
  </r>
  <r>
    <n v="422"/>
    <s v="2122N91580"/>
    <n v="2122163"/>
    <s v="CC816936"/>
    <x v="46"/>
    <d v="2021-08-21T00:00:00"/>
    <d v="1899-12-30T19:47:18"/>
    <s v="Aug"/>
    <n v="4728180"/>
    <s v="INR"/>
    <n v="851040"/>
    <s v="E125"/>
    <s v="E126"/>
    <s v="NA"/>
    <s v="NA"/>
    <s v="CM"/>
    <s v="CFO"/>
    <s v="CM"/>
    <s v="CFO"/>
    <s v="PASS"/>
    <s v="NA"/>
    <s v="2122"/>
    <s v="Aug"/>
    <s v="RP"/>
  </r>
  <r>
    <n v="423"/>
    <s v="2122F61573"/>
    <n v="2122164"/>
    <s v="CC860498"/>
    <x v="16"/>
    <d v="2021-08-24T00:00:00"/>
    <d v="1899-12-30T14:25:55"/>
    <s v="Aug"/>
    <n v="217350"/>
    <s v="INR"/>
    <n v="39060"/>
    <s v="E115"/>
    <s v="E119"/>
    <s v="NA"/>
    <s v="NA"/>
    <s v="AM"/>
    <s v="DM"/>
    <s v="AM"/>
    <s v="DM"/>
    <s v="PASS"/>
    <s v="NA"/>
    <s v="2122"/>
    <s v="Aug"/>
    <s v="NON-RP"/>
  </r>
  <r>
    <n v="424"/>
    <s v="2122H91571"/>
    <n v="2122165"/>
    <s v="CC571576"/>
    <x v="36"/>
    <d v="2021-08-24T00:00:00"/>
    <d v="1899-12-30T14:37:22"/>
    <s v="Aug"/>
    <n v="377140"/>
    <s v="INR"/>
    <n v="67860"/>
    <s v="E116"/>
    <s v="E117"/>
    <s v="NA"/>
    <s v="NA"/>
    <s v="AM"/>
    <s v="DM"/>
    <s v="AM"/>
    <s v="DM"/>
    <s v="PASS"/>
    <s v="NA"/>
    <s v="2122"/>
    <s v="Aug"/>
    <s v="NON-RP"/>
  </r>
  <r>
    <n v="425"/>
    <s v="2122L91760"/>
    <n v="2122166"/>
    <s v="CC208170"/>
    <x v="10"/>
    <d v="2021-08-27T00:00:00"/>
    <d v="1899-12-30T10:36:41"/>
    <s v="Aug"/>
    <n v="469720"/>
    <s v="INR"/>
    <n v="84060"/>
    <s v="E111"/>
    <s v="E119"/>
    <s v="NA"/>
    <s v="NA"/>
    <s v="AM"/>
    <s v="DM"/>
    <s v="AM"/>
    <s v="DM"/>
    <s v="PASS"/>
    <s v="NA"/>
    <s v="2122"/>
    <s v="Aug"/>
    <s v="NON-RP"/>
  </r>
  <r>
    <n v="426"/>
    <s v="2122P21233"/>
    <n v="2122167"/>
    <s v="CC432116"/>
    <x v="14"/>
    <d v="2021-08-28T00:00:00"/>
    <d v="1899-12-30T16:48:09"/>
    <s v="Jul"/>
    <n v="309030"/>
    <s v="INR"/>
    <n v="55260"/>
    <s v="E116"/>
    <s v="E117"/>
    <s v="NA"/>
    <s v="NA"/>
    <s v="AM"/>
    <s v="DM"/>
    <s v="AM"/>
    <s v="DM"/>
    <s v="PASS"/>
    <s v="NA"/>
    <s v="2122"/>
    <s v="Aug"/>
    <s v="NON-RP"/>
  </r>
  <r>
    <n v="427"/>
    <s v="2122G81159"/>
    <n v="2122168"/>
    <s v="CC483264"/>
    <x v="12"/>
    <d v="2021-08-31T00:00:00"/>
    <d v="1899-12-30T13:36:01"/>
    <s v="Aug"/>
    <n v="495900"/>
    <s v="INR"/>
    <n v="88920"/>
    <s v="E115"/>
    <s v="E117"/>
    <s v="NA"/>
    <s v="NA"/>
    <s v="AM"/>
    <s v="DM"/>
    <s v="AM"/>
    <s v="DM"/>
    <s v="PASS"/>
    <s v="NA"/>
    <s v="2122"/>
    <s v="Aug"/>
    <s v="NON-RP"/>
  </r>
  <r>
    <n v="428"/>
    <s v="2122Q71751"/>
    <n v="2122169"/>
    <s v="CC597321"/>
    <x v="45"/>
    <d v="2021-08-31T00:00:00"/>
    <d v="1899-12-30T11:48:16"/>
    <s v="Aug"/>
    <n v="247110"/>
    <s v="INR"/>
    <n v="44460"/>
    <s v="E114"/>
    <s v="E120"/>
    <s v="NA"/>
    <s v="NA"/>
    <s v="AM"/>
    <s v="DM"/>
    <s v="AM"/>
    <s v="DM"/>
    <s v="PASS"/>
    <s v="NA"/>
    <s v="2122"/>
    <s v="Aug"/>
    <s v="NON-RP"/>
  </r>
  <r>
    <n v="429"/>
    <s v="2122I61666"/>
    <n v="2122170"/>
    <s v="CC649415"/>
    <x v="0"/>
    <d v="2021-09-01T00:00:00"/>
    <d v="1899-12-30T13:53:30"/>
    <s v="Sep"/>
    <n v="448830"/>
    <s v="INR"/>
    <n v="80280"/>
    <s v="E115"/>
    <s v="E118"/>
    <s v="NA"/>
    <s v="NA"/>
    <s v="AM"/>
    <s v="DM"/>
    <s v="AM"/>
    <s v="DM"/>
    <s v="PASS"/>
    <s v="NA"/>
    <s v="2122"/>
    <s v="Sep"/>
    <s v="NON-RP"/>
  </r>
  <r>
    <n v="430"/>
    <s v="2122W31596"/>
    <n v="2122171"/>
    <s v="CC206586"/>
    <x v="38"/>
    <d v="2021-09-04T00:00:00"/>
    <d v="1899-12-30T19:40:04"/>
    <s v="Sep"/>
    <n v="4497060"/>
    <s v="INR"/>
    <n v="809100"/>
    <s v="E124"/>
    <s v="E125"/>
    <s v="NA"/>
    <s v="NA"/>
    <s v="SM"/>
    <s v="CM"/>
    <s v="SM"/>
    <s v="CM"/>
    <s v="PASS"/>
    <s v="NA"/>
    <s v="2122"/>
    <s v="Sep"/>
    <s v="RP"/>
  </r>
  <r>
    <n v="431"/>
    <s v="2122J71793"/>
    <n v="2122172"/>
    <s v="CC980696"/>
    <x v="39"/>
    <d v="2021-09-06T00:00:00"/>
    <d v="1899-12-30T10:41:48"/>
    <s v="Sep"/>
    <n v="377400"/>
    <s v="INR"/>
    <n v="67860"/>
    <s v="E115"/>
    <s v="E118"/>
    <s v="NA"/>
    <s v="NA"/>
    <s v="AM"/>
    <s v="DM"/>
    <s v="AM"/>
    <s v="DM"/>
    <s v="PASS"/>
    <s v="NA"/>
    <s v="2122"/>
    <s v="Sep"/>
    <s v="NON-RP"/>
  </r>
  <r>
    <n v="432"/>
    <s v="2122H31632"/>
    <n v="2122173"/>
    <s v="CC277275"/>
    <x v="45"/>
    <d v="2021-09-09T00:00:00"/>
    <d v="1899-12-30T11:23:17"/>
    <s v="Sep"/>
    <n v="370800"/>
    <s v="INR"/>
    <n v="66420"/>
    <s v="E111"/>
    <s v="E118"/>
    <s v="NA"/>
    <s v="NA"/>
    <s v="AM"/>
    <s v="DM"/>
    <s v="AM"/>
    <s v="DM"/>
    <s v="PASS"/>
    <s v="NA"/>
    <s v="2122"/>
    <s v="Sep"/>
    <s v="NON-RP"/>
  </r>
  <r>
    <n v="433"/>
    <s v="2122Q21787"/>
    <n v="2122174"/>
    <s v="CC404319"/>
    <x v="46"/>
    <d v="2021-09-11T00:00:00"/>
    <d v="1899-12-30T19:45:19"/>
    <s v="Sep"/>
    <n v="4648620"/>
    <s v="INR"/>
    <n v="836280"/>
    <s v="E125"/>
    <s v="E126"/>
    <s v="NA"/>
    <s v="NA"/>
    <s v="CM"/>
    <s v="CFO"/>
    <s v="CM"/>
    <s v="CFO"/>
    <s v="PASS"/>
    <s v="NA"/>
    <s v="2122"/>
    <s v="Sep"/>
    <s v="RP"/>
  </r>
  <r>
    <n v="434"/>
    <s v="2122X31193"/>
    <n v="2122175"/>
    <s v="CC412329"/>
    <x v="46"/>
    <d v="2021-09-18T00:00:00"/>
    <d v="1899-12-30T19:53:55"/>
    <s v="Sep"/>
    <n v="4232840"/>
    <s v="INR"/>
    <n v="761580"/>
    <s v="E124"/>
    <s v="E125"/>
    <s v="NA"/>
    <s v="NA"/>
    <s v="SM"/>
    <s v="CM"/>
    <s v="SM"/>
    <s v="CM"/>
    <s v="PASS"/>
    <s v="NA"/>
    <s v="2122"/>
    <s v="Sep"/>
    <s v="RP"/>
  </r>
  <r>
    <n v="435"/>
    <s v="2122E81653"/>
    <n v="2122176"/>
    <s v="CC909238"/>
    <x v="35"/>
    <d v="2021-09-17T00:00:00"/>
    <d v="1899-12-30T11:48:54"/>
    <s v="Sep"/>
    <n v="347860"/>
    <s v="INR"/>
    <n v="62100"/>
    <s v="E116"/>
    <s v="E121"/>
    <s v="NA"/>
    <s v="NA"/>
    <s v="AM"/>
    <s v="DM"/>
    <s v="AM"/>
    <s v="DM"/>
    <s v="PASS"/>
    <s v="NA"/>
    <s v="2122"/>
    <s v="Sep"/>
    <s v="NON-RP"/>
  </r>
  <r>
    <n v="436"/>
    <s v="2122M31759"/>
    <n v="2122177"/>
    <s v="CC120381"/>
    <x v="42"/>
    <d v="2021-09-18T00:00:00"/>
    <d v="1899-12-30T13:51:36"/>
    <s v="Sep"/>
    <n v="342020"/>
    <s v="INR"/>
    <n v="61380"/>
    <s v="E112"/>
    <s v="E120"/>
    <s v="NA"/>
    <s v="NA"/>
    <s v="AM"/>
    <s v="DM"/>
    <s v="AM"/>
    <s v="DM"/>
    <s v="PASS"/>
    <s v="NA"/>
    <s v="2122"/>
    <s v="Sep"/>
    <s v="NON-RP"/>
  </r>
  <r>
    <n v="437"/>
    <s v="2122O31910"/>
    <n v="2122178"/>
    <s v="CC756388"/>
    <x v="1"/>
    <d v="2021-09-21T00:00:00"/>
    <d v="1899-12-30T17:53:57"/>
    <s v="Sep"/>
    <n v="460310"/>
    <s v="INR"/>
    <n v="82800"/>
    <s v="E111"/>
    <s v="E121"/>
    <s v="NA"/>
    <s v="NA"/>
    <s v="AM"/>
    <s v="DM"/>
    <s v="AM"/>
    <s v="DM"/>
    <s v="PASS"/>
    <s v="NA"/>
    <s v="2122"/>
    <s v="Sep"/>
    <s v="NON-RP"/>
  </r>
  <r>
    <n v="438"/>
    <s v="2122O21380"/>
    <n v="2122179"/>
    <s v="CC448654"/>
    <x v="30"/>
    <d v="2021-09-22T00:00:00"/>
    <d v="1899-12-30T10:32:17"/>
    <s v="Sep"/>
    <n v="270810"/>
    <s v="INR"/>
    <n v="48240"/>
    <s v="E111"/>
    <s v="E117"/>
    <s v="NA"/>
    <s v="NA"/>
    <s v="AM"/>
    <s v="DM"/>
    <s v="AM"/>
    <s v="DM"/>
    <s v="PASS"/>
    <s v="NA"/>
    <s v="2122"/>
    <s v="Sep"/>
    <s v="NON-RP"/>
  </r>
  <r>
    <n v="439"/>
    <s v="2122B11327"/>
    <n v="2122180"/>
    <s v="CC759851"/>
    <x v="13"/>
    <d v="2021-09-24T00:00:00"/>
    <d v="1899-12-30T13:03:01"/>
    <s v="Sep"/>
    <n v="386860"/>
    <s v="INR"/>
    <n v="69300"/>
    <s v="E111"/>
    <s v="E117"/>
    <s v="NA"/>
    <s v="NA"/>
    <s v="AM"/>
    <s v="DM"/>
    <s v="AM"/>
    <s v="DM"/>
    <s v="PASS"/>
    <s v="NA"/>
    <s v="2122"/>
    <s v="Sep"/>
    <s v="NON-RP"/>
  </r>
  <r>
    <n v="440"/>
    <s v="2122H61816"/>
    <n v="2122181"/>
    <s v="CC945796"/>
    <x v="32"/>
    <d v="2021-09-28T00:00:00"/>
    <d v="1899-12-30T15:03:24"/>
    <s v="Sep"/>
    <n v="263750"/>
    <s v="INR"/>
    <n v="47160"/>
    <s v="E110"/>
    <s v="E117"/>
    <s v="NA"/>
    <s v="NA"/>
    <s v="AM"/>
    <s v="DM"/>
    <s v="AM"/>
    <s v="DM"/>
    <s v="PASS"/>
    <s v="NA"/>
    <s v="2122"/>
    <s v="Sep"/>
    <s v="NON-RP"/>
  </r>
  <r>
    <n v="441"/>
    <s v="2122V61573"/>
    <n v="2122182"/>
    <s v="CC167058"/>
    <x v="22"/>
    <d v="2021-09-28T00:00:00"/>
    <d v="1899-12-30T16:10:55"/>
    <s v="Sep"/>
    <n v="319680"/>
    <s v="INR"/>
    <n v="57060"/>
    <s v="E116"/>
    <s v="E118"/>
    <s v="NA"/>
    <s v="NA"/>
    <s v="AM"/>
    <s v="DM"/>
    <s v="AM"/>
    <s v="DM"/>
    <s v="PASS"/>
    <s v="NA"/>
    <s v="2122"/>
    <s v="Sep"/>
    <s v="NON-RP"/>
  </r>
  <r>
    <n v="442"/>
    <s v="2122X41270"/>
    <n v="2122183"/>
    <s v="CC426487"/>
    <x v="48"/>
    <d v="2021-10-02T00:00:00"/>
    <d v="1899-12-30T17:36:44"/>
    <s v="Oct"/>
    <n v="471860"/>
    <s v="INR"/>
    <n v="84780"/>
    <s v="E113"/>
    <s v="E117"/>
    <s v="NA"/>
    <s v="NA"/>
    <s v="AM"/>
    <s v="DM"/>
    <s v="AM"/>
    <s v="DM"/>
    <s v="PASS"/>
    <s v="NA"/>
    <s v="2122"/>
    <s v="Oct"/>
    <s v="NON-RP"/>
  </r>
  <r>
    <n v="443"/>
    <s v="2122N81731"/>
    <n v="2122184"/>
    <s v="CC770793"/>
    <x v="26"/>
    <d v="2021-10-05T00:00:00"/>
    <d v="1899-12-30T17:00:00"/>
    <s v="Oct"/>
    <n v="290660"/>
    <s v="INR"/>
    <n v="52200"/>
    <s v="E111"/>
    <s v="E119"/>
    <s v="NA"/>
    <s v="NA"/>
    <s v="AM"/>
    <s v="DM"/>
    <s v="AM"/>
    <s v="DM"/>
    <s v="PASS"/>
    <s v="NA"/>
    <s v="2122"/>
    <s v="Oct"/>
    <s v="NON-RP"/>
  </r>
  <r>
    <n v="444"/>
    <s v="2122S51948"/>
    <n v="2122185"/>
    <s v="CC309870"/>
    <x v="18"/>
    <d v="2021-10-05T00:00:00"/>
    <d v="1899-12-30T13:04:58"/>
    <s v="Oct"/>
    <n v="300150"/>
    <s v="INR"/>
    <n v="54000"/>
    <s v="E113"/>
    <s v="E120"/>
    <s v="NA"/>
    <s v="NA"/>
    <s v="AM"/>
    <s v="DM"/>
    <s v="AM"/>
    <s v="DM"/>
    <s v="PASS"/>
    <s v="NA"/>
    <s v="2122"/>
    <s v="Oct"/>
    <s v="NON-RP"/>
  </r>
  <r>
    <n v="445"/>
    <s v="2122I01680"/>
    <n v="2122186"/>
    <s v="CC202660"/>
    <x v="16"/>
    <d v="2021-10-08T00:00:00"/>
    <d v="1899-12-30T10:50:01"/>
    <s v="Oct"/>
    <n v="236150"/>
    <s v="INR"/>
    <n v="42300"/>
    <s v="E112"/>
    <s v="E119"/>
    <s v="NA"/>
    <s v="NA"/>
    <s v="AM"/>
    <s v="DM"/>
    <s v="AM"/>
    <s v="DM"/>
    <s v="PASS"/>
    <s v="NA"/>
    <s v="2122"/>
    <s v="Oct"/>
    <s v="NON-RP"/>
  </r>
  <r>
    <n v="446"/>
    <s v="2122j61624"/>
    <n v="2122187"/>
    <s v="CC927496"/>
    <x v="0"/>
    <d v="2021-10-09T00:00:00"/>
    <d v="1899-12-30T11:10:43"/>
    <s v="Oct"/>
    <n v="484220"/>
    <s v="INR"/>
    <n v="86760"/>
    <s v="E111"/>
    <s v="E120"/>
    <s v="NA"/>
    <s v="NA"/>
    <s v="AM"/>
    <s v="DM"/>
    <s v="AM"/>
    <s v="DM"/>
    <s v="PASS"/>
    <s v="NA"/>
    <s v="2122"/>
    <s v="Oct"/>
    <s v="NON-RP"/>
  </r>
  <r>
    <n v="447"/>
    <s v="2122P01599"/>
    <n v="2122188"/>
    <s v="CC652766"/>
    <x v="40"/>
    <d v="2021-10-11T00:00:00"/>
    <d v="1899-12-30T16:55:32"/>
    <s v="Oct"/>
    <n v="255870"/>
    <s v="INR"/>
    <n v="45540"/>
    <s v="E114"/>
    <s v="E121"/>
    <s v="NA"/>
    <s v="NA"/>
    <s v="AM"/>
    <s v="DM"/>
    <s v="AM"/>
    <s v="DM"/>
    <s v="PASS"/>
    <s v="NA"/>
    <s v="2122"/>
    <s v="Oct"/>
    <s v="NON-RP"/>
  </r>
  <r>
    <n v="448"/>
    <s v="2122H91641"/>
    <n v="2122189"/>
    <s v="CC410282"/>
    <x v="10"/>
    <d v="2021-10-11T00:00:00"/>
    <d v="1899-12-30T10:18:12"/>
    <s v="Sep"/>
    <n v="347200"/>
    <s v="INR"/>
    <n v="62100"/>
    <s v="E115"/>
    <s v="E120"/>
    <s v="NA"/>
    <s v="NA"/>
    <s v="AM"/>
    <s v="DM"/>
    <s v="AM"/>
    <s v="DM"/>
    <s v="PASS"/>
    <s v="NA"/>
    <s v="2122"/>
    <s v="Oct"/>
    <s v="NON-RP"/>
  </r>
  <r>
    <n v="449"/>
    <s v="2122U31051"/>
    <n v="2122190"/>
    <s v="CC220785"/>
    <x v="45"/>
    <d v="2021-10-16T00:00:00"/>
    <d v="1899-12-30T11:15:08"/>
    <s v="Oct"/>
    <n v="445290"/>
    <s v="INR"/>
    <n v="80100"/>
    <s v="E116"/>
    <s v="E121"/>
    <s v="NA"/>
    <s v="NA"/>
    <s v="AM"/>
    <s v="DM"/>
    <s v="AM"/>
    <s v="DM"/>
    <s v="PASS"/>
    <s v="NA"/>
    <s v="2122"/>
    <s v="Oct"/>
    <s v="NON-RP"/>
  </r>
  <r>
    <n v="450"/>
    <s v="2122Y11202"/>
    <n v="2122191"/>
    <s v="CC171939"/>
    <x v="3"/>
    <d v="2021-10-18T00:00:00"/>
    <d v="1899-12-30T14:03:49"/>
    <s v="Oct"/>
    <n v="383380"/>
    <s v="INR"/>
    <n v="68580"/>
    <s v="E113"/>
    <s v="E118"/>
    <s v="NA"/>
    <s v="NA"/>
    <s v="AM"/>
    <s v="DM"/>
    <s v="AM"/>
    <s v="DM"/>
    <s v="PASS"/>
    <s v="NA"/>
    <s v="2122"/>
    <s v="Oct"/>
    <s v="NON-RP"/>
  </r>
  <r>
    <n v="451"/>
    <s v="2122U21743"/>
    <n v="2122192"/>
    <s v="CC402401"/>
    <x v="10"/>
    <d v="2021-10-18T00:00:00"/>
    <d v="1899-12-30T12:43:50"/>
    <s v="Oct"/>
    <n v="457640"/>
    <s v="INR"/>
    <n v="82080"/>
    <s v="E114"/>
    <s v="E118"/>
    <s v="NA"/>
    <s v="NA"/>
    <s v="AM"/>
    <s v="DM"/>
    <s v="AM"/>
    <s v="DM"/>
    <s v="PASS"/>
    <s v="NA"/>
    <s v="2122"/>
    <s v="Oct"/>
    <s v="NON-RP"/>
  </r>
  <r>
    <n v="452"/>
    <s v="2122K31194"/>
    <n v="2122193"/>
    <s v="CC553014"/>
    <x v="11"/>
    <d v="2021-10-19T00:00:00"/>
    <d v="1899-12-30T17:06:07"/>
    <s v="Oct"/>
    <n v="303020"/>
    <s v="INR"/>
    <n v="54180"/>
    <s v="E110"/>
    <s v="E120"/>
    <s v="NA"/>
    <s v="NA"/>
    <s v="AM"/>
    <s v="DM"/>
    <s v="AM"/>
    <s v="DM"/>
    <s v="PASS"/>
    <s v="NA"/>
    <s v="2122"/>
    <s v="Oct"/>
    <s v="NON-RP"/>
  </r>
  <r>
    <n v="453"/>
    <s v="2122J11325"/>
    <n v="2122194"/>
    <s v="CC332846"/>
    <x v="34"/>
    <d v="2021-10-20T00:00:00"/>
    <d v="1899-12-30T13:45:33"/>
    <s v="Oct"/>
    <n v="207730"/>
    <s v="INR"/>
    <n v="36900"/>
    <s v="E113"/>
    <s v="E121"/>
    <s v="NA"/>
    <s v="NA"/>
    <s v="AM"/>
    <s v="DM"/>
    <s v="AM"/>
    <s v="DM"/>
    <s v="PASS"/>
    <s v="NA"/>
    <s v="2122"/>
    <s v="Oct"/>
    <s v="NON-RP"/>
  </r>
  <r>
    <n v="454"/>
    <s v="2122Z91298"/>
    <n v="2122195"/>
    <s v="CC358419"/>
    <x v="8"/>
    <d v="2021-10-20T00:00:00"/>
    <d v="1899-12-30T10:20:39"/>
    <s v="Oct"/>
    <n v="308420"/>
    <s v="INR"/>
    <n v="55440"/>
    <s v="E116"/>
    <s v="E117"/>
    <s v="NA"/>
    <s v="NA"/>
    <s v="AM"/>
    <s v="DM"/>
    <s v="AM"/>
    <s v="DM"/>
    <s v="PASS"/>
    <s v="NA"/>
    <s v="2122"/>
    <s v="Oct"/>
    <s v="NON-RP"/>
  </r>
  <r>
    <n v="455"/>
    <s v="2122X71648"/>
    <n v="2122196"/>
    <s v="CC585198"/>
    <x v="18"/>
    <d v="2021-10-21T00:00:00"/>
    <d v="1899-12-30T10:55:32"/>
    <s v="Oct"/>
    <n v="408590"/>
    <s v="INR"/>
    <n v="73080"/>
    <s v="E110"/>
    <s v="E118"/>
    <s v="NA"/>
    <s v="NA"/>
    <s v="AM"/>
    <s v="DM"/>
    <s v="AM"/>
    <s v="DM"/>
    <s v="PASS"/>
    <s v="NA"/>
    <s v="2122"/>
    <s v="Oct"/>
    <s v="NON-RP"/>
  </r>
  <r>
    <n v="456"/>
    <s v="2122I01855"/>
    <n v="2122197"/>
    <s v="CC993639"/>
    <x v="19"/>
    <d v="2021-10-21T00:00:00"/>
    <d v="1899-12-30T12:54:36"/>
    <s v="Oct"/>
    <n v="438200"/>
    <s v="INR"/>
    <n v="78840"/>
    <s v="E110"/>
    <s v="E118"/>
    <s v="NA"/>
    <s v="NA"/>
    <s v="AM"/>
    <s v="DM"/>
    <s v="AM"/>
    <s v="DM"/>
    <s v="PASS"/>
    <s v="NA"/>
    <s v="2122"/>
    <s v="Oct"/>
    <s v="NON-RP"/>
  </r>
  <r>
    <n v="457"/>
    <s v="2122H01013"/>
    <n v="2122198"/>
    <s v="CC890404"/>
    <x v="30"/>
    <d v="2021-10-21T00:00:00"/>
    <d v="1899-12-30T15:20:57"/>
    <s v="Sep"/>
    <n v="336050"/>
    <s v="INR"/>
    <n v="60300"/>
    <s v="E110"/>
    <s v="E118"/>
    <s v="NA"/>
    <s v="NA"/>
    <s v="AM"/>
    <s v="DM"/>
    <s v="AM"/>
    <s v="DM"/>
    <s v="PASS"/>
    <s v="NA"/>
    <s v="2122"/>
    <s v="Oct"/>
    <s v="NON-RP"/>
  </r>
  <r>
    <n v="458"/>
    <s v="2122T51891"/>
    <n v="2122199"/>
    <s v="CC215924"/>
    <x v="42"/>
    <d v="2021-10-22T00:00:00"/>
    <d v="1899-12-30T15:22:18"/>
    <s v="Oct"/>
    <n v="454830"/>
    <s v="INR"/>
    <n v="81540"/>
    <s v="E115"/>
    <s v="E120"/>
    <s v="NA"/>
    <s v="NA"/>
    <s v="AM"/>
    <s v="DM"/>
    <s v="AM"/>
    <s v="DM"/>
    <s v="PASS"/>
    <s v="NA"/>
    <s v="2122"/>
    <s v="Oct"/>
    <s v="NON-RP"/>
  </r>
  <r>
    <n v="459"/>
    <s v="2122K51689"/>
    <n v="2122200"/>
    <s v="CC971575"/>
    <x v="5"/>
    <d v="2021-10-22T00:00:00"/>
    <d v="1899-12-30T16:02:16"/>
    <s v="Oct"/>
    <n v="491000"/>
    <s v="INR"/>
    <n v="88020"/>
    <s v="E114"/>
    <s v="E120"/>
    <s v="NA"/>
    <s v="NA"/>
    <s v="AM"/>
    <s v="DM"/>
    <s v="AM"/>
    <s v="DM"/>
    <s v="PASS"/>
    <s v="NA"/>
    <s v="2122"/>
    <s v="Oct"/>
    <s v="NON-RP"/>
  </r>
  <r>
    <n v="460"/>
    <s v="2122J21387"/>
    <n v="2122201"/>
    <s v="CC589485"/>
    <x v="14"/>
    <d v="2021-10-25T00:00:00"/>
    <d v="1899-12-30T17:56:21"/>
    <s v="Oct"/>
    <n v="415680"/>
    <s v="INR"/>
    <n v="74700"/>
    <s v="E113"/>
    <s v="E117"/>
    <s v="NA"/>
    <s v="NA"/>
    <s v="AM"/>
    <s v="DM"/>
    <s v="AM"/>
    <s v="DM"/>
    <s v="PASS"/>
    <s v="NA"/>
    <s v="2122"/>
    <s v="Oct"/>
    <s v="NON-RP"/>
  </r>
  <r>
    <n v="461"/>
    <s v="2122F11390"/>
    <n v="2122202"/>
    <s v="CC222731"/>
    <x v="2"/>
    <d v="2021-10-25T00:00:00"/>
    <d v="1899-12-30T12:44:19"/>
    <s v="Oct"/>
    <n v="374850"/>
    <s v="INR"/>
    <n v="66960"/>
    <s v="E110"/>
    <s v="E117"/>
    <s v="NA"/>
    <s v="NA"/>
    <s v="AM"/>
    <s v="DM"/>
    <s v="AM"/>
    <s v="DM"/>
    <s v="PASS"/>
    <s v="NA"/>
    <s v="2122"/>
    <s v="Oct"/>
    <s v="NON-RP"/>
  </r>
  <r>
    <n v="462"/>
    <s v="2122R81540"/>
    <n v="2122203"/>
    <s v="CC338239"/>
    <x v="10"/>
    <d v="2021-10-25T00:00:00"/>
    <d v="1899-12-30T13:29:05"/>
    <s v="Oct"/>
    <n v="325900"/>
    <s v="INR"/>
    <n v="58500"/>
    <s v="E113"/>
    <s v="E120"/>
    <s v="NA"/>
    <s v="NA"/>
    <s v="AM"/>
    <s v="DM"/>
    <s v="AM"/>
    <s v="DM"/>
    <s v="PASS"/>
    <s v="NA"/>
    <s v="2122"/>
    <s v="Oct"/>
    <s v="NON-RP"/>
  </r>
  <r>
    <n v="463"/>
    <s v="2122H21048"/>
    <n v="2122204"/>
    <s v="CC394986"/>
    <x v="4"/>
    <d v="2021-10-26T00:00:00"/>
    <d v="1899-12-30T10:59:35"/>
    <s v="Oct"/>
    <n v="356110"/>
    <s v="INR"/>
    <n v="63720"/>
    <s v="E114"/>
    <s v="E120"/>
    <s v="NA"/>
    <s v="NA"/>
    <s v="AM"/>
    <s v="DM"/>
    <s v="AM"/>
    <s v="DM"/>
    <s v="PASS"/>
    <s v="NA"/>
    <s v="2122"/>
    <s v="Oct"/>
    <s v="NON-RP"/>
  </r>
  <r>
    <n v="464"/>
    <s v="2122U01744"/>
    <n v="2122205"/>
    <s v="CC820923"/>
    <x v="17"/>
    <d v="2021-10-27T00:00:00"/>
    <d v="1899-12-30T15:16:46"/>
    <s v="Oct"/>
    <n v="419000"/>
    <s v="INR"/>
    <n v="75060"/>
    <s v="E111"/>
    <s v="E117"/>
    <s v="NA"/>
    <s v="NA"/>
    <s v="AM"/>
    <s v="DM"/>
    <s v="AM"/>
    <s v="DM"/>
    <s v="PASS"/>
    <s v="NA"/>
    <s v="2122"/>
    <s v="Oct"/>
    <s v="NON-RP"/>
  </r>
  <r>
    <n v="465"/>
    <s v="2122F11203"/>
    <n v="2122206"/>
    <s v="CC774762"/>
    <x v="2"/>
    <d v="2021-10-30T00:00:00"/>
    <d v="1899-12-30T16:14:11"/>
    <s v="Oct"/>
    <n v="356860"/>
    <s v="INR"/>
    <n v="63720"/>
    <s v="E110"/>
    <s v="E121"/>
    <s v="NA"/>
    <s v="NA"/>
    <s v="AM"/>
    <s v="DM"/>
    <s v="AM"/>
    <s v="DM"/>
    <s v="PASS"/>
    <s v="NA"/>
    <s v="2122"/>
    <s v="Oct"/>
    <s v="NON-RP"/>
  </r>
  <r>
    <n v="466"/>
    <s v="2122O31918"/>
    <n v="2122207"/>
    <s v="CC704438"/>
    <x v="43"/>
    <d v="2021-11-03T00:00:00"/>
    <d v="1899-12-30T10:57:08"/>
    <s v="Nov"/>
    <n v="491750"/>
    <s v="INR"/>
    <n v="88020"/>
    <s v="E111"/>
    <s v="E120"/>
    <s v="NA"/>
    <s v="NA"/>
    <s v="AM"/>
    <s v="DM"/>
    <s v="AM"/>
    <s v="DM"/>
    <s v="PASS"/>
    <s v="NA"/>
    <s v="2122"/>
    <s v="Nov"/>
    <s v="NON-RP"/>
  </r>
  <r>
    <n v="467"/>
    <s v="2122U81415"/>
    <n v="2122208"/>
    <s v="CC294370"/>
    <x v="7"/>
    <d v="2021-11-06T00:00:00"/>
    <d v="1899-12-30T15:12:54"/>
    <s v="Nov"/>
    <n v="479490"/>
    <s v="INR"/>
    <n v="86040"/>
    <s v="E114"/>
    <s v="E117"/>
    <s v="NA"/>
    <s v="NA"/>
    <s v="AM"/>
    <s v="DM"/>
    <s v="AM"/>
    <s v="DM"/>
    <s v="PASS"/>
    <s v="NA"/>
    <s v="2122"/>
    <s v="Nov"/>
    <s v="NON-RP"/>
  </r>
  <r>
    <n v="468"/>
    <s v="2122T51475"/>
    <n v="2122209"/>
    <s v="CC508805"/>
    <x v="47"/>
    <d v="2021-11-06T00:00:00"/>
    <d v="1899-12-30T19:54:02"/>
    <s v="Nov"/>
    <n v="4817700"/>
    <s v="INR"/>
    <n v="866700"/>
    <s v="E125"/>
    <s v="E126"/>
    <s v="NA"/>
    <s v="NA"/>
    <s v="CM"/>
    <s v="CFO"/>
    <s v="CM"/>
    <s v="CFO"/>
    <s v="PASS"/>
    <s v="NA"/>
    <s v="2122"/>
    <s v="Nov"/>
    <s v="RP"/>
  </r>
  <r>
    <n v="469"/>
    <s v="2122Y71672"/>
    <n v="2122210"/>
    <s v="CC931961"/>
    <x v="36"/>
    <d v="2021-11-08T00:00:00"/>
    <d v="1899-12-30T15:27:04"/>
    <s v="Nov"/>
    <n v="314800"/>
    <s v="INR"/>
    <n v="56340"/>
    <s v="E113"/>
    <s v="E121"/>
    <s v="NA"/>
    <s v="NA"/>
    <s v="AM"/>
    <s v="DM"/>
    <s v="AM"/>
    <s v="DM"/>
    <s v="PASS"/>
    <s v="NA"/>
    <s v="2122"/>
    <s v="Nov"/>
    <s v="NON-RP"/>
  </r>
  <r>
    <n v="470"/>
    <s v="2122j61318"/>
    <n v="2122211"/>
    <s v="CC223399"/>
    <x v="43"/>
    <d v="2021-11-09T00:00:00"/>
    <d v="1899-12-30T12:11:16"/>
    <s v="Nov"/>
    <n v="357640"/>
    <s v="INR"/>
    <n v="63900"/>
    <s v="E110"/>
    <s v="E118"/>
    <s v="NA"/>
    <s v="NA"/>
    <s v="AM"/>
    <s v="DM"/>
    <s v="AM"/>
    <s v="DM"/>
    <s v="PASS"/>
    <s v="NA"/>
    <s v="2122"/>
    <s v="Nov"/>
    <s v="NON-RP"/>
  </r>
  <r>
    <n v="471"/>
    <s v="2122L01942"/>
    <n v="2122212"/>
    <s v="CC199052"/>
    <x v="12"/>
    <d v="2021-11-09T00:00:00"/>
    <d v="1899-12-30T13:31:27"/>
    <s v="Nov"/>
    <n v="450470"/>
    <s v="INR"/>
    <n v="80640"/>
    <s v="E111"/>
    <s v="E120"/>
    <s v="NA"/>
    <s v="NA"/>
    <s v="AM"/>
    <s v="DM"/>
    <s v="AM"/>
    <s v="DM"/>
    <s v="PASS"/>
    <s v="NA"/>
    <s v="2122"/>
    <s v="Nov"/>
    <s v="NON-RP"/>
  </r>
  <r>
    <n v="472"/>
    <s v="2122Y91398"/>
    <n v="2122213"/>
    <s v="CC986010"/>
    <x v="20"/>
    <d v="2021-11-07T00:00:00"/>
    <d v="1899-12-30T13:05:03"/>
    <s v="Nov"/>
    <n v="4275330"/>
    <s v="INR"/>
    <n v="769500"/>
    <s v="E123"/>
    <s v="E125"/>
    <s v="NA"/>
    <s v="NA"/>
    <s v="SM"/>
    <s v="CM"/>
    <s v="SM"/>
    <s v="CM"/>
    <s v="PASS"/>
    <s v="NA"/>
    <s v="2122"/>
    <s v="Nov"/>
    <s v="RP"/>
  </r>
  <r>
    <n v="473"/>
    <s v="2122I11621"/>
    <n v="2122214"/>
    <s v="CC114003"/>
    <x v="21"/>
    <d v="2021-11-09T00:00:00"/>
    <d v="1899-12-30T17:00:41"/>
    <s v="Nov"/>
    <n v="425000"/>
    <s v="INR"/>
    <n v="76140"/>
    <s v="E112"/>
    <s v="E120"/>
    <s v="NA"/>
    <s v="NA"/>
    <s v="AM"/>
    <s v="DM"/>
    <s v="AM"/>
    <s v="DM"/>
    <s v="PASS"/>
    <s v="NA"/>
    <s v="2122"/>
    <s v="Nov"/>
    <s v="NON-RP"/>
  </r>
  <r>
    <n v="474"/>
    <s v="2122S81658"/>
    <n v="2122215"/>
    <s v="CC886642"/>
    <x v="18"/>
    <d v="2021-11-10T00:00:00"/>
    <d v="1899-12-30T11:56:06"/>
    <s v="Nov"/>
    <n v="399870"/>
    <s v="INR"/>
    <n v="71640"/>
    <s v="E111"/>
    <s v="E117"/>
    <s v="NA"/>
    <s v="NA"/>
    <s v="AM"/>
    <s v="DM"/>
    <s v="AM"/>
    <s v="DM"/>
    <s v="PASS"/>
    <s v="NA"/>
    <s v="2122"/>
    <s v="Nov"/>
    <s v="NON-RP"/>
  </r>
  <r>
    <n v="475"/>
    <s v="2122R41318"/>
    <n v="2122216"/>
    <s v="CC164169"/>
    <x v="31"/>
    <d v="2021-11-11T00:00:00"/>
    <d v="1899-12-30T15:22:57"/>
    <s v="Nov"/>
    <n v="462420"/>
    <s v="INR"/>
    <n v="82800"/>
    <s v="E113"/>
    <s v="E117"/>
    <s v="NA"/>
    <s v="NA"/>
    <s v="AM"/>
    <s v="DM"/>
    <s v="AM"/>
    <s v="DM"/>
    <s v="PASS"/>
    <s v="NA"/>
    <s v="2122"/>
    <s v="Nov"/>
    <s v="NON-RP"/>
  </r>
  <r>
    <n v="476"/>
    <s v="2122W41943"/>
    <n v="2122217"/>
    <s v="CC214748"/>
    <x v="38"/>
    <d v="2021-11-14T00:00:00"/>
    <d v="1899-12-30T11:36:59"/>
    <s v="Nov"/>
    <n v="4441560"/>
    <s v="INR"/>
    <n v="799200"/>
    <s v="E123"/>
    <s v="E125"/>
    <s v="NA"/>
    <s v="NA"/>
    <s v="SM"/>
    <s v="CM"/>
    <s v="SM"/>
    <s v="CM"/>
    <s v="PASS"/>
    <s v="NA"/>
    <s v="2122"/>
    <s v="Nov"/>
    <s v="RP"/>
  </r>
  <r>
    <n v="477"/>
    <s v="2122A01575"/>
    <n v="2122218"/>
    <s v="CC969173"/>
    <x v="10"/>
    <d v="2021-11-12T00:00:00"/>
    <d v="1899-12-30T11:28:43"/>
    <s v="Nov"/>
    <n v="473280"/>
    <s v="INR"/>
    <n v="85140"/>
    <s v="E111"/>
    <s v="E121"/>
    <s v="NA"/>
    <s v="NA"/>
    <s v="AM"/>
    <s v="DM"/>
    <s v="AM"/>
    <s v="DM"/>
    <s v="PASS"/>
    <s v="NA"/>
    <s v="2122"/>
    <s v="Nov"/>
    <s v="NON-RP"/>
  </r>
  <r>
    <n v="478"/>
    <s v="2122M61002"/>
    <n v="2122219"/>
    <s v="CC356315"/>
    <x v="19"/>
    <d v="2021-11-12T00:00:00"/>
    <d v="1899-12-30T14:21:35"/>
    <s v="Nov"/>
    <n v="408230"/>
    <s v="INR"/>
    <n v="73260"/>
    <s v="E110"/>
    <s v="E117"/>
    <s v="NA"/>
    <s v="NA"/>
    <s v="AM"/>
    <s v="DM"/>
    <s v="AM"/>
    <s v="DM"/>
    <s v="PASS"/>
    <s v="NA"/>
    <s v="2122"/>
    <s v="Nov"/>
    <s v="NON-RP"/>
  </r>
  <r>
    <n v="479"/>
    <s v="2122P81586"/>
    <n v="2122220"/>
    <s v="CC610632"/>
    <x v="5"/>
    <d v="2021-11-13T00:00:00"/>
    <d v="1899-12-30T13:51:47"/>
    <s v="Nov"/>
    <n v="331750"/>
    <s v="INR"/>
    <n v="59580"/>
    <s v="E113"/>
    <s v="E117"/>
    <s v="NA"/>
    <s v="NA"/>
    <s v="AM"/>
    <s v="DM"/>
    <s v="AM"/>
    <s v="DM"/>
    <s v="PASS"/>
    <s v="NA"/>
    <s v="2122"/>
    <s v="Nov"/>
    <s v="NON-RP"/>
  </r>
  <r>
    <n v="480"/>
    <s v="2122C01362"/>
    <n v="2122221"/>
    <s v="CC213253"/>
    <x v="21"/>
    <d v="2021-11-19T00:00:00"/>
    <d v="1899-12-30T15:15:33"/>
    <s v="Nov"/>
    <n v="223880"/>
    <s v="INR"/>
    <n v="39780"/>
    <s v="E115"/>
    <s v="E119"/>
    <s v="NA"/>
    <s v="NA"/>
    <s v="AM"/>
    <s v="DM"/>
    <s v="AM"/>
    <s v="DM"/>
    <s v="PASS"/>
    <s v="NA"/>
    <s v="2122"/>
    <s v="Nov"/>
    <s v="NON-RP"/>
  </r>
  <r>
    <n v="481"/>
    <s v="2122V41231"/>
    <n v="2122222"/>
    <s v="CC840595"/>
    <x v="43"/>
    <d v="2021-11-23T00:00:00"/>
    <d v="1899-12-30T16:34:02"/>
    <s v="Nov"/>
    <n v="12222570"/>
    <s v="INR"/>
    <n v="2199960"/>
    <s v="E125"/>
    <s v="E126"/>
    <s v="Approved"/>
    <s v="BM/CC840595C231"/>
    <s v="CM"/>
    <s v="CFO"/>
    <s v="CM"/>
    <s v="CFO"/>
    <s v="PASS"/>
    <s v="PASS"/>
    <s v="2122"/>
    <s v="Nov"/>
    <s v="NON-RP"/>
  </r>
  <r>
    <n v="482"/>
    <s v="2122E51863"/>
    <n v="2122223"/>
    <s v="CC285789"/>
    <x v="4"/>
    <d v="2021-11-25T00:00:00"/>
    <d v="1899-12-30T16:15:24"/>
    <s v="Oct"/>
    <n v="285500"/>
    <s v="INR"/>
    <n v="51120"/>
    <s v="E114"/>
    <s v="E119"/>
    <s v="NA"/>
    <s v="NA"/>
    <s v="AM"/>
    <s v="DM"/>
    <s v="AM"/>
    <s v="DM"/>
    <s v="PASS"/>
    <s v="NA"/>
    <s v="2122"/>
    <s v="Nov"/>
    <s v="NON-RP"/>
  </r>
  <r>
    <n v="483"/>
    <s v="2122V91192"/>
    <n v="2122224"/>
    <s v="CC130624"/>
    <x v="2"/>
    <d v="2021-11-25T00:00:00"/>
    <d v="1899-12-30T11:37:15"/>
    <s v="Nov"/>
    <n v="302180"/>
    <s v="INR"/>
    <n v="54000"/>
    <s v="E110"/>
    <s v="E121"/>
    <s v="NA"/>
    <s v="NA"/>
    <s v="AM"/>
    <s v="DM"/>
    <s v="AM"/>
    <s v="DM"/>
    <s v="PASS"/>
    <s v="NA"/>
    <s v="2122"/>
    <s v="Nov"/>
    <s v="NON-RP"/>
  </r>
  <r>
    <n v="484"/>
    <s v="2122M41710"/>
    <n v="2122225"/>
    <s v="CC703229"/>
    <x v="41"/>
    <d v="2021-11-26T00:00:00"/>
    <d v="1899-12-30T14:48:43"/>
    <s v="Nov"/>
    <n v="367010"/>
    <s v="INR"/>
    <n v="65880"/>
    <s v="E111"/>
    <s v="E120"/>
    <s v="NA"/>
    <s v="NA"/>
    <s v="AM"/>
    <s v="DM"/>
    <s v="AM"/>
    <s v="DM"/>
    <s v="PASS"/>
    <s v="NA"/>
    <s v="2122"/>
    <s v="Nov"/>
    <s v="NON-RP"/>
  </r>
  <r>
    <n v="485"/>
    <s v="2122N31993"/>
    <n v="2122226"/>
    <s v="CC678203"/>
    <x v="2"/>
    <d v="2021-11-26T00:00:00"/>
    <d v="1899-12-30T11:16:43"/>
    <s v="Nov"/>
    <n v="26260"/>
    <s v="INR"/>
    <n v="4500"/>
    <s v="E105"/>
    <s v="E114"/>
    <s v="NA"/>
    <s v="NA"/>
    <s v="SE"/>
    <s v="AM"/>
    <s v="SE"/>
    <s v="AM"/>
    <s v="PASS"/>
    <s v="NA"/>
    <s v="2122"/>
    <s v="Nov"/>
    <s v="NON-RP"/>
  </r>
  <r>
    <n v="486"/>
    <s v="2122N01743"/>
    <n v="2122227"/>
    <s v="CC910213"/>
    <x v="15"/>
    <d v="2021-11-27T00:00:00"/>
    <d v="1899-12-30T16:10:32"/>
    <s v="Oct"/>
    <n v="39590"/>
    <s v="INR"/>
    <n v="6660"/>
    <s v="E106"/>
    <s v="E116"/>
    <s v="NA"/>
    <s v="NA"/>
    <s v="SE"/>
    <s v="AM"/>
    <s v="SE"/>
    <s v="AM"/>
    <s v="PASS"/>
    <s v="NA"/>
    <s v="2122"/>
    <s v="Nov"/>
    <s v="NON-RP"/>
  </r>
  <r>
    <n v="487"/>
    <s v="2122H91547"/>
    <n v="2122228"/>
    <s v="CC659077"/>
    <x v="29"/>
    <d v="2021-11-27T00:00:00"/>
    <d v="1899-12-30T10:11:49"/>
    <s v="Oct"/>
    <n v="24260"/>
    <s v="INR"/>
    <n v="3960"/>
    <s v="E107"/>
    <s v="E116"/>
    <s v="NA"/>
    <s v="NA"/>
    <s v="SE"/>
    <s v="AM"/>
    <s v="SE"/>
    <s v="AM"/>
    <s v="PASS"/>
    <s v="NA"/>
    <s v="2122"/>
    <s v="Nov"/>
    <s v="NON-RP"/>
  </r>
  <r>
    <n v="488"/>
    <s v="2122J71497"/>
    <n v="2122229"/>
    <s v="CC684587"/>
    <x v="15"/>
    <d v="2021-11-29T00:00:00"/>
    <d v="1899-12-30T13:42:29"/>
    <s v="Nov"/>
    <n v="25240"/>
    <s v="INR"/>
    <n v="4500"/>
    <s v="E106"/>
    <s v="E110"/>
    <s v="NA"/>
    <s v="NA"/>
    <s v="SE"/>
    <s v="AM"/>
    <s v="SE"/>
    <s v="AM"/>
    <s v="PASS"/>
    <s v="NA"/>
    <s v="2122"/>
    <s v="Nov"/>
    <s v="NON-RP"/>
  </r>
  <r>
    <n v="489"/>
    <s v="2122J01844"/>
    <n v="2122230"/>
    <s v="CC700229"/>
    <x v="18"/>
    <d v="2021-11-29T00:00:00"/>
    <d v="1899-12-30T11:02:31"/>
    <s v="Nov"/>
    <n v="445560"/>
    <s v="INR"/>
    <n v="79920"/>
    <s v="E115"/>
    <s v="E117"/>
    <s v="NA"/>
    <s v="NA"/>
    <s v="AM"/>
    <s v="DM"/>
    <s v="AM"/>
    <s v="DM"/>
    <s v="PASS"/>
    <s v="NA"/>
    <s v="2122"/>
    <s v="Nov"/>
    <s v="NON-RP"/>
  </r>
  <r>
    <n v="490"/>
    <s v="2122Q91445"/>
    <n v="2122231"/>
    <s v="CC584823"/>
    <x v="28"/>
    <d v="2021-12-01T00:00:00"/>
    <d v="1899-12-30T11:41:02"/>
    <s v="Dec"/>
    <n v="2159450"/>
    <s v="INR"/>
    <n v="388260"/>
    <s v="E122"/>
    <s v="E125"/>
    <s v="NA"/>
    <s v="NA"/>
    <s v="SM"/>
    <s v="CM"/>
    <s v="SM"/>
    <s v="CM"/>
    <s v="PASS"/>
    <s v="NA"/>
    <s v="2122"/>
    <s v="Dec"/>
    <s v="NON-RP"/>
  </r>
  <r>
    <n v="491"/>
    <s v="2122B21203"/>
    <n v="2122232"/>
    <s v="CC378274"/>
    <x v="8"/>
    <d v="2021-12-03T00:00:00"/>
    <d v="1899-12-30T14:28:55"/>
    <s v="Dec"/>
    <n v="15810"/>
    <s v="INR"/>
    <n v="2340"/>
    <s v="E102"/>
    <s v="E110"/>
    <s v="NA"/>
    <s v="NA"/>
    <s v="SE"/>
    <s v="AM"/>
    <s v="SE"/>
    <s v="AM"/>
    <s v="PASS"/>
    <s v="NA"/>
    <s v="2122"/>
    <s v="Dec"/>
    <s v="NON-RP"/>
  </r>
  <r>
    <n v="492"/>
    <s v="2122P31983"/>
    <n v="2122233"/>
    <s v="CC624674"/>
    <x v="38"/>
    <d v="2021-12-05T00:00:00"/>
    <d v="1899-12-30T12:47:06"/>
    <s v="Dec"/>
    <n v="4050320"/>
    <s v="INR"/>
    <n v="728820"/>
    <s v="E124"/>
    <s v="E125"/>
    <s v="NA"/>
    <s v="NA"/>
    <s v="SM"/>
    <s v="CM"/>
    <s v="SM"/>
    <s v="CM"/>
    <s v="PASS"/>
    <s v="NA"/>
    <s v="2122"/>
    <s v="Dec"/>
    <s v="RP"/>
  </r>
  <r>
    <n v="493"/>
    <s v="2122Q51522"/>
    <n v="2122234"/>
    <s v="CC732491"/>
    <x v="36"/>
    <d v="2021-12-04T00:00:00"/>
    <d v="1899-12-30T15:31:54"/>
    <s v="Dec"/>
    <n v="476400"/>
    <s v="INR"/>
    <n v="85680"/>
    <s v="E115"/>
    <s v="E118"/>
    <s v="NA"/>
    <s v="NA"/>
    <s v="AM"/>
    <s v="DM"/>
    <s v="AM"/>
    <s v="DM"/>
    <s v="PASS"/>
    <s v="NA"/>
    <s v="2122"/>
    <s v="Dec"/>
    <s v="NON-RP"/>
  </r>
  <r>
    <n v="494"/>
    <s v="2122O31887"/>
    <n v="2122235"/>
    <s v="CC192808"/>
    <x v="19"/>
    <d v="2021-12-06T00:00:00"/>
    <d v="1899-12-30T17:07:17"/>
    <s v="Dec"/>
    <n v="24170"/>
    <s v="INR"/>
    <n v="3960"/>
    <s v="E107"/>
    <s v="E110"/>
    <s v="NA"/>
    <s v="NA"/>
    <s v="SE"/>
    <s v="AM"/>
    <s v="SE"/>
    <s v="AM"/>
    <s v="PASS"/>
    <s v="NA"/>
    <s v="2122"/>
    <s v="Dec"/>
    <s v="NON-RP"/>
  </r>
  <r>
    <n v="495"/>
    <s v="2122S41743"/>
    <n v="2122236"/>
    <s v="CC910737"/>
    <x v="0"/>
    <d v="2021-12-07T00:00:00"/>
    <d v="1899-12-30T17:55:08"/>
    <s v="Dec"/>
    <n v="230900"/>
    <s v="INR"/>
    <n v="41220"/>
    <s v="E116"/>
    <s v="E119"/>
    <s v="NA"/>
    <s v="NA"/>
    <s v="AM"/>
    <s v="DM"/>
    <s v="AM"/>
    <s v="DM"/>
    <s v="PASS"/>
    <s v="NA"/>
    <s v="2122"/>
    <s v="Dec"/>
    <s v="NON-RP"/>
  </r>
  <r>
    <n v="496"/>
    <s v="2122N01952"/>
    <n v="2122237"/>
    <s v="CC160324"/>
    <x v="41"/>
    <d v="2021-12-07T00:00:00"/>
    <d v="1899-12-30T15:05:55"/>
    <s v="Dec"/>
    <n v="245870"/>
    <s v="INR"/>
    <n v="43920"/>
    <s v="E112"/>
    <s v="E118"/>
    <s v="NA"/>
    <s v="NA"/>
    <s v="AM"/>
    <s v="DM"/>
    <s v="AM"/>
    <s v="DM"/>
    <s v="PASS"/>
    <s v="NA"/>
    <s v="2122"/>
    <s v="Dec"/>
    <s v="NON-RP"/>
  </r>
  <r>
    <n v="497"/>
    <s v="2122B91484"/>
    <n v="2122238"/>
    <s v="CC428042"/>
    <x v="26"/>
    <d v="2021-12-08T00:00:00"/>
    <d v="1899-12-30T11:07:56"/>
    <s v="Dec"/>
    <n v="258400"/>
    <s v="INR"/>
    <n v="46080"/>
    <s v="E114"/>
    <s v="E120"/>
    <s v="NA"/>
    <s v="NA"/>
    <s v="AM"/>
    <s v="DM"/>
    <s v="AM"/>
    <s v="DM"/>
    <s v="PASS"/>
    <s v="NA"/>
    <s v="2122"/>
    <s v="Dec"/>
    <s v="NON-RP"/>
  </r>
  <r>
    <n v="498"/>
    <s v="2122W31175"/>
    <n v="2122239"/>
    <s v="CC736688"/>
    <x v="16"/>
    <d v="2021-12-09T00:00:00"/>
    <d v="1899-12-30T11:57:00"/>
    <s v="Dec"/>
    <n v="391470"/>
    <s v="INR"/>
    <n v="70380"/>
    <s v="E112"/>
    <s v="E121"/>
    <s v="NA"/>
    <s v="NA"/>
    <s v="AM"/>
    <s v="DM"/>
    <s v="AM"/>
    <s v="DM"/>
    <s v="PASS"/>
    <s v="NA"/>
    <s v="2122"/>
    <s v="Dec"/>
    <s v="NON-RP"/>
  </r>
  <r>
    <n v="499"/>
    <s v="2122L21946"/>
    <n v="2122240"/>
    <s v="CC394417"/>
    <x v="44"/>
    <d v="2021-12-12T00:00:00"/>
    <d v="1899-12-30T11:15:51"/>
    <s v="Dec"/>
    <n v="4463340"/>
    <s v="INR"/>
    <n v="803340"/>
    <s v="E123"/>
    <s v="E125"/>
    <s v="NA"/>
    <s v="NA"/>
    <s v="SM"/>
    <s v="CM"/>
    <s v="SM"/>
    <s v="CM"/>
    <s v="PASS"/>
    <s v="NA"/>
    <s v="2122"/>
    <s v="Dec"/>
    <s v="RP"/>
  </r>
  <r>
    <n v="500"/>
    <s v="2122I51208"/>
    <n v="2122241"/>
    <s v="CC886051"/>
    <x v="1"/>
    <d v="2021-12-11T00:00:00"/>
    <d v="1899-12-30T11:53:56"/>
    <s v="Dec"/>
    <n v="446670"/>
    <s v="INR"/>
    <n v="80100"/>
    <s v="E115"/>
    <s v="E118"/>
    <s v="NA"/>
    <s v="NA"/>
    <s v="AM"/>
    <s v="DM"/>
    <s v="AM"/>
    <s v="DM"/>
    <s v="PASS"/>
    <s v="NA"/>
    <s v="2122"/>
    <s v="Dec"/>
    <s v="NON-RP"/>
  </r>
  <r>
    <n v="501"/>
    <s v="2122U91401"/>
    <n v="2122242"/>
    <s v="CC315583"/>
    <x v="41"/>
    <d v="2021-12-11T00:00:00"/>
    <d v="1899-12-30T15:09:52"/>
    <s v="Dec"/>
    <n v="284960"/>
    <s v="INR"/>
    <n v="50940"/>
    <s v="E113"/>
    <s v="E117"/>
    <s v="NA"/>
    <s v="NA"/>
    <s v="AM"/>
    <s v="DM"/>
    <s v="AM"/>
    <s v="DM"/>
    <s v="PASS"/>
    <s v="NA"/>
    <s v="2122"/>
    <s v="Dec"/>
    <s v="NON-RP"/>
  </r>
  <r>
    <n v="502"/>
    <s v="2122H51226"/>
    <n v="2122243"/>
    <s v="CC764970"/>
    <x v="31"/>
    <d v="2021-12-11T00:00:00"/>
    <d v="1899-12-30T13:31:37"/>
    <s v="Dec"/>
    <n v="444500"/>
    <s v="INR"/>
    <n v="79920"/>
    <s v="E115"/>
    <s v="E119"/>
    <s v="NA"/>
    <s v="NA"/>
    <s v="AM"/>
    <s v="DM"/>
    <s v="AM"/>
    <s v="DM"/>
    <s v="PASS"/>
    <s v="NA"/>
    <s v="2122"/>
    <s v="Dec"/>
    <s v="NON-RP"/>
  </r>
  <r>
    <n v="503"/>
    <s v="2122O11932"/>
    <n v="2122244"/>
    <s v="CC903133"/>
    <x v="14"/>
    <d v="2021-12-11T00:00:00"/>
    <d v="1899-12-30T15:21:40"/>
    <s v="Dec"/>
    <n v="373180"/>
    <s v="INR"/>
    <n v="66960"/>
    <s v="E113"/>
    <s v="E121"/>
    <s v="NA"/>
    <s v="NA"/>
    <s v="AM"/>
    <s v="DM"/>
    <s v="AM"/>
    <s v="DM"/>
    <s v="PASS"/>
    <s v="NA"/>
    <s v="2122"/>
    <s v="Dec"/>
    <s v="NON-RP"/>
  </r>
  <r>
    <n v="504"/>
    <s v="2122Z01541"/>
    <n v="2122245"/>
    <s v="CC457164"/>
    <x v="43"/>
    <d v="2021-12-11T00:00:00"/>
    <d v="1899-12-30T10:57:55"/>
    <s v="Dec"/>
    <n v="215460"/>
    <s v="INR"/>
    <n v="38700"/>
    <s v="E111"/>
    <s v="E120"/>
    <s v="NA"/>
    <s v="NA"/>
    <s v="AM"/>
    <s v="DM"/>
    <s v="AM"/>
    <s v="DM"/>
    <s v="PASS"/>
    <s v="NA"/>
    <s v="2122"/>
    <s v="Dec"/>
    <s v="NON-RP"/>
  </r>
  <r>
    <n v="505"/>
    <s v="2122A41391"/>
    <n v="2122246"/>
    <s v="CC287338"/>
    <x v="15"/>
    <d v="2021-12-13T00:00:00"/>
    <d v="1899-12-30T14:29:01"/>
    <s v="Dec"/>
    <n v="231820"/>
    <s v="INR"/>
    <n v="41400"/>
    <s v="E115"/>
    <s v="E119"/>
    <s v="NA"/>
    <s v="NA"/>
    <s v="AM"/>
    <s v="DM"/>
    <s v="AM"/>
    <s v="DM"/>
    <s v="PASS"/>
    <s v="NA"/>
    <s v="2122"/>
    <s v="Dec"/>
    <s v="NON-RP"/>
  </r>
  <r>
    <n v="506"/>
    <s v="2122C31602"/>
    <n v="2122247"/>
    <s v="CC357536"/>
    <x v="48"/>
    <d v="2021-12-13T00:00:00"/>
    <d v="1899-12-30T10:33:43"/>
    <s v="Dec"/>
    <n v="433600"/>
    <s v="INR"/>
    <n v="77760"/>
    <s v="E111"/>
    <s v="E117"/>
    <s v="NA"/>
    <s v="NA"/>
    <s v="AM"/>
    <s v="DM"/>
    <s v="AM"/>
    <s v="DM"/>
    <s v="PASS"/>
    <s v="NA"/>
    <s v="2122"/>
    <s v="Dec"/>
    <s v="NON-RP"/>
  </r>
  <r>
    <n v="507"/>
    <s v="2122B51116"/>
    <n v="2122248"/>
    <s v="CC578320"/>
    <x v="8"/>
    <d v="2021-12-13T00:00:00"/>
    <d v="1899-12-30T15:41:54"/>
    <s v="Dec"/>
    <n v="6302410"/>
    <s v="INR"/>
    <n v="1134000"/>
    <s v="E125"/>
    <s v="E126"/>
    <s v="Approved"/>
    <s v="BM/CC578320C202"/>
    <s v="CM"/>
    <s v="CFO"/>
    <s v="CM"/>
    <s v="CFO"/>
    <s v="PASS"/>
    <s v="PASS"/>
    <s v="2122"/>
    <s v="Dec"/>
    <s v="NON-RP"/>
  </r>
  <r>
    <n v="508"/>
    <s v="2122T71144"/>
    <n v="2122249"/>
    <s v="CC862577"/>
    <x v="38"/>
    <d v="2021-12-11T00:00:00"/>
    <d v="1899-12-30T19:42:24"/>
    <s v="Dec"/>
    <n v="4918360"/>
    <s v="INR"/>
    <n v="885060"/>
    <s v="E125"/>
    <s v="E126"/>
    <s v="NA"/>
    <s v="NA"/>
    <s v="CM"/>
    <s v="CFO"/>
    <s v="CM"/>
    <s v="CFO"/>
    <s v="PASS"/>
    <s v="NA"/>
    <s v="2122"/>
    <s v="Dec"/>
    <s v="RP"/>
  </r>
  <r>
    <n v="509"/>
    <s v="2122Z51636"/>
    <n v="2122250"/>
    <s v="CC893648"/>
    <x v="21"/>
    <d v="2021-12-14T00:00:00"/>
    <d v="1899-12-30T15:07:05"/>
    <s v="Dec"/>
    <n v="488690"/>
    <s v="INR"/>
    <n v="87660"/>
    <s v="E111"/>
    <s v="E119"/>
    <s v="NA"/>
    <s v="NA"/>
    <s v="AM"/>
    <s v="DM"/>
    <s v="AM"/>
    <s v="DM"/>
    <s v="PASS"/>
    <s v="NA"/>
    <s v="2122"/>
    <s v="Dec"/>
    <s v="NON-RP"/>
  </r>
  <r>
    <n v="510"/>
    <s v="2122T71032"/>
    <n v="2122251"/>
    <s v="CC613425"/>
    <x v="17"/>
    <d v="2021-12-17T00:00:00"/>
    <d v="1899-12-30T11:07:38"/>
    <s v="Dec"/>
    <n v="415690"/>
    <s v="INR"/>
    <n v="74700"/>
    <s v="E115"/>
    <s v="E119"/>
    <s v="NA"/>
    <s v="NA"/>
    <s v="AM"/>
    <s v="DM"/>
    <s v="AM"/>
    <s v="DM"/>
    <s v="PASS"/>
    <s v="NA"/>
    <s v="2122"/>
    <s v="Dec"/>
    <s v="NON-RP"/>
  </r>
  <r>
    <n v="511"/>
    <s v="2122W81919"/>
    <n v="2122252"/>
    <s v="CC259737"/>
    <x v="3"/>
    <d v="2021-12-18T00:00:00"/>
    <d v="1899-12-30T16:30:08"/>
    <s v="Dec"/>
    <n v="497220"/>
    <s v="INR"/>
    <n v="89100"/>
    <s v="E112"/>
    <s v="E119"/>
    <s v="NA"/>
    <s v="NA"/>
    <s v="AM"/>
    <s v="DM"/>
    <s v="AM"/>
    <s v="DM"/>
    <s v="PASS"/>
    <s v="NA"/>
    <s v="2122"/>
    <s v="Dec"/>
    <s v="NON-RP"/>
  </r>
  <r>
    <n v="512"/>
    <s v="2122X01732"/>
    <n v="2122253"/>
    <s v="CC415777"/>
    <x v="30"/>
    <d v="2021-12-20T00:00:00"/>
    <d v="1899-12-30T11:33:54"/>
    <s v="Dec"/>
    <n v="273650"/>
    <s v="INR"/>
    <n v="49140"/>
    <s v="E111"/>
    <s v="E121"/>
    <s v="NA"/>
    <s v="NA"/>
    <s v="AM"/>
    <s v="DM"/>
    <s v="AM"/>
    <s v="DM"/>
    <s v="PASS"/>
    <s v="NA"/>
    <s v="2122"/>
    <s v="Dec"/>
    <s v="NON-RP"/>
  </r>
  <r>
    <n v="513"/>
    <s v="2122W01507"/>
    <n v="2122254"/>
    <s v="CC622234"/>
    <x v="15"/>
    <d v="2021-12-20T00:00:00"/>
    <d v="1899-12-30T16:07:56"/>
    <s v="Dec"/>
    <n v="430300"/>
    <s v="INR"/>
    <n v="77220"/>
    <s v="E113"/>
    <s v="E121"/>
    <s v="NA"/>
    <s v="NA"/>
    <s v="AM"/>
    <s v="DM"/>
    <s v="AM"/>
    <s v="DM"/>
    <s v="PASS"/>
    <s v="NA"/>
    <s v="2122"/>
    <s v="Dec"/>
    <s v="NON-RP"/>
  </r>
  <r>
    <n v="514"/>
    <s v="2122W41847"/>
    <n v="2122255"/>
    <s v="CC763477"/>
    <x v="38"/>
    <d v="2021-12-19T00:00:00"/>
    <d v="1899-12-30T13:04:36"/>
    <s v="Dec"/>
    <n v="4924520"/>
    <s v="INR"/>
    <n v="885960"/>
    <s v="E125"/>
    <s v="E126"/>
    <s v="NA"/>
    <s v="NA"/>
    <s v="CM"/>
    <s v="CFO"/>
    <s v="CM"/>
    <s v="CFO"/>
    <s v="PASS"/>
    <s v="NA"/>
    <s v="2122"/>
    <s v="Dec"/>
    <s v="RP"/>
  </r>
  <r>
    <n v="515"/>
    <s v="2122O71884"/>
    <n v="2122256"/>
    <s v="CC998662"/>
    <x v="44"/>
    <d v="2021-12-18T00:00:00"/>
    <d v="1899-12-30T19:17:28"/>
    <s v="Dec"/>
    <n v="4823470"/>
    <s v="INR"/>
    <n v="868140"/>
    <s v="E125"/>
    <s v="E126"/>
    <s v="NA"/>
    <s v="NA"/>
    <s v="CM"/>
    <s v="CFO"/>
    <s v="CM"/>
    <s v="CFO"/>
    <s v="PASS"/>
    <s v="NA"/>
    <s v="2122"/>
    <s v="Dec"/>
    <s v="RP"/>
  </r>
  <r>
    <n v="516"/>
    <s v="2122P31669"/>
    <n v="2122257"/>
    <s v="CC501883"/>
    <x v="40"/>
    <d v="2021-12-21T00:00:00"/>
    <d v="1899-12-30T16:12:42"/>
    <s v="Dec"/>
    <n v="206810"/>
    <s v="INR"/>
    <n v="37080"/>
    <s v="E111"/>
    <s v="E119"/>
    <s v="NA"/>
    <s v="NA"/>
    <s v="AM"/>
    <s v="DM"/>
    <s v="AM"/>
    <s v="DM"/>
    <s v="PASS"/>
    <s v="NA"/>
    <s v="2122"/>
    <s v="Dec"/>
    <s v="NON-RP"/>
  </r>
  <r>
    <n v="517"/>
    <s v="2122E31923"/>
    <n v="2122258"/>
    <s v="CC199085"/>
    <x v="45"/>
    <d v="2021-12-22T00:00:00"/>
    <d v="1899-12-30T16:29:48"/>
    <s v="Dec"/>
    <n v="434540"/>
    <s v="INR"/>
    <n v="77760"/>
    <s v="E116"/>
    <s v="E118"/>
    <s v="NA"/>
    <s v="NA"/>
    <s v="AM"/>
    <s v="DM"/>
    <s v="AM"/>
    <s v="DM"/>
    <s v="PASS"/>
    <s v="NA"/>
    <s v="2122"/>
    <s v="Dec"/>
    <s v="NON-RP"/>
  </r>
  <r>
    <n v="518"/>
    <s v="2122G51676"/>
    <n v="2122259"/>
    <s v="CC145391"/>
    <x v="6"/>
    <d v="2021-12-22T00:00:00"/>
    <d v="1899-12-30T15:31:38"/>
    <s v="Dec"/>
    <n v="386590"/>
    <s v="INR"/>
    <n v="69120"/>
    <s v="E114"/>
    <s v="E118"/>
    <s v="NA"/>
    <s v="NA"/>
    <s v="AM"/>
    <s v="DM"/>
    <s v="AM"/>
    <s v="DM"/>
    <s v="PASS"/>
    <s v="NA"/>
    <s v="2122"/>
    <s v="Dec"/>
    <s v="NON-RP"/>
  </r>
  <r>
    <n v="519"/>
    <s v="2122K71852"/>
    <n v="2122260"/>
    <s v="CC981705"/>
    <x v="45"/>
    <d v="2021-12-23T00:00:00"/>
    <d v="1899-12-30T17:33:03"/>
    <s v="Dec"/>
    <n v="250140"/>
    <s v="INR"/>
    <n v="44640"/>
    <s v="E116"/>
    <s v="E120"/>
    <s v="NA"/>
    <s v="NA"/>
    <s v="AM"/>
    <s v="DM"/>
    <s v="AM"/>
    <s v="DM"/>
    <s v="PASS"/>
    <s v="NA"/>
    <s v="2122"/>
    <s v="Dec"/>
    <s v="NON-RP"/>
  </r>
  <r>
    <n v="520"/>
    <s v="2122X31075"/>
    <n v="2122261"/>
    <s v="CC970677"/>
    <x v="7"/>
    <d v="2021-12-27T00:00:00"/>
    <d v="1899-12-30T10:29:47"/>
    <s v="Dec"/>
    <n v="282660"/>
    <s v="INR"/>
    <n v="50580"/>
    <s v="E111"/>
    <s v="E120"/>
    <s v="NA"/>
    <s v="NA"/>
    <s v="AM"/>
    <s v="DM"/>
    <s v="AM"/>
    <s v="DM"/>
    <s v="PASS"/>
    <s v="NA"/>
    <s v="2122"/>
    <s v="Dec"/>
    <s v="NON-RP"/>
  </r>
  <r>
    <n v="521"/>
    <s v="2122B71557"/>
    <n v="2122262"/>
    <s v="CC274148"/>
    <x v="21"/>
    <d v="2021-12-27T00:00:00"/>
    <d v="1899-12-30T17:15:11"/>
    <s v="Dec"/>
    <n v="501580"/>
    <s v="INR"/>
    <n v="90000"/>
    <s v="E117"/>
    <s v="E122"/>
    <s v="NA"/>
    <s v="NA"/>
    <s v="DM"/>
    <s v="SM"/>
    <s v="DM"/>
    <s v="SM"/>
    <s v="PASS"/>
    <s v="NA"/>
    <s v="2122"/>
    <s v="Dec"/>
    <s v="NON-RP"/>
  </r>
  <r>
    <n v="522"/>
    <s v="2122I51297"/>
    <n v="2122263"/>
    <s v="CC504295"/>
    <x v="0"/>
    <d v="2021-12-28T00:00:00"/>
    <d v="1899-12-30T11:45:46"/>
    <s v="Dec"/>
    <n v="486120"/>
    <s v="INR"/>
    <n v="87480"/>
    <s v="E116"/>
    <s v="E120"/>
    <s v="NA"/>
    <s v="NA"/>
    <s v="AM"/>
    <s v="DM"/>
    <s v="AM"/>
    <s v="DM"/>
    <s v="PASS"/>
    <s v="NA"/>
    <s v="2122"/>
    <s v="Dec"/>
    <s v="NON-RP"/>
  </r>
  <r>
    <n v="523"/>
    <s v="2122D11360"/>
    <n v="2122264"/>
    <s v="CC338380"/>
    <x v="19"/>
    <d v="2021-12-28T00:00:00"/>
    <d v="1899-12-30T10:14:02"/>
    <s v="Dec"/>
    <n v="448080"/>
    <s v="INR"/>
    <n v="80460"/>
    <s v="E110"/>
    <s v="E119"/>
    <s v="NA"/>
    <s v="NA"/>
    <s v="AM"/>
    <s v="DM"/>
    <s v="AM"/>
    <s v="DM"/>
    <s v="PASS"/>
    <s v="NA"/>
    <s v="2122"/>
    <s v="Dec"/>
    <s v="NON-RP"/>
  </r>
  <r>
    <n v="524"/>
    <s v="2122K21209"/>
    <n v="2122265"/>
    <s v="CC805139"/>
    <x v="46"/>
    <d v="2022-01-02T00:00:00"/>
    <d v="1899-12-30T11:57:21"/>
    <s v="Jan"/>
    <n v="4363500"/>
    <s v="INR"/>
    <n v="785340"/>
    <s v="E123"/>
    <s v="E125"/>
    <s v="NA"/>
    <s v="NA"/>
    <s v="SM"/>
    <s v="CM"/>
    <s v="SM"/>
    <s v="CM"/>
    <s v="PASS"/>
    <s v="NA"/>
    <s v="2122"/>
    <s v="Jan"/>
    <s v="RP"/>
  </r>
  <r>
    <n v="525"/>
    <s v="2122L61097"/>
    <n v="2122266"/>
    <s v="CC382146"/>
    <x v="36"/>
    <d v="2022-01-03T00:00:00"/>
    <d v="1899-12-30T12:38:47"/>
    <s v="Jan"/>
    <n v="210400"/>
    <s v="INR"/>
    <n v="37620"/>
    <s v="E111"/>
    <s v="E118"/>
    <s v="NA"/>
    <s v="NA"/>
    <s v="AM"/>
    <s v="DM"/>
    <s v="AM"/>
    <s v="DM"/>
    <s v="PASS"/>
    <s v="NA"/>
    <s v="2122"/>
    <s v="Jan"/>
    <s v="NON-RP"/>
  </r>
  <r>
    <n v="526"/>
    <s v="2122G61001"/>
    <n v="2122267"/>
    <s v="CC746242"/>
    <x v="10"/>
    <d v="2022-01-06T00:00:00"/>
    <d v="1899-12-30T12:29:16"/>
    <s v="Jan"/>
    <n v="208970"/>
    <s v="INR"/>
    <n v="37260"/>
    <s v="E113"/>
    <s v="E118"/>
    <s v="NA"/>
    <s v="NA"/>
    <s v="AM"/>
    <s v="DM"/>
    <s v="AM"/>
    <s v="DM"/>
    <s v="PASS"/>
    <s v="NA"/>
    <s v="2122"/>
    <s v="Jan"/>
    <s v="NON-RP"/>
  </r>
  <r>
    <n v="527"/>
    <s v="2122X61950"/>
    <n v="2122268"/>
    <s v="CC143410"/>
    <x v="18"/>
    <d v="2022-01-10T00:00:00"/>
    <d v="1899-12-30T11:43:17"/>
    <s v="Jan"/>
    <n v="338270"/>
    <s v="INR"/>
    <n v="60840"/>
    <s v="E111"/>
    <s v="E119"/>
    <s v="NA"/>
    <s v="NA"/>
    <s v="AM"/>
    <s v="DM"/>
    <s v="AM"/>
    <s v="DM"/>
    <s v="PASS"/>
    <s v="NA"/>
    <s v="2122"/>
    <s v="Jan"/>
    <s v="NON-RP"/>
  </r>
  <r>
    <n v="528"/>
    <s v="2122C81722"/>
    <n v="2122269"/>
    <s v="CC465295"/>
    <x v="34"/>
    <d v="2022-01-10T00:00:00"/>
    <d v="1899-12-30T16:18:41"/>
    <s v="Jan"/>
    <n v="373910"/>
    <s v="INR"/>
    <n v="66960"/>
    <s v="E110"/>
    <s v="E118"/>
    <s v="NA"/>
    <s v="NA"/>
    <s v="AM"/>
    <s v="DM"/>
    <s v="AM"/>
    <s v="DM"/>
    <s v="PASS"/>
    <s v="NA"/>
    <s v="2122"/>
    <s v="Jan"/>
    <s v="NON-RP"/>
  </r>
  <r>
    <n v="529"/>
    <s v="2122G31114"/>
    <n v="2122270"/>
    <s v="CC999327"/>
    <x v="24"/>
    <d v="2022-01-10T00:00:00"/>
    <d v="1899-12-30T17:33:04"/>
    <s v="Jan"/>
    <n v="462870"/>
    <s v="INR"/>
    <n v="82980"/>
    <s v="E115"/>
    <s v="E121"/>
    <s v="NA"/>
    <s v="NA"/>
    <s v="AM"/>
    <s v="DM"/>
    <s v="AM"/>
    <s v="DM"/>
    <s v="PASS"/>
    <s v="NA"/>
    <s v="2122"/>
    <s v="Jan"/>
    <s v="NON-RP"/>
  </r>
  <r>
    <n v="530"/>
    <s v="2122D91427"/>
    <n v="2122271"/>
    <s v="CC254989"/>
    <x v="3"/>
    <d v="2022-01-11T00:00:00"/>
    <d v="1899-12-30T16:38:13"/>
    <s v="Jan"/>
    <n v="352840"/>
    <s v="INR"/>
    <n v="63360"/>
    <s v="E111"/>
    <s v="E119"/>
    <s v="NA"/>
    <s v="NA"/>
    <s v="AM"/>
    <s v="DM"/>
    <s v="AM"/>
    <s v="DM"/>
    <s v="PASS"/>
    <s v="NA"/>
    <s v="2122"/>
    <s v="Jan"/>
    <s v="NON-RP"/>
  </r>
  <r>
    <n v="531"/>
    <s v="2122Q21513"/>
    <n v="2122272"/>
    <s v="CC934820"/>
    <x v="19"/>
    <d v="2022-01-11T00:00:00"/>
    <d v="1899-12-30T13:56:24"/>
    <s v="Jan"/>
    <n v="303440"/>
    <s v="INR"/>
    <n v="54360"/>
    <s v="E114"/>
    <s v="E120"/>
    <s v="NA"/>
    <s v="NA"/>
    <s v="AM"/>
    <s v="DM"/>
    <s v="AM"/>
    <s v="DM"/>
    <s v="PASS"/>
    <s v="NA"/>
    <s v="2122"/>
    <s v="Jan"/>
    <s v="NON-RP"/>
  </r>
  <r>
    <n v="532"/>
    <s v="2122F51875"/>
    <n v="2122273"/>
    <s v="CC738544"/>
    <x v="4"/>
    <d v="2022-01-12T00:00:00"/>
    <d v="1899-12-30T11:30:19"/>
    <s v="Jan"/>
    <n v="492290"/>
    <s v="INR"/>
    <n v="88380"/>
    <s v="E113"/>
    <s v="E117"/>
    <s v="NA"/>
    <s v="NA"/>
    <s v="AM"/>
    <s v="DM"/>
    <s v="AM"/>
    <s v="DM"/>
    <s v="PASS"/>
    <s v="NA"/>
    <s v="2122"/>
    <s v="Jan"/>
    <s v="NON-RP"/>
  </r>
  <r>
    <n v="533"/>
    <s v="2122V01680"/>
    <n v="2122274"/>
    <s v="CC442974"/>
    <x v="41"/>
    <d v="2022-01-12T00:00:00"/>
    <d v="1899-12-30T13:30:51"/>
    <s v="Jan"/>
    <n v="307090"/>
    <s v="INR"/>
    <n v="54900"/>
    <s v="E116"/>
    <s v="E118"/>
    <s v="NA"/>
    <s v="NA"/>
    <s v="AM"/>
    <s v="DM"/>
    <s v="AM"/>
    <s v="DM"/>
    <s v="PASS"/>
    <s v="NA"/>
    <s v="2122"/>
    <s v="Jan"/>
    <s v="NON-RP"/>
  </r>
  <r>
    <n v="534"/>
    <s v="2122U61368"/>
    <n v="2122275"/>
    <s v="CC332796"/>
    <x v="47"/>
    <d v="2022-01-16T00:00:00"/>
    <d v="1899-12-30T12:26:19"/>
    <s v="Jan"/>
    <n v="4847720"/>
    <s v="INR"/>
    <n v="872100"/>
    <s v="E125"/>
    <s v="E126"/>
    <s v="NA"/>
    <s v="NA"/>
    <s v="CM"/>
    <s v="CFO"/>
    <s v="CM"/>
    <s v="CFO"/>
    <s v="PASS"/>
    <s v="NA"/>
    <s v="2122"/>
    <s v="Jan"/>
    <s v="RP"/>
  </r>
  <r>
    <n v="535"/>
    <s v="2122P01743"/>
    <n v="2122276"/>
    <s v="CC248150"/>
    <x v="42"/>
    <d v="2022-01-13T00:00:00"/>
    <d v="1899-12-30T12:34:49"/>
    <s v="Jan"/>
    <n v="434150"/>
    <s v="INR"/>
    <n v="77760"/>
    <s v="E115"/>
    <s v="E119"/>
    <s v="NA"/>
    <s v="NA"/>
    <s v="AM"/>
    <s v="DM"/>
    <s v="AM"/>
    <s v="DM"/>
    <s v="PASS"/>
    <s v="NA"/>
    <s v="2122"/>
    <s v="Jan"/>
    <s v="NON-RP"/>
  </r>
  <r>
    <n v="536"/>
    <s v="2122I81670"/>
    <n v="2122277"/>
    <s v="CC695273"/>
    <x v="41"/>
    <d v="2022-01-14T00:00:00"/>
    <d v="1899-12-30T13:21:52"/>
    <s v="Jan"/>
    <n v="220400"/>
    <s v="INR"/>
    <n v="39600"/>
    <s v="E115"/>
    <s v="E120"/>
    <s v="NA"/>
    <s v="NA"/>
    <s v="AM"/>
    <s v="DM"/>
    <s v="AM"/>
    <s v="DM"/>
    <s v="PASS"/>
    <s v="NA"/>
    <s v="2122"/>
    <s v="Jan"/>
    <s v="NON-RP"/>
  </r>
  <r>
    <n v="537"/>
    <s v="2122V31173"/>
    <n v="2122278"/>
    <s v="CC795926"/>
    <x v="6"/>
    <d v="2022-01-15T00:00:00"/>
    <d v="1899-12-30T16:06:14"/>
    <s v="Jan"/>
    <n v="35350"/>
    <s v="INR"/>
    <n v="6120"/>
    <s v="E106"/>
    <s v="E115"/>
    <s v="NA"/>
    <s v="NA"/>
    <s v="SE"/>
    <s v="AM"/>
    <s v="SE"/>
    <s v="AM"/>
    <s v="PASS"/>
    <s v="NA"/>
    <s v="2122"/>
    <s v="Jan"/>
    <s v="NON-RP"/>
  </r>
  <r>
    <n v="538"/>
    <s v="2122S62000"/>
    <n v="2122279"/>
    <s v="CC885617"/>
    <x v="37"/>
    <d v="2022-01-17T00:00:00"/>
    <d v="1899-12-30T13:44:43"/>
    <s v="Jan"/>
    <n v="461940"/>
    <s v="INR"/>
    <n v="82980"/>
    <s v="E112"/>
    <s v="E118"/>
    <s v="NA"/>
    <s v="NA"/>
    <s v="AM"/>
    <s v="DM"/>
    <s v="AM"/>
    <s v="DM"/>
    <s v="PASS"/>
    <s v="NA"/>
    <s v="2122"/>
    <s v="Jan"/>
    <s v="NON-RP"/>
  </r>
  <r>
    <n v="539"/>
    <s v="2122K71713"/>
    <n v="2122280"/>
    <s v="CC551461"/>
    <x v="11"/>
    <d v="2022-01-17T00:00:00"/>
    <d v="1899-12-30T17:56:57"/>
    <s v="Jan"/>
    <n v="36930"/>
    <s v="INR"/>
    <n v="6300"/>
    <s v="E104"/>
    <s v="E113"/>
    <s v="NA"/>
    <s v="NA"/>
    <s v="SE"/>
    <s v="AM"/>
    <s v="SE"/>
    <s v="AM"/>
    <s v="PASS"/>
    <s v="NA"/>
    <s v="2122"/>
    <s v="Jan"/>
    <s v="NON-RP"/>
  </r>
  <r>
    <n v="540"/>
    <s v="2122W81761"/>
    <n v="2122281"/>
    <s v="CC672893"/>
    <x v="20"/>
    <d v="2022-01-22T00:00:00"/>
    <d v="1899-12-30T19:25:00"/>
    <s v="Jan"/>
    <n v="4651520"/>
    <s v="INR"/>
    <n v="836820"/>
    <s v="E125"/>
    <s v="E126"/>
    <s v="NA"/>
    <s v="NA"/>
    <s v="CM"/>
    <s v="CFO"/>
    <s v="CM"/>
    <s v="CFO"/>
    <s v="PASS"/>
    <s v="NA"/>
    <s v="2122"/>
    <s v="Jan"/>
    <s v="RP"/>
  </r>
  <r>
    <n v="541"/>
    <s v="2122P81589"/>
    <n v="2122282"/>
    <s v="CC730447"/>
    <x v="11"/>
    <d v="2022-01-19T00:00:00"/>
    <d v="1899-12-30T15:20:01"/>
    <s v="Jan"/>
    <n v="23120"/>
    <s v="INR"/>
    <n v="4140"/>
    <s v="E107"/>
    <s v="E111"/>
    <s v="NA"/>
    <s v="NA"/>
    <s v="SE"/>
    <s v="AM"/>
    <s v="SE"/>
    <s v="AM"/>
    <s v="PASS"/>
    <s v="NA"/>
    <s v="2122"/>
    <s v="Jan"/>
    <s v="NON-RP"/>
  </r>
  <r>
    <n v="542"/>
    <s v="2122H61759"/>
    <n v="2122283"/>
    <s v="CC245152"/>
    <x v="35"/>
    <d v="2022-01-20T00:00:00"/>
    <d v="1899-12-30T12:37:37"/>
    <s v="Jan"/>
    <n v="427480"/>
    <s v="INR"/>
    <n v="76860"/>
    <s v="E114"/>
    <s v="E121"/>
    <s v="NA"/>
    <s v="NA"/>
    <s v="AM"/>
    <s v="DM"/>
    <s v="AM"/>
    <s v="DM"/>
    <s v="PASS"/>
    <s v="NA"/>
    <s v="2122"/>
    <s v="Jan"/>
    <s v="NON-RP"/>
  </r>
  <r>
    <n v="543"/>
    <s v="2122D61097"/>
    <n v="2122284"/>
    <s v="CC893209"/>
    <x v="21"/>
    <d v="2022-01-20T00:00:00"/>
    <d v="1899-12-30T17:01:17"/>
    <s v="Jan"/>
    <n v="29260"/>
    <s v="INR"/>
    <n v="5040"/>
    <s v="E109"/>
    <s v="E111"/>
    <s v="NA"/>
    <s v="NA"/>
    <s v="SE"/>
    <s v="AM"/>
    <s v="SE"/>
    <s v="AM"/>
    <s v="PASS"/>
    <s v="NA"/>
    <s v="2122"/>
    <s v="Jan"/>
    <s v="NON-RP"/>
  </r>
  <r>
    <n v="544"/>
    <s v="2122Z91735"/>
    <n v="2122285"/>
    <s v="CC962087"/>
    <x v="4"/>
    <d v="2022-01-20T00:00:00"/>
    <d v="1899-12-30T10:42:24"/>
    <s v="Jan"/>
    <n v="6181180"/>
    <s v="INR"/>
    <n v="1112220"/>
    <s v="E125"/>
    <s v="E126"/>
    <s v="Approved"/>
    <s v="BM/CC962087C213"/>
    <s v="CM"/>
    <s v="CFO"/>
    <s v="CM"/>
    <s v="CFO"/>
    <s v="PASS"/>
    <s v="PASS"/>
    <s v="2122"/>
    <s v="Jan"/>
    <s v="NON-RP"/>
  </r>
  <r>
    <n v="545"/>
    <s v="2122N11891"/>
    <n v="2122286"/>
    <s v="CC542097"/>
    <x v="17"/>
    <d v="2022-01-22T00:00:00"/>
    <d v="1899-12-30T11:54:52"/>
    <s v="Jan"/>
    <n v="41050"/>
    <s v="INR"/>
    <n v="7020"/>
    <s v="E101"/>
    <s v="E114"/>
    <s v="NA"/>
    <s v="NA"/>
    <s v="SE"/>
    <s v="AM"/>
    <s v="SE"/>
    <s v="AM"/>
    <s v="PASS"/>
    <s v="NA"/>
    <s v="2122"/>
    <s v="Jan"/>
    <s v="NON-RP"/>
  </r>
  <r>
    <n v="546"/>
    <s v="2122F11571"/>
    <n v="2122287"/>
    <s v="CC951164"/>
    <x v="11"/>
    <d v="2022-01-22T00:00:00"/>
    <d v="1899-12-30T12:13:42"/>
    <s v="Jan"/>
    <n v="470540"/>
    <s v="INR"/>
    <n v="84240"/>
    <s v="E113"/>
    <s v="E120"/>
    <s v="NA"/>
    <s v="NA"/>
    <s v="AM"/>
    <s v="DM"/>
    <s v="AM"/>
    <s v="DM"/>
    <s v="PASS"/>
    <s v="NA"/>
    <s v="2122"/>
    <s v="Jan"/>
    <s v="NON-RP"/>
  </r>
  <r>
    <n v="547"/>
    <s v="2122T01886"/>
    <n v="2122288"/>
    <s v="CC495320"/>
    <x v="28"/>
    <d v="2022-01-24T00:00:00"/>
    <d v="1899-12-30T11:51:08"/>
    <s v="Jan"/>
    <n v="37310"/>
    <s v="INR"/>
    <n v="6660"/>
    <s v="E109"/>
    <s v="E115"/>
    <s v="NA"/>
    <s v="NA"/>
    <s v="SE"/>
    <s v="AM"/>
    <s v="SE"/>
    <s v="AM"/>
    <s v="PASS"/>
    <s v="NA"/>
    <s v="2122"/>
    <s v="Jan"/>
    <s v="NON-RP"/>
  </r>
  <r>
    <n v="548"/>
    <s v="2122Q61371"/>
    <n v="2122289"/>
    <s v="CC108757"/>
    <x v="29"/>
    <d v="2022-01-25T00:00:00"/>
    <d v="1899-12-30T11:39:04"/>
    <s v="Jan"/>
    <n v="4724620"/>
    <s v="INR"/>
    <n v="850320"/>
    <s v="E125"/>
    <s v="E126"/>
    <s v="NA"/>
    <s v="NA"/>
    <s v="CM"/>
    <s v="CFO"/>
    <s v="CM"/>
    <s v="CFO"/>
    <s v="PASS"/>
    <s v="NA"/>
    <s v="2122"/>
    <s v="Jan"/>
    <s v="NON-RP"/>
  </r>
  <r>
    <n v="549"/>
    <s v="2122K81278"/>
    <n v="2122290"/>
    <s v="CC876017"/>
    <x v="21"/>
    <d v="2022-01-25T00:00:00"/>
    <d v="1899-12-30T17:42:15"/>
    <s v="Jan"/>
    <n v="33250"/>
    <s v="INR"/>
    <n v="5940"/>
    <s v="E101"/>
    <s v="E112"/>
    <s v="NA"/>
    <s v="NA"/>
    <s v="SE"/>
    <s v="AM"/>
    <s v="SE"/>
    <s v="AM"/>
    <s v="PASS"/>
    <s v="NA"/>
    <s v="2122"/>
    <s v="Jan"/>
    <s v="NON-RP"/>
  </r>
  <r>
    <n v="550"/>
    <s v="2122V31640"/>
    <n v="2122291"/>
    <s v="CC658147"/>
    <x v="3"/>
    <d v="2022-01-26T00:00:00"/>
    <d v="1899-12-30T14:16:38"/>
    <s v="Jan"/>
    <n v="41260"/>
    <s v="INR"/>
    <n v="7020"/>
    <s v="E108"/>
    <s v="E116"/>
    <s v="NA"/>
    <s v="NA"/>
    <s v="SE"/>
    <s v="AM"/>
    <s v="SE"/>
    <s v="AM"/>
    <s v="PASS"/>
    <s v="NA"/>
    <s v="2122"/>
    <s v="Jan"/>
    <s v="NON-RP"/>
  </r>
  <r>
    <n v="551"/>
    <s v="2122Q61526"/>
    <n v="2122292"/>
    <s v="CC800130"/>
    <x v="3"/>
    <d v="2022-01-27T00:00:00"/>
    <d v="1899-12-30T15:16:47"/>
    <s v="Jan"/>
    <n v="375630"/>
    <s v="INR"/>
    <n v="67140"/>
    <s v="E110"/>
    <s v="E119"/>
    <s v="NA"/>
    <s v="NA"/>
    <s v="AM"/>
    <s v="DM"/>
    <s v="AM"/>
    <s v="DM"/>
    <s v="PASS"/>
    <s v="NA"/>
    <s v="2122"/>
    <s v="Jan"/>
    <s v="NON-RP"/>
  </r>
  <r>
    <n v="552"/>
    <s v="2122L41908"/>
    <n v="2122293"/>
    <s v="CC875178"/>
    <x v="10"/>
    <d v="2022-01-28T00:00:00"/>
    <d v="1899-12-30T12:10:08"/>
    <s v="Jan"/>
    <n v="258730"/>
    <s v="INR"/>
    <n v="46080"/>
    <s v="E110"/>
    <s v="E119"/>
    <s v="NA"/>
    <s v="NA"/>
    <s v="AM"/>
    <s v="DM"/>
    <s v="AM"/>
    <s v="DM"/>
    <s v="PASS"/>
    <s v="NA"/>
    <s v="2122"/>
    <s v="Jan"/>
    <s v="NON-RP"/>
  </r>
  <r>
    <n v="553"/>
    <s v="2122N11632"/>
    <n v="2122294"/>
    <s v="CC979929"/>
    <x v="37"/>
    <d v="2022-01-29T00:00:00"/>
    <d v="1899-12-30T17:41:55"/>
    <s v="Jan"/>
    <n v="474250"/>
    <s v="INR"/>
    <n v="85320"/>
    <s v="E111"/>
    <s v="E121"/>
    <s v="NA"/>
    <s v="NA"/>
    <s v="AM"/>
    <s v="DM"/>
    <s v="AM"/>
    <s v="DM"/>
    <s v="PASS"/>
    <s v="NA"/>
    <s v="2122"/>
    <s v="Jan"/>
    <s v="NON-RP"/>
  </r>
  <r>
    <n v="554"/>
    <s v="2122I71629"/>
    <n v="2122295"/>
    <s v="CC992885"/>
    <x v="2"/>
    <d v="2022-01-31T00:00:00"/>
    <d v="1899-12-30T12:44:44"/>
    <s v="Jan"/>
    <n v="469070"/>
    <s v="INR"/>
    <n v="84240"/>
    <s v="E112"/>
    <s v="E121"/>
    <s v="NA"/>
    <s v="NA"/>
    <s v="AM"/>
    <s v="DM"/>
    <s v="AM"/>
    <s v="DM"/>
    <s v="PASS"/>
    <s v="NA"/>
    <s v="2122"/>
    <s v="Jan"/>
    <s v="NON-RP"/>
  </r>
  <r>
    <n v="555"/>
    <s v="2122U31007"/>
    <n v="2122296"/>
    <s v="CC987022"/>
    <x v="9"/>
    <d v="2022-01-31T00:00:00"/>
    <d v="1899-12-30T10:25:57"/>
    <s v="Jan"/>
    <n v="374000"/>
    <s v="INR"/>
    <n v="66960"/>
    <s v="E110"/>
    <s v="E119"/>
    <s v="NA"/>
    <s v="NA"/>
    <s v="AM"/>
    <s v="DM"/>
    <s v="AM"/>
    <s v="DM"/>
    <s v="PASS"/>
    <s v="NA"/>
    <s v="2122"/>
    <s v="Jan"/>
    <s v="NON-RP"/>
  </r>
  <r>
    <n v="556"/>
    <s v="2122J01967"/>
    <n v="2122297"/>
    <s v="CC407460"/>
    <x v="34"/>
    <d v="2022-02-02T00:00:00"/>
    <d v="1899-12-30T12:17:26"/>
    <s v="Feb"/>
    <n v="309640"/>
    <s v="INR"/>
    <n v="55260"/>
    <s v="E110"/>
    <s v="E117"/>
    <s v="NA"/>
    <s v="NA"/>
    <s v="AM"/>
    <s v="DM"/>
    <s v="AM"/>
    <s v="DM"/>
    <s v="PASS"/>
    <s v="NA"/>
    <s v="2122"/>
    <s v="Feb"/>
    <s v="NON-RP"/>
  </r>
  <r>
    <n v="557"/>
    <s v="2122J61173"/>
    <n v="2122298"/>
    <s v="CC555392"/>
    <x v="24"/>
    <d v="2022-02-02T00:00:00"/>
    <d v="1899-12-30T16:26:33"/>
    <s v="Feb"/>
    <n v="334090"/>
    <s v="INR"/>
    <n v="59760"/>
    <s v="E111"/>
    <s v="E121"/>
    <s v="NA"/>
    <s v="NA"/>
    <s v="AM"/>
    <s v="DM"/>
    <s v="AM"/>
    <s v="DM"/>
    <s v="PASS"/>
    <s v="NA"/>
    <s v="2122"/>
    <s v="Feb"/>
    <s v="NON-RP"/>
  </r>
  <r>
    <n v="558"/>
    <s v="2122T81846"/>
    <n v="2122299"/>
    <s v="CC715776"/>
    <x v="35"/>
    <d v="2022-02-03T00:00:00"/>
    <d v="1899-12-30T15:50:25"/>
    <s v="Feb"/>
    <n v="390070"/>
    <s v="INR"/>
    <n v="70020"/>
    <s v="E111"/>
    <s v="E119"/>
    <s v="NA"/>
    <s v="NA"/>
    <s v="AM"/>
    <s v="DM"/>
    <s v="AM"/>
    <s v="DM"/>
    <s v="PASS"/>
    <s v="NA"/>
    <s v="2122"/>
    <s v="Feb"/>
    <s v="NON-RP"/>
  </r>
  <r>
    <n v="559"/>
    <s v="2122O71090"/>
    <n v="2122300"/>
    <s v="CC889578"/>
    <x v="46"/>
    <d v="2022-02-04T00:00:00"/>
    <d v="1899-12-30T17:44:59"/>
    <s v="Feb"/>
    <n v="493930"/>
    <s v="INR"/>
    <n v="88560"/>
    <s v="E112"/>
    <s v="E120"/>
    <s v="NA"/>
    <s v="NA"/>
    <s v="AM"/>
    <s v="DM"/>
    <s v="AM"/>
    <s v="DM"/>
    <s v="PASS"/>
    <s v="NA"/>
    <s v="2122"/>
    <s v="Feb"/>
    <s v="RP"/>
  </r>
  <r>
    <n v="560"/>
    <s v="2122N21219"/>
    <n v="2122301"/>
    <s v="CC438197"/>
    <x v="18"/>
    <d v="2022-02-04T00:00:00"/>
    <d v="1899-12-30T14:05:28"/>
    <s v="Feb"/>
    <n v="331430"/>
    <s v="INR"/>
    <n v="59220"/>
    <s v="E114"/>
    <s v="E121"/>
    <s v="NA"/>
    <s v="NA"/>
    <s v="AM"/>
    <s v="DM"/>
    <s v="AM"/>
    <s v="DM"/>
    <s v="PASS"/>
    <s v="NA"/>
    <s v="2122"/>
    <s v="Feb"/>
    <s v="NON-RP"/>
  </r>
  <r>
    <n v="561"/>
    <s v="2122I61648"/>
    <n v="2122302"/>
    <s v="CC358877"/>
    <x v="2"/>
    <d v="2022-02-07T00:00:00"/>
    <d v="1899-12-30T15:01:33"/>
    <s v="Feb"/>
    <n v="214780"/>
    <s v="INR"/>
    <n v="38340"/>
    <s v="E112"/>
    <s v="E119"/>
    <s v="NA"/>
    <s v="NA"/>
    <s v="AM"/>
    <s v="DM"/>
    <s v="AM"/>
    <s v="DM"/>
    <s v="PASS"/>
    <s v="NA"/>
    <s v="2122"/>
    <s v="Feb"/>
    <s v="NON-RP"/>
  </r>
  <r>
    <n v="562"/>
    <s v="2122B21220"/>
    <n v="2122303"/>
    <s v="CC832673"/>
    <x v="7"/>
    <d v="2022-02-07T00:00:00"/>
    <d v="1899-12-30T15:03:24"/>
    <s v="Feb"/>
    <n v="391210"/>
    <s v="INR"/>
    <n v="70200"/>
    <s v="E115"/>
    <s v="E119"/>
    <s v="NA"/>
    <s v="NA"/>
    <s v="AM"/>
    <s v="DM"/>
    <s v="AM"/>
    <s v="DM"/>
    <s v="PASS"/>
    <s v="NA"/>
    <s v="2122"/>
    <s v="Feb"/>
    <s v="NON-RP"/>
  </r>
  <r>
    <n v="563"/>
    <s v="2122Z71163"/>
    <n v="2122304"/>
    <s v="CC801174"/>
    <x v="31"/>
    <d v="2022-02-08T00:00:00"/>
    <d v="1899-12-30T14:46:19"/>
    <s v="Feb"/>
    <n v="375580"/>
    <s v="INR"/>
    <n v="67140"/>
    <s v="E111"/>
    <s v="E118"/>
    <s v="NA"/>
    <s v="NA"/>
    <s v="AM"/>
    <s v="DM"/>
    <s v="AM"/>
    <s v="DM"/>
    <s v="PASS"/>
    <s v="NA"/>
    <s v="2122"/>
    <s v="Feb"/>
    <s v="NON-RP"/>
  </r>
  <r>
    <n v="564"/>
    <s v="2122S01090"/>
    <n v="2122305"/>
    <s v="CC808662"/>
    <x v="44"/>
    <d v="2022-02-10T00:00:00"/>
    <d v="1899-12-30T10:52:15"/>
    <s v="Feb"/>
    <n v="42400"/>
    <s v="INR"/>
    <n v="7200"/>
    <s v="E103"/>
    <s v="E115"/>
    <s v="NA"/>
    <s v="NA"/>
    <s v="SE"/>
    <s v="AM"/>
    <s v="SE"/>
    <s v="AM"/>
    <s v="PASS"/>
    <s v="NA"/>
    <s v="2122"/>
    <s v="Feb"/>
    <s v="RP"/>
  </r>
  <r>
    <n v="565"/>
    <s v="2122Z81103"/>
    <n v="2122306"/>
    <s v="CC511907"/>
    <x v="39"/>
    <d v="2022-02-12T00:00:00"/>
    <d v="1899-12-30T15:04:57"/>
    <s v="Feb"/>
    <n v="36250"/>
    <s v="INR"/>
    <n v="6480"/>
    <s v="E106"/>
    <s v="E116"/>
    <s v="NA"/>
    <s v="NA"/>
    <s v="SE"/>
    <s v="AM"/>
    <s v="SE"/>
    <s v="AM"/>
    <s v="PASS"/>
    <s v="NA"/>
    <s v="2122"/>
    <s v="Feb"/>
    <s v="NON-RP"/>
  </r>
  <r>
    <n v="566"/>
    <s v="2122R31053"/>
    <n v="2122307"/>
    <s v="CC519270"/>
    <x v="27"/>
    <d v="2022-02-12T00:00:00"/>
    <d v="1899-12-30T14:08:48"/>
    <s v="Feb"/>
    <n v="36140"/>
    <s v="INR"/>
    <n v="6480"/>
    <s v="E107"/>
    <s v="E113"/>
    <s v="NA"/>
    <s v="NA"/>
    <s v="SE"/>
    <s v="AM"/>
    <s v="SE"/>
    <s v="AM"/>
    <s v="PASS"/>
    <s v="NA"/>
    <s v="2122"/>
    <s v="Feb"/>
    <s v="NON-RP"/>
  </r>
  <r>
    <n v="567"/>
    <s v="2122F71740"/>
    <n v="2122308"/>
    <s v="CC544672"/>
    <x v="47"/>
    <d v="2022-02-14T00:00:00"/>
    <d v="1899-12-30T17:26:39"/>
    <s v="Feb"/>
    <n v="49630"/>
    <s v="INR"/>
    <n v="8640"/>
    <s v="E109"/>
    <s v="E113"/>
    <s v="NA"/>
    <s v="NA"/>
    <s v="SE"/>
    <s v="AM"/>
    <s v="SE"/>
    <s v="AM"/>
    <s v="PASS"/>
    <s v="NA"/>
    <s v="2122"/>
    <s v="Feb"/>
    <s v="RP"/>
  </r>
  <r>
    <n v="568"/>
    <s v="2122F71004"/>
    <n v="2122309"/>
    <s v="CC979809"/>
    <x v="23"/>
    <d v="2022-02-15T00:00:00"/>
    <d v="1899-12-30T17:38:37"/>
    <s v="Jan"/>
    <n v="37690"/>
    <s v="INR"/>
    <n v="6480"/>
    <s v="E103"/>
    <s v="E110"/>
    <s v="NA"/>
    <s v="NA"/>
    <s v="SE"/>
    <s v="AM"/>
    <s v="SE"/>
    <s v="AM"/>
    <s v="PASS"/>
    <s v="NA"/>
    <s v="2122"/>
    <s v="Feb"/>
    <s v="NON-RP"/>
  </r>
  <r>
    <n v="569"/>
    <s v="2122H61434"/>
    <n v="2122310"/>
    <s v="CC472118"/>
    <x v="45"/>
    <d v="2022-02-15T00:00:00"/>
    <d v="1899-12-30T12:26:15"/>
    <s v="Feb"/>
    <n v="28720"/>
    <s v="INR"/>
    <n v="4860"/>
    <s v="E100"/>
    <s v="E116"/>
    <s v="NA"/>
    <s v="NA"/>
    <s v="SE"/>
    <s v="AM"/>
    <s v="SE"/>
    <s v="AM"/>
    <s v="PASS"/>
    <s v="NA"/>
    <s v="2122"/>
    <s v="Feb"/>
    <s v="NON-RP"/>
  </r>
  <r>
    <n v="570"/>
    <s v="2122V92000"/>
    <n v="2122311"/>
    <s v="CC452480"/>
    <x v="26"/>
    <d v="2022-02-16T00:00:00"/>
    <d v="1899-12-30T13:42:30"/>
    <s v="Feb"/>
    <n v="28380"/>
    <s v="INR"/>
    <n v="4680"/>
    <s v="E108"/>
    <s v="E116"/>
    <s v="NA"/>
    <s v="NA"/>
    <s v="SE"/>
    <s v="AM"/>
    <s v="SE"/>
    <s v="AM"/>
    <s v="PASS"/>
    <s v="NA"/>
    <s v="2122"/>
    <s v="Feb"/>
    <s v="NON-RP"/>
  </r>
  <r>
    <n v="571"/>
    <s v="2122O81518"/>
    <n v="2122312"/>
    <s v="CC972557"/>
    <x v="48"/>
    <d v="2022-02-18T00:00:00"/>
    <d v="1899-12-30T11:40:41"/>
    <s v="Feb"/>
    <n v="25650"/>
    <s v="INR"/>
    <n v="4320"/>
    <s v="E103"/>
    <s v="E112"/>
    <s v="NA"/>
    <s v="NA"/>
    <s v="SE"/>
    <s v="AM"/>
    <s v="SE"/>
    <s v="AM"/>
    <s v="PASS"/>
    <s v="NA"/>
    <s v="2122"/>
    <s v="Feb"/>
    <s v="NON-RP"/>
  </r>
  <r>
    <n v="572"/>
    <s v="2122U51882"/>
    <n v="2122313"/>
    <s v="CC193628"/>
    <x v="42"/>
    <d v="2022-02-18T00:00:00"/>
    <d v="1899-12-30T14:16:22"/>
    <s v="Feb"/>
    <n v="40930"/>
    <s v="INR"/>
    <n v="7020"/>
    <s v="E101"/>
    <s v="E114"/>
    <s v="NA"/>
    <s v="NA"/>
    <s v="SE"/>
    <s v="AM"/>
    <s v="SE"/>
    <s v="AM"/>
    <s v="PASS"/>
    <s v="NA"/>
    <s v="2122"/>
    <s v="Feb"/>
    <s v="NON-RP"/>
  </r>
  <r>
    <n v="573"/>
    <s v="2122D81263"/>
    <n v="2122314"/>
    <s v="CC315155"/>
    <x v="37"/>
    <d v="2022-02-19T00:00:00"/>
    <d v="1899-12-30T10:37:08"/>
    <s v="Jan"/>
    <n v="29840"/>
    <s v="INR"/>
    <n v="5220"/>
    <s v="E107"/>
    <s v="E114"/>
    <s v="NA"/>
    <s v="NA"/>
    <s v="SE"/>
    <s v="AM"/>
    <s v="SE"/>
    <s v="AM"/>
    <s v="PASS"/>
    <s v="NA"/>
    <s v="2122"/>
    <s v="Feb"/>
    <s v="NON-RP"/>
  </r>
  <r>
    <n v="574"/>
    <s v="2122M11982"/>
    <n v="2122315"/>
    <s v="CC817711"/>
    <x v="43"/>
    <d v="2022-02-21T00:00:00"/>
    <d v="1899-12-30T14:23:11"/>
    <s v="Feb"/>
    <n v="328880"/>
    <s v="INR"/>
    <n v="59040"/>
    <s v="E110"/>
    <s v="E120"/>
    <s v="NA"/>
    <s v="NA"/>
    <s v="AM"/>
    <s v="DM"/>
    <s v="AM"/>
    <s v="DM"/>
    <s v="PASS"/>
    <s v="NA"/>
    <s v="2122"/>
    <s v="Feb"/>
    <s v="NON-RP"/>
  </r>
  <r>
    <n v="575"/>
    <s v="2122D81367"/>
    <n v="2122316"/>
    <s v="CC904214"/>
    <x v="17"/>
    <d v="2022-02-21T00:00:00"/>
    <d v="1899-12-30T10:00:34"/>
    <s v="Feb"/>
    <n v="4474800"/>
    <s v="INR"/>
    <n v="805140"/>
    <s v="E122"/>
    <s v="E125"/>
    <s v="NA"/>
    <s v="NA"/>
    <s v="SM"/>
    <s v="CM"/>
    <s v="SM"/>
    <s v="CM"/>
    <s v="PASS"/>
    <s v="NA"/>
    <s v="2122"/>
    <s v="Feb"/>
    <s v="NON-RP"/>
  </r>
  <r>
    <n v="576"/>
    <s v="2122G21024"/>
    <n v="2122317"/>
    <s v="CC610840"/>
    <x v="22"/>
    <d v="2022-02-24T00:00:00"/>
    <d v="1899-12-30T17:59:40"/>
    <s v="Feb"/>
    <n v="226040"/>
    <s v="INR"/>
    <n v="40320"/>
    <s v="E110"/>
    <s v="E119"/>
    <s v="NA"/>
    <s v="NA"/>
    <s v="AM"/>
    <s v="DM"/>
    <s v="AM"/>
    <s v="DM"/>
    <s v="PASS"/>
    <s v="NA"/>
    <s v="2122"/>
    <s v="Feb"/>
    <s v="NON-RP"/>
  </r>
  <r>
    <n v="577"/>
    <s v="2122J21867"/>
    <n v="2122318"/>
    <s v="CC305363"/>
    <x v="34"/>
    <d v="2022-02-24T00:00:00"/>
    <d v="1899-12-30T11:52:07"/>
    <s v="Feb"/>
    <n v="287210"/>
    <s v="INR"/>
    <n v="51480"/>
    <s v="E113"/>
    <s v="E120"/>
    <s v="NA"/>
    <s v="NA"/>
    <s v="AM"/>
    <s v="DM"/>
    <s v="AM"/>
    <s v="DM"/>
    <s v="PASS"/>
    <s v="NA"/>
    <s v="2122"/>
    <s v="Feb"/>
    <s v="NON-RP"/>
  </r>
  <r>
    <n v="578"/>
    <s v="2122M91789"/>
    <n v="2122319"/>
    <s v="CC472345"/>
    <x v="19"/>
    <d v="2022-02-26T00:00:00"/>
    <d v="1899-12-30T16:18:43"/>
    <s v="Feb"/>
    <n v="44400"/>
    <s v="INR"/>
    <n v="7920"/>
    <s v="E109"/>
    <s v="E110"/>
    <s v="NA"/>
    <s v="NA"/>
    <s v="SE"/>
    <s v="AM"/>
    <s v="SE"/>
    <s v="AM"/>
    <s v="PASS"/>
    <s v="NA"/>
    <s v="2122"/>
    <s v="Feb"/>
    <s v="NON-RP"/>
  </r>
  <r>
    <n v="579"/>
    <s v="2122W21441"/>
    <n v="2122320"/>
    <s v="CC444291"/>
    <x v="46"/>
    <d v="2022-02-28T00:00:00"/>
    <d v="1899-12-30T12:06:19"/>
    <s v="Jan"/>
    <n v="364910"/>
    <s v="INR"/>
    <n v="65340"/>
    <s v="E113"/>
    <s v="E117"/>
    <s v="NA"/>
    <s v="NA"/>
    <s v="AM"/>
    <s v="DM"/>
    <s v="AM"/>
    <s v="DM"/>
    <s v="PASS"/>
    <s v="NA"/>
    <s v="2122"/>
    <s v="Feb"/>
    <s v="RP"/>
  </r>
  <r>
    <n v="580"/>
    <s v="2122Y11228"/>
    <n v="2122321"/>
    <s v="CC913406"/>
    <x v="3"/>
    <d v="2022-02-28T00:00:00"/>
    <d v="1899-12-30T17:41:02"/>
    <s v="Feb"/>
    <n v="372850"/>
    <s v="INR"/>
    <n v="66780"/>
    <s v="E110"/>
    <s v="E118"/>
    <s v="NA"/>
    <s v="NA"/>
    <s v="AM"/>
    <s v="DM"/>
    <s v="AM"/>
    <s v="DM"/>
    <s v="PASS"/>
    <s v="NA"/>
    <s v="2122"/>
    <s v="Feb"/>
    <s v="NON-RP"/>
  </r>
  <r>
    <n v="581"/>
    <s v="2122X31510"/>
    <n v="2122322"/>
    <s v="CC887540"/>
    <x v="17"/>
    <d v="2022-02-28T00:00:00"/>
    <d v="1899-12-30T12:36:15"/>
    <s v="Feb"/>
    <n v="2734330"/>
    <s v="INR"/>
    <n v="491940"/>
    <s v="E123"/>
    <s v="E125"/>
    <s v="NA"/>
    <s v="NA"/>
    <s v="SM"/>
    <s v="CM"/>
    <s v="SM"/>
    <s v="CM"/>
    <s v="PASS"/>
    <s v="NA"/>
    <s v="2122"/>
    <s v="Feb"/>
    <s v="NON-RP"/>
  </r>
  <r>
    <n v="582"/>
    <s v="2122Z41398"/>
    <n v="2122323"/>
    <s v="CC250641"/>
    <x v="17"/>
    <d v="2022-02-28T00:00:00"/>
    <d v="1899-12-30T12:48:06"/>
    <s v="Feb"/>
    <n v="252560"/>
    <s v="INR"/>
    <n v="45000"/>
    <s v="E111"/>
    <s v="E120"/>
    <s v="NA"/>
    <s v="NA"/>
    <s v="AM"/>
    <s v="DM"/>
    <s v="AM"/>
    <s v="DM"/>
    <s v="PASS"/>
    <s v="NA"/>
    <s v="2122"/>
    <s v="Feb"/>
    <s v="NON-RP"/>
  </r>
  <r>
    <n v="583"/>
    <s v="2122G11593"/>
    <n v="2122324"/>
    <s v="CC383194"/>
    <x v="22"/>
    <d v="2022-02-28T00:00:00"/>
    <d v="1899-12-30T12:26:52"/>
    <s v="Feb"/>
    <n v="464250"/>
    <s v="INR"/>
    <n v="83340"/>
    <s v="E116"/>
    <s v="E117"/>
    <s v="NA"/>
    <s v="NA"/>
    <s v="AM"/>
    <s v="DM"/>
    <s v="AM"/>
    <s v="DM"/>
    <s v="PASS"/>
    <s v="NA"/>
    <s v="2122"/>
    <s v="Feb"/>
    <s v="NON-RP"/>
  </r>
  <r>
    <n v="584"/>
    <s v="2122X31771"/>
    <n v="2122325"/>
    <s v="CC265814"/>
    <x v="42"/>
    <d v="2022-03-02T00:00:00"/>
    <d v="1899-12-30T11:51:29"/>
    <s v="Mar"/>
    <n v="314240"/>
    <s v="INR"/>
    <n v="56340"/>
    <s v="E116"/>
    <s v="E119"/>
    <s v="NA"/>
    <s v="NA"/>
    <s v="AM"/>
    <s v="DM"/>
    <s v="AM"/>
    <s v="DM"/>
    <s v="PASS"/>
    <s v="NA"/>
    <s v="2122"/>
    <s v="Mar"/>
    <s v="NON-RP"/>
  </r>
  <r>
    <n v="585"/>
    <s v="2122O21911"/>
    <n v="2122326"/>
    <s v="CC500468"/>
    <x v="43"/>
    <d v="2022-03-03T00:00:00"/>
    <d v="1899-12-30T15:03:40"/>
    <s v="Mar"/>
    <n v="400060"/>
    <s v="INR"/>
    <n v="71640"/>
    <s v="E115"/>
    <s v="E118"/>
    <s v="NA"/>
    <s v="NA"/>
    <s v="AM"/>
    <s v="DM"/>
    <s v="AM"/>
    <s v="DM"/>
    <s v="PASS"/>
    <s v="NA"/>
    <s v="2122"/>
    <s v="Mar"/>
    <s v="NON-RP"/>
  </r>
  <r>
    <n v="586"/>
    <s v="2122S71061"/>
    <n v="2122327"/>
    <s v="CC388908"/>
    <x v="31"/>
    <d v="2022-03-04T00:00:00"/>
    <d v="1899-12-30T12:35:01"/>
    <s v="Mar"/>
    <n v="353670"/>
    <s v="INR"/>
    <n v="63540"/>
    <s v="E113"/>
    <s v="E117"/>
    <s v="NA"/>
    <s v="NA"/>
    <s v="AM"/>
    <s v="DM"/>
    <s v="AM"/>
    <s v="DM"/>
    <s v="PASS"/>
    <s v="NA"/>
    <s v="2122"/>
    <s v="Mar"/>
    <s v="NON-RP"/>
  </r>
  <r>
    <n v="587"/>
    <s v="2122G31364"/>
    <n v="2122328"/>
    <s v="CC554784"/>
    <x v="4"/>
    <d v="2022-03-11T00:00:00"/>
    <d v="1899-12-30T15:52:51"/>
    <s v="Mar"/>
    <n v="333210"/>
    <s v="INR"/>
    <n v="59940"/>
    <s v="E110"/>
    <s v="E120"/>
    <s v="NA"/>
    <s v="NA"/>
    <s v="AM"/>
    <s v="DM"/>
    <s v="AM"/>
    <s v="DM"/>
    <s v="PASS"/>
    <s v="NA"/>
    <s v="2122"/>
    <s v="Mar"/>
    <s v="NON-RP"/>
  </r>
  <r>
    <n v="588"/>
    <s v="2122T21468"/>
    <n v="2122329"/>
    <s v="CC717904"/>
    <x v="19"/>
    <d v="2022-03-12T00:00:00"/>
    <d v="1899-12-30T17:55:23"/>
    <s v="Mar"/>
    <n v="319140"/>
    <s v="INR"/>
    <n v="57060"/>
    <s v="E114"/>
    <s v="E120"/>
    <s v="NA"/>
    <s v="NA"/>
    <s v="AM"/>
    <s v="DM"/>
    <s v="AM"/>
    <s v="DM"/>
    <s v="PASS"/>
    <s v="NA"/>
    <s v="2122"/>
    <s v="Mar"/>
    <s v="NON-RP"/>
  </r>
  <r>
    <n v="589"/>
    <s v="2122H41555"/>
    <n v="2122330"/>
    <s v="CC574535"/>
    <x v="17"/>
    <d v="2022-03-12T00:00:00"/>
    <d v="1899-12-30T12:16:24"/>
    <s v="Mar"/>
    <n v="242190"/>
    <s v="INR"/>
    <n v="43380"/>
    <s v="E114"/>
    <s v="E119"/>
    <s v="NA"/>
    <s v="NA"/>
    <s v="AM"/>
    <s v="DM"/>
    <s v="AM"/>
    <s v="DM"/>
    <s v="PASS"/>
    <s v="NA"/>
    <s v="2122"/>
    <s v="Mar"/>
    <s v="NON-RP"/>
  </r>
  <r>
    <n v="590"/>
    <s v="2122C71145"/>
    <n v="2122331"/>
    <s v="CC238390"/>
    <x v="35"/>
    <d v="2022-03-14T00:00:00"/>
    <d v="1899-12-30T16:46:50"/>
    <s v="Mar"/>
    <n v="213860"/>
    <s v="INR"/>
    <n v="37980"/>
    <s v="E115"/>
    <s v="E120"/>
    <s v="NA"/>
    <s v="NA"/>
    <s v="AM"/>
    <s v="DM"/>
    <s v="AM"/>
    <s v="DM"/>
    <s v="PASS"/>
    <s v="NA"/>
    <s v="2122"/>
    <s v="Mar"/>
    <s v="NON-RP"/>
  </r>
  <r>
    <n v="591"/>
    <s v="2122L21212"/>
    <n v="2122332"/>
    <s v="CC498363"/>
    <x v="4"/>
    <d v="2022-03-14T00:00:00"/>
    <d v="1899-12-30T15:02:30"/>
    <s v="Mar"/>
    <n v="371640"/>
    <s v="INR"/>
    <n v="66600"/>
    <s v="E116"/>
    <s v="E120"/>
    <s v="NA"/>
    <s v="NA"/>
    <s v="AM"/>
    <s v="DM"/>
    <s v="AM"/>
    <s v="DM"/>
    <s v="PASS"/>
    <s v="NA"/>
    <s v="2122"/>
    <s v="Mar"/>
    <s v="NON-RP"/>
  </r>
  <r>
    <n v="592"/>
    <s v="2122H51497"/>
    <n v="2122333"/>
    <s v="CC116382"/>
    <x v="37"/>
    <d v="2022-03-14T00:00:00"/>
    <d v="1899-12-30T14:20:52"/>
    <s v="Mar"/>
    <n v="340200"/>
    <s v="INR"/>
    <n v="61200"/>
    <s v="E112"/>
    <s v="E117"/>
    <s v="NA"/>
    <s v="NA"/>
    <s v="AM"/>
    <s v="DM"/>
    <s v="AM"/>
    <s v="DM"/>
    <s v="PASS"/>
    <s v="NA"/>
    <s v="2122"/>
    <s v="Mar"/>
    <s v="NON-RP"/>
  </r>
  <r>
    <n v="593"/>
    <s v="2122E11668"/>
    <n v="2122334"/>
    <s v="CC620411"/>
    <x v="32"/>
    <d v="2022-03-14T00:00:00"/>
    <d v="1899-12-30T15:31:09"/>
    <s v="Mar"/>
    <n v="28400"/>
    <s v="INR"/>
    <n v="5040"/>
    <s v="E106"/>
    <s v="E113"/>
    <s v="NA"/>
    <s v="NA"/>
    <s v="SE"/>
    <s v="AM"/>
    <s v="SE"/>
    <s v="AM"/>
    <s v="PASS"/>
    <s v="NA"/>
    <s v="2122"/>
    <s v="Mar"/>
    <s v="NON-RP"/>
  </r>
  <r>
    <n v="594"/>
    <s v="2122L11016"/>
    <n v="2122335"/>
    <s v="CC869452"/>
    <x v="17"/>
    <d v="2022-03-14T00:00:00"/>
    <d v="1899-12-30T13:38:06"/>
    <s v="Mar"/>
    <n v="339620"/>
    <s v="INR"/>
    <n v="61020"/>
    <s v="E111"/>
    <s v="E120"/>
    <s v="NA"/>
    <s v="NA"/>
    <s v="AM"/>
    <s v="DM"/>
    <s v="AM"/>
    <s v="DM"/>
    <s v="PASS"/>
    <s v="NA"/>
    <s v="2122"/>
    <s v="Mar"/>
    <s v="NON-RP"/>
  </r>
  <r>
    <n v="595"/>
    <s v="2122Q21657"/>
    <n v="2122336"/>
    <s v="CC356778"/>
    <x v="19"/>
    <d v="2022-03-17T00:00:00"/>
    <d v="1899-12-30T16:31:07"/>
    <s v="Mar"/>
    <n v="323830"/>
    <s v="INR"/>
    <n v="57780"/>
    <s v="E116"/>
    <s v="E117"/>
    <s v="NA"/>
    <s v="NA"/>
    <s v="AM"/>
    <s v="DM"/>
    <s v="AM"/>
    <s v="DM"/>
    <s v="PASS"/>
    <s v="NA"/>
    <s v="2122"/>
    <s v="Mar"/>
    <s v="NON-RP"/>
  </r>
  <r>
    <n v="596"/>
    <s v="2122H11405"/>
    <n v="2122337"/>
    <s v="CC419255"/>
    <x v="17"/>
    <d v="2022-03-18T00:00:00"/>
    <d v="1899-12-30T15:43:49"/>
    <s v="Mar"/>
    <n v="37950"/>
    <s v="INR"/>
    <n v="6480"/>
    <s v="E107"/>
    <s v="E112"/>
    <s v="NA"/>
    <s v="NA"/>
    <s v="SE"/>
    <s v="AM"/>
    <s v="SE"/>
    <s v="AM"/>
    <s v="PASS"/>
    <s v="NA"/>
    <s v="2122"/>
    <s v="Mar"/>
    <s v="NON-RP"/>
  </r>
  <r>
    <n v="597"/>
    <s v="2122E91010"/>
    <n v="2122338"/>
    <s v="CC316789"/>
    <x v="21"/>
    <d v="2022-03-19T00:00:00"/>
    <d v="1899-12-30T16:26:02"/>
    <s v="Mar"/>
    <n v="316680"/>
    <s v="INR"/>
    <n v="56520"/>
    <s v="E112"/>
    <s v="E118"/>
    <s v="NA"/>
    <s v="NA"/>
    <s v="AM"/>
    <s v="DM"/>
    <s v="AM"/>
    <s v="DM"/>
    <s v="PASS"/>
    <s v="NA"/>
    <s v="2122"/>
    <s v="Mar"/>
    <s v="NON-RP"/>
  </r>
  <r>
    <n v="598"/>
    <s v="2122W51561"/>
    <n v="2122339"/>
    <s v="CC726894"/>
    <x v="46"/>
    <d v="2022-03-21T00:00:00"/>
    <d v="1899-12-30T12:01:51"/>
    <s v="Mar"/>
    <n v="455120"/>
    <s v="INR"/>
    <n v="81720"/>
    <s v="E115"/>
    <s v="E118"/>
    <s v="NA"/>
    <s v="NA"/>
    <s v="AM"/>
    <s v="DM"/>
    <s v="AM"/>
    <s v="DM"/>
    <s v="PASS"/>
    <s v="NA"/>
    <s v="2122"/>
    <s v="Mar"/>
    <s v="RP"/>
  </r>
  <r>
    <n v="599"/>
    <s v="2122I21665"/>
    <n v="2122340"/>
    <s v="CC360747"/>
    <x v="28"/>
    <d v="2022-03-21T00:00:00"/>
    <d v="1899-12-30T11:55:58"/>
    <s v="Mar"/>
    <n v="34770"/>
    <s v="INR"/>
    <n v="5760"/>
    <s v="E107"/>
    <s v="E112"/>
    <s v="NA"/>
    <s v="NA"/>
    <s v="SE"/>
    <s v="AM"/>
    <s v="SE"/>
    <s v="AM"/>
    <s v="PASS"/>
    <s v="NA"/>
    <s v="2122"/>
    <s v="Mar"/>
    <s v="NON-RP"/>
  </r>
  <r>
    <n v="600"/>
    <s v="2122J01328"/>
    <n v="2122341"/>
    <s v="CC650227"/>
    <x v="33"/>
    <d v="2022-03-21T00:00:00"/>
    <d v="1899-12-30T10:48:02"/>
    <s v="Mar"/>
    <n v="496440"/>
    <s v="INR"/>
    <n v="89280"/>
    <s v="E114"/>
    <s v="E117"/>
    <s v="NA"/>
    <s v="NA"/>
    <s v="AM"/>
    <s v="DM"/>
    <s v="AM"/>
    <s v="DM"/>
    <s v="PASS"/>
    <s v="NA"/>
    <s v="2122"/>
    <s v="Mar"/>
    <s v="NON-RP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3">
  <r>
    <s v="CC714760"/>
    <s v="Completed"/>
    <s v="SM"/>
    <d v="2021-05-09T00:00:00"/>
    <s v="Pending"/>
    <n v="4279450"/>
    <n v="341"/>
    <x v="0"/>
    <x v="0"/>
    <s v="C239"/>
    <x v="0"/>
    <s v="E123"/>
    <s v="E125"/>
  </r>
  <r>
    <s v="CC464231"/>
    <s v="Completed"/>
    <s v="CM"/>
    <d v="2021-05-16T00:00:00"/>
    <s v="Pending"/>
    <n v="4951880"/>
    <n v="334"/>
    <x v="0"/>
    <x v="0"/>
    <s v="C239"/>
    <x v="0"/>
    <s v="E125"/>
    <s v="E126"/>
  </r>
  <r>
    <s v="CC117699"/>
    <s v="Completed"/>
    <s v="CM"/>
    <d v="2021-05-22T00:00:00"/>
    <s v="Pending"/>
    <n v="4672170"/>
    <n v="328"/>
    <x v="0"/>
    <x v="0"/>
    <s v="C240"/>
    <x v="1"/>
    <s v="E125"/>
    <s v="E126"/>
  </r>
  <r>
    <s v="CC551324"/>
    <s v="Completed"/>
    <s v="SM"/>
    <d v="2021-05-23T00:00:00"/>
    <s v="Pending"/>
    <n v="4062620"/>
    <n v="327"/>
    <x v="0"/>
    <x v="0"/>
    <s v="C240"/>
    <x v="1"/>
    <s v="E123"/>
    <s v="E125"/>
  </r>
  <r>
    <s v="CC609741"/>
    <s v="Completed"/>
    <s v="CM"/>
    <d v="2021-05-29T00:00:00"/>
    <s v="Pending"/>
    <n v="4611710"/>
    <n v="321"/>
    <x v="0"/>
    <x v="0"/>
    <s v="C236"/>
    <x v="2"/>
    <s v="E125"/>
    <s v="E126"/>
  </r>
  <r>
    <s v="CC889005"/>
    <s v="Completed"/>
    <s v="SM"/>
    <d v="2021-06-06T00:00:00"/>
    <s v="Pending"/>
    <n v="4080130"/>
    <n v="313"/>
    <x v="0"/>
    <x v="0"/>
    <s v="C236"/>
    <x v="2"/>
    <s v="E124"/>
    <s v="E125"/>
  </r>
  <r>
    <s v="CC758767"/>
    <s v="Completed"/>
    <s v="SM"/>
    <d v="2021-06-26T00:00:00"/>
    <s v="Pending"/>
    <n v="4330520"/>
    <n v="293"/>
    <x v="0"/>
    <x v="0"/>
    <s v="C240"/>
    <x v="1"/>
    <s v="E123"/>
    <s v="E125"/>
  </r>
  <r>
    <s v="CC958168"/>
    <s v="Completed"/>
    <s v="CM"/>
    <d v="2021-07-04T00:00:00"/>
    <s v="Pending"/>
    <n v="4673740"/>
    <n v="285"/>
    <x v="0"/>
    <x v="0"/>
    <s v="C236"/>
    <x v="2"/>
    <s v="E125"/>
    <s v="E126"/>
  </r>
  <r>
    <s v="CC504719"/>
    <s v="Completed"/>
    <s v="SM"/>
    <d v="2021-07-11T00:00:00"/>
    <s v="Pending"/>
    <n v="4059510"/>
    <n v="278"/>
    <x v="0"/>
    <x v="0"/>
    <s v="C240"/>
    <x v="1"/>
    <s v="E123"/>
    <s v="E125"/>
  </r>
  <r>
    <s v="CC483508"/>
    <s v="Completed"/>
    <s v="SM"/>
    <d v="2021-07-18T00:00:00"/>
    <s v="Pending"/>
    <n v="4211080"/>
    <n v="271"/>
    <x v="0"/>
    <x v="0"/>
    <s v="C240"/>
    <x v="1"/>
    <s v="E124"/>
    <s v="E125"/>
  </r>
  <r>
    <s v="CC158828"/>
    <s v="Completed"/>
    <s v="SM"/>
    <d v="2021-08-07T00:00:00"/>
    <s v="Pending"/>
    <n v="4250210"/>
    <n v="251"/>
    <x v="0"/>
    <x v="0"/>
    <s v="C240"/>
    <x v="1"/>
    <s v="E123"/>
    <s v="E125"/>
  </r>
  <r>
    <s v="CC859081"/>
    <s v="Completed"/>
    <s v="CM"/>
    <d v="2021-08-15T00:00:00"/>
    <s v="Pending"/>
    <n v="4927020"/>
    <n v="243"/>
    <x v="0"/>
    <x v="0"/>
    <s v="C239"/>
    <x v="0"/>
    <s v="E125"/>
    <s v="E126"/>
  </r>
  <r>
    <s v="CC816936"/>
    <s v="Completed"/>
    <s v="CM"/>
    <d v="2021-08-21T00:00:00"/>
    <s v="Pending"/>
    <n v="4728180"/>
    <n v="237"/>
    <x v="0"/>
    <x v="0"/>
    <s v="C237"/>
    <x v="3"/>
    <s v="E125"/>
    <s v="E126"/>
  </r>
  <r>
    <s v="CC206586"/>
    <s v="Completed"/>
    <s v="SM"/>
    <d v="2021-09-04T00:00:00"/>
    <s v="Pending"/>
    <n v="4497060"/>
    <n v="223"/>
    <x v="0"/>
    <x v="0"/>
    <s v="C238"/>
    <x v="4"/>
    <s v="E124"/>
    <s v="E125"/>
  </r>
  <r>
    <s v="CC404319"/>
    <s v="Completed"/>
    <s v="CM"/>
    <d v="2021-09-11T00:00:00"/>
    <s v="Pending"/>
    <n v="4648620"/>
    <n v="216"/>
    <x v="0"/>
    <x v="0"/>
    <s v="C237"/>
    <x v="3"/>
    <s v="E125"/>
    <s v="E126"/>
  </r>
  <r>
    <s v="CC412329"/>
    <s v="Completed"/>
    <s v="SM"/>
    <d v="2021-09-18T00:00:00"/>
    <s v="Pending"/>
    <n v="4232840"/>
    <n v="209"/>
    <x v="0"/>
    <x v="0"/>
    <s v="C237"/>
    <x v="3"/>
    <s v="E124"/>
    <s v="E125"/>
  </r>
  <r>
    <s v="CC508805"/>
    <s v="Completed"/>
    <s v="CM"/>
    <d v="2021-11-06T00:00:00"/>
    <s v="Pending"/>
    <n v="4817700"/>
    <n v="160"/>
    <x v="0"/>
    <x v="0"/>
    <s v="C236"/>
    <x v="2"/>
    <s v="E125"/>
    <s v="E126"/>
  </r>
  <r>
    <s v="CC986010"/>
    <s v="Completed"/>
    <s v="SM"/>
    <d v="2021-11-07T00:00:00"/>
    <s v="Pending"/>
    <n v="4275330"/>
    <n v="159"/>
    <x v="0"/>
    <x v="0"/>
    <s v="C239"/>
    <x v="0"/>
    <s v="E123"/>
    <s v="E125"/>
  </r>
  <r>
    <s v="CC214748"/>
    <s v="Completed"/>
    <s v="SM"/>
    <d v="2021-11-14T00:00:00"/>
    <s v="Pending"/>
    <n v="4441560"/>
    <n v="152"/>
    <x v="0"/>
    <x v="0"/>
    <s v="C238"/>
    <x v="4"/>
    <s v="E123"/>
    <s v="E125"/>
  </r>
  <r>
    <s v="CC624674"/>
    <s v="Completed"/>
    <s v="SM"/>
    <d v="2021-12-05T00:00:00"/>
    <s v="Pending"/>
    <n v="4050320"/>
    <n v="131"/>
    <x v="0"/>
    <x v="0"/>
    <s v="C238"/>
    <x v="4"/>
    <s v="E124"/>
    <s v="E125"/>
  </r>
  <r>
    <s v="CC862577"/>
    <s v="Completed"/>
    <s v="CM"/>
    <d v="2021-12-11T00:00:00"/>
    <s v="Pending"/>
    <n v="4918360"/>
    <n v="125"/>
    <x v="0"/>
    <x v="0"/>
    <s v="C238"/>
    <x v="4"/>
    <s v="E125"/>
    <s v="E126"/>
  </r>
  <r>
    <s v="CC394417"/>
    <s v="Completed"/>
    <s v="SM"/>
    <d v="2021-12-12T00:00:00"/>
    <s v="Pending"/>
    <n v="4463340"/>
    <n v="124"/>
    <x v="0"/>
    <x v="0"/>
    <s v="C240"/>
    <x v="1"/>
    <s v="E123"/>
    <s v="E125"/>
  </r>
  <r>
    <s v="CC998662"/>
    <s v="Completed"/>
    <s v="CM"/>
    <d v="2021-12-18T00:00:00"/>
    <s v="Pending"/>
    <n v="4823470"/>
    <n v="118"/>
    <x v="0"/>
    <x v="0"/>
    <s v="C240"/>
    <x v="1"/>
    <s v="E125"/>
    <s v="E126"/>
  </r>
  <r>
    <s v="CC763477"/>
    <s v="Completed"/>
    <s v="CM"/>
    <d v="2021-12-19T00:00:00"/>
    <s v="Pending"/>
    <n v="4924520"/>
    <n v="117"/>
    <x v="0"/>
    <x v="0"/>
    <s v="C238"/>
    <x v="4"/>
    <s v="E125"/>
    <s v="E126"/>
  </r>
  <r>
    <s v="CC805139"/>
    <s v="Completed"/>
    <s v="SM"/>
    <d v="2022-01-02T00:00:00"/>
    <s v="Pending"/>
    <n v="4363500"/>
    <n v="103"/>
    <x v="0"/>
    <x v="0"/>
    <s v="C237"/>
    <x v="3"/>
    <s v="E123"/>
    <s v="E125"/>
  </r>
  <r>
    <s v="CC934820"/>
    <s v="Completed"/>
    <s v="SM"/>
    <d v="2022-01-11T00:00:00"/>
    <s v="Pending"/>
    <n v="303440"/>
    <n v="94"/>
    <x v="1"/>
    <x v="1"/>
    <s v="C222"/>
    <x v="5"/>
    <s v="E114"/>
    <s v="E120"/>
  </r>
  <r>
    <s v="CC332796"/>
    <s v="Completed"/>
    <s v="CM"/>
    <d v="2022-01-16T00:00:00"/>
    <s v="Pending"/>
    <n v="4847720"/>
    <n v="89"/>
    <x v="1"/>
    <x v="0"/>
    <s v="C236"/>
    <x v="2"/>
    <s v="E125"/>
    <s v="E126"/>
  </r>
  <r>
    <s v="CC551461"/>
    <s v="Completed"/>
    <s v="SM"/>
    <d v="2022-01-17T00:00:00"/>
    <s v="Pending"/>
    <n v="36930"/>
    <n v="88"/>
    <x v="1"/>
    <x v="1"/>
    <s v="C230"/>
    <x v="5"/>
    <s v="E104"/>
    <s v="E113"/>
  </r>
  <r>
    <s v="CC245152"/>
    <s v="Completed"/>
    <s v="SM"/>
    <d v="2022-01-20T00:00:00"/>
    <s v="Pending"/>
    <n v="427480"/>
    <n v="85"/>
    <x v="1"/>
    <x v="1"/>
    <s v="C217"/>
    <x v="5"/>
    <s v="E114"/>
    <s v="E121"/>
  </r>
  <r>
    <s v="CC893209"/>
    <s v="Completed"/>
    <s v="SM"/>
    <d v="2022-01-20T00:00:00"/>
    <s v="Pending"/>
    <n v="29260"/>
    <n v="85"/>
    <x v="1"/>
    <x v="1"/>
    <s v="C218"/>
    <x v="5"/>
    <s v="E109"/>
    <s v="E111"/>
  </r>
  <r>
    <s v="CC962087"/>
    <s v="Completed"/>
    <s v="CM"/>
    <d v="2022-01-20T00:00:00"/>
    <s v="Pending"/>
    <n v="6181180"/>
    <n v="85"/>
    <x v="1"/>
    <x v="1"/>
    <s v="C213"/>
    <x v="5"/>
    <s v="E125"/>
    <s v="E126"/>
  </r>
  <r>
    <s v="CC672893"/>
    <s v="Completed"/>
    <s v="CM"/>
    <d v="2022-01-22T00:00:00"/>
    <s v="Pending"/>
    <n v="4651520"/>
    <n v="83"/>
    <x v="1"/>
    <x v="0"/>
    <s v="C239"/>
    <x v="0"/>
    <s v="E125"/>
    <s v="E126"/>
  </r>
  <r>
    <s v="CC951164"/>
    <s v="Completed"/>
    <s v="SM"/>
    <d v="2022-01-22T00:00:00"/>
    <s v="Pending"/>
    <n v="470540"/>
    <n v="83"/>
    <x v="1"/>
    <x v="1"/>
    <s v="C230"/>
    <x v="5"/>
    <s v="E113"/>
    <s v="E120"/>
  </r>
  <r>
    <s v="CC979929"/>
    <s v="Completed"/>
    <s v="SM"/>
    <d v="2022-01-29T00:00:00"/>
    <s v="Pending"/>
    <n v="474250"/>
    <n v="76"/>
    <x v="1"/>
    <x v="1"/>
    <s v="C204"/>
    <x v="5"/>
    <s v="E111"/>
    <s v="E121"/>
  </r>
  <r>
    <s v="CC992885"/>
    <s v="Completed"/>
    <s v="SM"/>
    <d v="2022-01-31T00:00:00"/>
    <s v="Pending"/>
    <n v="469070"/>
    <n v="74"/>
    <x v="1"/>
    <x v="1"/>
    <s v="C224"/>
    <x v="5"/>
    <s v="E112"/>
    <s v="E121"/>
  </r>
  <r>
    <s v="CC438197"/>
    <s v="Completed"/>
    <s v="SM"/>
    <d v="2022-02-04T00:00:00"/>
    <s v="Pending"/>
    <n v="331430"/>
    <n v="70"/>
    <x v="1"/>
    <x v="1"/>
    <s v="C209"/>
    <x v="5"/>
    <s v="E114"/>
    <s v="E121"/>
  </r>
  <r>
    <s v="CC544672"/>
    <s v="Completed"/>
    <s v="SM"/>
    <d v="2022-02-14T00:00:00"/>
    <s v="Pending"/>
    <n v="49630"/>
    <n v="60"/>
    <x v="1"/>
    <x v="1"/>
    <s v="C236"/>
    <x v="2"/>
    <s v="E109"/>
    <s v="E113"/>
  </r>
  <r>
    <s v="CC305363"/>
    <s v="Completed"/>
    <s v="SM"/>
    <d v="2022-02-24T00:00:00"/>
    <s v="Pending"/>
    <n v="287210"/>
    <n v="50"/>
    <x v="1"/>
    <x v="1"/>
    <s v="C247"/>
    <x v="5"/>
    <s v="E113"/>
    <s v="E120"/>
  </r>
  <r>
    <s v="CC383194"/>
    <s v="Completed"/>
    <s v="SM"/>
    <d v="2022-02-28T00:00:00"/>
    <s v="Pending"/>
    <n v="464250"/>
    <n v="46"/>
    <x v="2"/>
    <x v="1"/>
    <s v="C220"/>
    <x v="5"/>
    <s v="E116"/>
    <s v="E117"/>
  </r>
  <r>
    <s v="CC913406"/>
    <s v="Completed"/>
    <s v="SM"/>
    <d v="2022-02-28T00:00:00"/>
    <s v="Pending"/>
    <n v="372850"/>
    <n v="46"/>
    <x v="2"/>
    <x v="1"/>
    <s v="C212"/>
    <x v="5"/>
    <s v="E110"/>
    <s v="E118"/>
  </r>
  <r>
    <s v="CC554784"/>
    <s v="Completed"/>
    <s v="SM"/>
    <d v="2022-03-11T00:00:00"/>
    <s v="Pending"/>
    <n v="333210"/>
    <n v="35"/>
    <x v="2"/>
    <x v="1"/>
    <s v="C213"/>
    <x v="5"/>
    <s v="E110"/>
    <s v="E120"/>
  </r>
  <r>
    <s v="CC116382"/>
    <s v="Completed"/>
    <s v="SM"/>
    <d v="2022-03-14T00:00:00"/>
    <s v="Pending"/>
    <n v="340200"/>
    <n v="32"/>
    <x v="2"/>
    <x v="1"/>
    <s v="C204"/>
    <x v="5"/>
    <s v="E112"/>
    <s v="E117"/>
  </r>
  <r>
    <s v="CC498363"/>
    <s v="Completed"/>
    <s v="SM"/>
    <d v="2022-03-14T00:00:00"/>
    <s v="Pending"/>
    <n v="371640"/>
    <n v="32"/>
    <x v="2"/>
    <x v="1"/>
    <s v="C213"/>
    <x v="5"/>
    <s v="E116"/>
    <s v="E12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42">
  <r>
    <n v="6"/>
    <s v="2021A01928"/>
    <s v="CC369548"/>
    <s v="C213"/>
    <d v="2020-04-04T00:00:00"/>
    <n v="4841510"/>
    <s v="E125"/>
    <s v="E126"/>
    <x v="0"/>
  </r>
  <r>
    <n v="28"/>
    <s v="2021B41966"/>
    <s v="CC731431"/>
    <s v="C239"/>
    <d v="2020-05-07T00:00:00"/>
    <n v="4762260"/>
    <s v="E125"/>
    <s v="E126"/>
    <x v="0"/>
  </r>
  <r>
    <n v="72"/>
    <s v="2021T91070"/>
    <s v="CC651707"/>
    <s v="C202"/>
    <d v="2020-07-07T00:00:00"/>
    <n v="4374900"/>
    <s v="E124"/>
    <s v="E125"/>
    <x v="0"/>
  </r>
  <r>
    <n v="154"/>
    <s v="2021U91067"/>
    <s v="CC625217"/>
    <s v="C215"/>
    <d v="2020-10-12T00:00:00"/>
    <n v="4699400"/>
    <s v="E125"/>
    <s v="E126"/>
    <x v="0"/>
  </r>
  <r>
    <n v="302"/>
    <s v="2122R81752"/>
    <s v="CC714760"/>
    <s v="C239"/>
    <d v="2021-05-09T00:00:00"/>
    <n v="4279450"/>
    <s v="E123"/>
    <s v="E125"/>
    <x v="1"/>
  </r>
  <r>
    <n v="312"/>
    <s v="2122C71512"/>
    <s v="CC464231"/>
    <s v="C239"/>
    <d v="2021-05-16T00:00:00"/>
    <n v="4951880"/>
    <s v="E125"/>
    <s v="E126"/>
    <x v="1"/>
  </r>
  <r>
    <n v="320"/>
    <s v="2122S11948"/>
    <s v="CC551324"/>
    <s v="C240"/>
    <d v="2021-05-23T00:00:00"/>
    <n v="4062620"/>
    <s v="E123"/>
    <s v="E125"/>
    <x v="1"/>
  </r>
  <r>
    <n v="321"/>
    <s v="2122T61344"/>
    <s v="CC117699"/>
    <s v="C240"/>
    <d v="2021-05-22T00:00:00"/>
    <n v="4672170"/>
    <s v="E125"/>
    <s v="E126"/>
    <x v="1"/>
  </r>
  <r>
    <n v="328"/>
    <s v="2122K21518"/>
    <s v="CC609741"/>
    <s v="C236"/>
    <d v="2021-05-29T00:00:00"/>
    <n v="4611710"/>
    <s v="E125"/>
    <s v="E126"/>
    <x v="1"/>
  </r>
  <r>
    <n v="335"/>
    <s v="2122D91262"/>
    <s v="CC889005"/>
    <s v="C236"/>
    <d v="2021-06-06T00:00:00"/>
    <n v="4080130"/>
    <s v="E124"/>
    <s v="E125"/>
    <x v="1"/>
  </r>
  <r>
    <n v="349"/>
    <s v="2122J41040"/>
    <s v="CC758767"/>
    <s v="C240"/>
    <d v="2021-06-26T00:00:00"/>
    <n v="4330520"/>
    <s v="E123"/>
    <s v="E125"/>
    <x v="1"/>
  </r>
  <r>
    <n v="353"/>
    <s v="2122R41764"/>
    <s v="CC958168"/>
    <s v="C236"/>
    <d v="2021-07-04T00:00:00"/>
    <n v="4673740"/>
    <s v="E125"/>
    <s v="E126"/>
    <x v="1"/>
  </r>
  <r>
    <n v="355"/>
    <s v="2122R41436"/>
    <s v="CC113941"/>
    <s v="C229"/>
    <d v="2021-07-03T00:00:00"/>
    <n v="4880550"/>
    <s v="E125"/>
    <s v="E126"/>
    <x v="0"/>
  </r>
  <r>
    <n v="356"/>
    <s v="2122X51421"/>
    <s v="CC414518"/>
    <s v="C210"/>
    <d v="2021-07-03T00:00:00"/>
    <n v="4982880"/>
    <s v="E125"/>
    <s v="E126"/>
    <x v="0"/>
  </r>
  <r>
    <n v="361"/>
    <s v="2122K81299"/>
    <s v="CC730025"/>
    <s v="C245"/>
    <d v="2021-07-07T00:00:00"/>
    <n v="4879050"/>
    <s v="E125"/>
    <s v="E126"/>
    <x v="0"/>
  </r>
  <r>
    <n v="362"/>
    <s v="2122E81303"/>
    <s v="CC295581"/>
    <s v="C248"/>
    <d v="2021-07-07T00:00:00"/>
    <n v="4517900"/>
    <s v="E125"/>
    <s v="E126"/>
    <x v="0"/>
  </r>
  <r>
    <n v="363"/>
    <s v="2122O71438"/>
    <s v="CC504719"/>
    <s v="C240"/>
    <d v="2021-07-11T00:00:00"/>
    <n v="4059510"/>
    <s v="E123"/>
    <s v="E125"/>
    <x v="1"/>
  </r>
  <r>
    <n v="377"/>
    <s v="2122I01269"/>
    <s v="CC535979"/>
    <s v="C222"/>
    <d v="2021-07-19T00:00:00"/>
    <n v="4996140"/>
    <s v="E125"/>
    <s v="E126"/>
    <x v="0"/>
  </r>
  <r>
    <n v="379"/>
    <s v="2122E11145"/>
    <s v="CC483508"/>
    <s v="C240"/>
    <d v="2021-07-18T00:00:00"/>
    <n v="4211080"/>
    <s v="E124"/>
    <s v="E125"/>
    <x v="1"/>
  </r>
  <r>
    <n v="385"/>
    <s v="2122P91585"/>
    <s v="CC538768"/>
    <s v="C212"/>
    <d v="2021-07-24T00:00:00"/>
    <n v="4531660"/>
    <s v="E125"/>
    <s v="E126"/>
    <x v="0"/>
  </r>
  <r>
    <n v="387"/>
    <s v="2122E31833"/>
    <s v="CC102948"/>
    <s v="C242"/>
    <d v="2021-07-28T00:00:00"/>
    <n v="4229320"/>
    <s v="E124"/>
    <s v="E125"/>
    <x v="0"/>
  </r>
  <r>
    <n v="388"/>
    <s v="2122j61071"/>
    <s v="CC833477"/>
    <s v="C227"/>
    <d v="2021-07-29T00:00:00"/>
    <n v="4620700"/>
    <s v="E125"/>
    <s v="E126"/>
    <x v="0"/>
  </r>
  <r>
    <n v="394"/>
    <s v="2122Q91600"/>
    <s v="CC158828"/>
    <s v="C240"/>
    <d v="2021-08-07T00:00:00"/>
    <n v="4250210"/>
    <s v="E123"/>
    <s v="E125"/>
    <x v="1"/>
  </r>
  <r>
    <n v="407"/>
    <s v="2122U71686"/>
    <s v="CC859081"/>
    <s v="C239"/>
    <d v="2021-08-15T00:00:00"/>
    <n v="4927020"/>
    <s v="E125"/>
    <s v="E126"/>
    <x v="1"/>
  </r>
  <r>
    <n v="419"/>
    <s v="2122Q11447"/>
    <s v="CC910656"/>
    <s v="C220"/>
    <d v="2021-08-18T00:00:00"/>
    <n v="4002900"/>
    <s v="E123"/>
    <s v="E125"/>
    <x v="0"/>
  </r>
  <r>
    <n v="422"/>
    <s v="2122N91580"/>
    <s v="CC816936"/>
    <s v="C237"/>
    <d v="2021-08-21T00:00:00"/>
    <n v="4728180"/>
    <s v="E125"/>
    <s v="E126"/>
    <x v="1"/>
  </r>
  <r>
    <n v="430"/>
    <s v="2122W31596"/>
    <s v="CC206586"/>
    <s v="C238"/>
    <d v="2021-09-04T00:00:00"/>
    <n v="4497060"/>
    <s v="E124"/>
    <s v="E125"/>
    <x v="1"/>
  </r>
  <r>
    <n v="433"/>
    <s v="2122Q21787"/>
    <s v="CC404319"/>
    <s v="C237"/>
    <d v="2021-09-11T00:00:00"/>
    <n v="4648620"/>
    <s v="E125"/>
    <s v="E126"/>
    <x v="1"/>
  </r>
  <r>
    <n v="434"/>
    <s v="2122X31193"/>
    <s v="CC412329"/>
    <s v="C237"/>
    <d v="2021-09-18T00:00:00"/>
    <n v="4232840"/>
    <s v="E124"/>
    <s v="E125"/>
    <x v="1"/>
  </r>
  <r>
    <n v="468"/>
    <s v="2122T51475"/>
    <s v="CC508805"/>
    <s v="C236"/>
    <d v="2021-11-06T00:00:00"/>
    <n v="4817700"/>
    <s v="E125"/>
    <s v="E126"/>
    <x v="1"/>
  </r>
  <r>
    <n v="472"/>
    <s v="2122Y91398"/>
    <s v="CC986010"/>
    <s v="C239"/>
    <d v="2021-11-07T00:00:00"/>
    <n v="4275330"/>
    <s v="E123"/>
    <s v="E125"/>
    <x v="1"/>
  </r>
  <r>
    <n v="476"/>
    <s v="2122W41943"/>
    <s v="CC214748"/>
    <s v="C238"/>
    <d v="2021-11-14T00:00:00"/>
    <n v="4441560"/>
    <s v="E123"/>
    <s v="E125"/>
    <x v="1"/>
  </r>
  <r>
    <n v="492"/>
    <s v="2122P31983"/>
    <s v="CC624674"/>
    <s v="C238"/>
    <d v="2021-12-05T00:00:00"/>
    <n v="4050320"/>
    <s v="E124"/>
    <s v="E125"/>
    <x v="1"/>
  </r>
  <r>
    <n v="499"/>
    <s v="2122L21946"/>
    <s v="CC394417"/>
    <s v="C240"/>
    <d v="2021-12-12T00:00:00"/>
    <n v="4463340"/>
    <s v="E123"/>
    <s v="E125"/>
    <x v="1"/>
  </r>
  <r>
    <n v="508"/>
    <s v="2122T71144"/>
    <s v="CC862577"/>
    <s v="C238"/>
    <d v="2021-12-11T00:00:00"/>
    <n v="4918360"/>
    <s v="E125"/>
    <s v="E126"/>
    <x v="1"/>
  </r>
  <r>
    <n v="514"/>
    <s v="2122W41847"/>
    <s v="CC763477"/>
    <s v="C238"/>
    <d v="2021-12-19T00:00:00"/>
    <n v="4924520"/>
    <s v="E125"/>
    <s v="E126"/>
    <x v="1"/>
  </r>
  <r>
    <n v="515"/>
    <s v="2122O71884"/>
    <s v="CC998662"/>
    <s v="C240"/>
    <d v="2021-12-18T00:00:00"/>
    <n v="4823470"/>
    <s v="E125"/>
    <s v="E126"/>
    <x v="1"/>
  </r>
  <r>
    <n v="524"/>
    <s v="2122K21209"/>
    <s v="CC805139"/>
    <s v="C237"/>
    <d v="2022-01-02T00:00:00"/>
    <n v="4363500"/>
    <s v="E123"/>
    <s v="E125"/>
    <x v="1"/>
  </r>
  <r>
    <n v="534"/>
    <s v="2122U61368"/>
    <s v="CC332796"/>
    <s v="C236"/>
    <d v="2022-01-16T00:00:00"/>
    <n v="4847720"/>
    <s v="E125"/>
    <s v="E126"/>
    <x v="1"/>
  </r>
  <r>
    <n v="540"/>
    <s v="2122W81761"/>
    <s v="CC672893"/>
    <s v="C239"/>
    <d v="2022-01-22T00:00:00"/>
    <n v="4651520"/>
    <s v="E125"/>
    <s v="E126"/>
    <x v="1"/>
  </r>
  <r>
    <n v="548"/>
    <s v="2122Q61371"/>
    <s v="CC108757"/>
    <s v="C241"/>
    <d v="2022-01-25T00:00:00"/>
    <n v="4724620"/>
    <s v="E125"/>
    <s v="E126"/>
    <x v="0"/>
  </r>
  <r>
    <n v="575"/>
    <s v="2122D81367"/>
    <s v="CC904214"/>
    <s v="C245"/>
    <d v="2022-02-21T00:00:00"/>
    <n v="4474800"/>
    <s v="E122"/>
    <s v="E12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7:E45" firstHeaderRow="0" firstDataRow="1" firstDataCol="1"/>
  <pivotFields count="15">
    <pivotField showAll="0"/>
    <pivotField showAll="0"/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dataField="1" numFmtId="165" showAll="0"/>
    <pivotField showAll="0"/>
    <pivotField numFmtId="165"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x="1"/>
        <item x="2"/>
        <item x="3"/>
        <item sd="0" x="4"/>
      </items>
    </pivotField>
  </pivotFields>
  <rowFields count="2">
    <field x="14"/>
    <field x="5"/>
  </rowFields>
  <rowItems count="28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Recorded Revenue" fld="8" baseField="0" baseItem="0"/>
    <dataField name="Count of  Recorded Revenue2" fld="8" subtotal="count" baseField="14" baseItem="1"/>
  </dataFields>
  <formats count="78">
    <format dxfId="224">
      <pivotArea collapsedLevelsAreSubtotals="1" fieldPosition="0">
        <references count="2">
          <reference field="5" count="9"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"/>
          </reference>
        </references>
      </pivotArea>
    </format>
    <format dxfId="223">
      <pivotArea collapsedLevelsAreSubtotals="1" fieldPosition="0">
        <references count="1">
          <reference field="14" count="1">
            <x v="2"/>
          </reference>
        </references>
      </pivotArea>
    </format>
    <format dxfId="222">
      <pivotArea collapsedLevelsAreSubtotals="1" fieldPosition="0">
        <references count="2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2"/>
          </reference>
        </references>
      </pivotArea>
    </format>
    <format dxfId="221">
      <pivotArea collapsedLevelsAreSubtotals="1" fieldPosition="0">
        <references count="1">
          <reference field="14" count="1">
            <x v="3"/>
          </reference>
        </references>
      </pivotArea>
    </format>
    <format dxfId="220">
      <pivotArea collapsedLevelsAreSubtotals="1" fieldPosition="0">
        <references count="2">
          <reference field="5" count="3">
            <x v="1"/>
            <x v="2"/>
            <x v="3"/>
          </reference>
          <reference field="14" count="1" selected="0">
            <x v="3"/>
          </reference>
        </references>
      </pivotArea>
    </format>
    <format dxfId="219">
      <pivotArea grandRow="1" outline="0" collapsedLevelsAreSubtotals="1" fieldPosition="0"/>
    </format>
    <format dxfId="218">
      <pivotArea collapsedLevelsAreSubtotals="1" fieldPosition="0">
        <references count="2">
          <reference field="5" count="9"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"/>
          </reference>
        </references>
      </pivotArea>
    </format>
    <format dxfId="217">
      <pivotArea collapsedLevelsAreSubtotals="1" fieldPosition="0">
        <references count="1">
          <reference field="14" count="1">
            <x v="2"/>
          </reference>
        </references>
      </pivotArea>
    </format>
    <format dxfId="216">
      <pivotArea collapsedLevelsAreSubtotals="1" fieldPosition="0">
        <references count="2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2"/>
          </reference>
        </references>
      </pivotArea>
    </format>
    <format dxfId="215">
      <pivotArea collapsedLevelsAreSubtotals="1" fieldPosition="0">
        <references count="1">
          <reference field="14" count="1">
            <x v="3"/>
          </reference>
        </references>
      </pivotArea>
    </format>
    <format dxfId="214">
      <pivotArea collapsedLevelsAreSubtotals="1" fieldPosition="0">
        <references count="2">
          <reference field="5" count="3">
            <x v="1"/>
            <x v="2"/>
            <x v="3"/>
          </reference>
          <reference field="14" count="1" selected="0">
            <x v="3"/>
          </reference>
        </references>
      </pivotArea>
    </format>
    <format dxfId="213">
      <pivotArea grandRow="1" outline="0" collapsedLevelsAreSubtotals="1" fieldPosition="0"/>
    </format>
    <format dxfId="212">
      <pivotArea collapsedLevelsAreSubtotals="1" fieldPosition="0">
        <references count="2">
          <reference field="5" count="9"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"/>
          </reference>
        </references>
      </pivotArea>
    </format>
    <format dxfId="211">
      <pivotArea collapsedLevelsAreSubtotals="1" fieldPosition="0">
        <references count="1">
          <reference field="14" count="1">
            <x v="2"/>
          </reference>
        </references>
      </pivotArea>
    </format>
    <format dxfId="210">
      <pivotArea collapsedLevelsAreSubtotals="1" fieldPosition="0">
        <references count="2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2"/>
          </reference>
        </references>
      </pivotArea>
    </format>
    <format dxfId="209">
      <pivotArea collapsedLevelsAreSubtotals="1" fieldPosition="0">
        <references count="1">
          <reference field="14" count="1">
            <x v="3"/>
          </reference>
        </references>
      </pivotArea>
    </format>
    <format dxfId="208">
      <pivotArea collapsedLevelsAreSubtotals="1" fieldPosition="0">
        <references count="2">
          <reference field="5" count="3">
            <x v="1"/>
            <x v="2"/>
            <x v="3"/>
          </reference>
          <reference field="14" count="1" selected="0">
            <x v="3"/>
          </reference>
        </references>
      </pivotArea>
    </format>
    <format dxfId="207">
      <pivotArea grandRow="1" outline="0" collapsedLevelsAreSubtotals="1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field="14" type="button" dataOnly="0" labelOnly="1" outline="0" axis="axisRow" fieldPosition="0"/>
    </format>
    <format dxfId="203">
      <pivotArea dataOnly="0" labelOnly="1" outline="0" axis="axisValues" fieldPosition="0"/>
    </format>
    <format dxfId="202">
      <pivotArea dataOnly="0" labelOnly="1" fieldPosition="0">
        <references count="1">
          <reference field="14" count="3">
            <x v="1"/>
            <x v="2"/>
            <x v="3"/>
          </reference>
        </references>
      </pivotArea>
    </format>
    <format dxfId="201">
      <pivotArea dataOnly="0" labelOnly="1" grandRow="1" outline="0" fieldPosition="0"/>
    </format>
    <format dxfId="200">
      <pivotArea dataOnly="0" labelOnly="1" fieldPosition="0">
        <references count="2">
          <reference field="5" count="9"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"/>
          </reference>
        </references>
      </pivotArea>
    </format>
    <format dxfId="199">
      <pivotArea dataOnly="0" labelOnly="1" fieldPosition="0">
        <references count="2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2"/>
          </reference>
        </references>
      </pivotArea>
    </format>
    <format dxfId="198">
      <pivotArea dataOnly="0" labelOnly="1" fieldPosition="0">
        <references count="2">
          <reference field="5" count="3">
            <x v="1"/>
            <x v="2"/>
            <x v="3"/>
          </reference>
          <reference field="14" count="1" selected="0">
            <x v="3"/>
          </reference>
        </references>
      </pivotArea>
    </format>
    <format dxfId="197">
      <pivotArea dataOnly="0" labelOnly="1" outline="0" axis="axisValues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14" type="button" dataOnly="0" labelOnly="1" outline="0" axis="axisRow" fieldPosition="0"/>
    </format>
    <format dxfId="193">
      <pivotArea dataOnly="0" labelOnly="1" outline="0" axis="axisValues" fieldPosition="0"/>
    </format>
    <format dxfId="192">
      <pivotArea dataOnly="0" labelOnly="1" fieldPosition="0">
        <references count="1">
          <reference field="14" count="3">
            <x v="1"/>
            <x v="2"/>
            <x v="3"/>
          </reference>
        </references>
      </pivotArea>
    </format>
    <format dxfId="191">
      <pivotArea dataOnly="0" labelOnly="1" grandRow="1" outline="0" fieldPosition="0"/>
    </format>
    <format dxfId="190">
      <pivotArea dataOnly="0" labelOnly="1" fieldPosition="0">
        <references count="2">
          <reference field="5" count="9"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"/>
          </reference>
        </references>
      </pivotArea>
    </format>
    <format dxfId="189">
      <pivotArea dataOnly="0" labelOnly="1" fieldPosition="0">
        <references count="2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2"/>
          </reference>
        </references>
      </pivotArea>
    </format>
    <format dxfId="188">
      <pivotArea dataOnly="0" labelOnly="1" fieldPosition="0">
        <references count="2">
          <reference field="5" count="3">
            <x v="1"/>
            <x v="2"/>
            <x v="3"/>
          </reference>
          <reference field="14" count="1" selected="0">
            <x v="3"/>
          </reference>
        </references>
      </pivotArea>
    </format>
    <format dxfId="187">
      <pivotArea dataOnly="0" labelOnly="1" outline="0" axis="axisValues" fieldPosition="0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14" type="button" dataOnly="0" labelOnly="1" outline="0" axis="axisRow" fieldPosition="0"/>
    </format>
    <format dxfId="183">
      <pivotArea dataOnly="0" labelOnly="1" outline="0" axis="axisValues" fieldPosition="0"/>
    </format>
    <format dxfId="182">
      <pivotArea dataOnly="0" labelOnly="1" fieldPosition="0">
        <references count="1">
          <reference field="14" count="3">
            <x v="1"/>
            <x v="2"/>
            <x v="3"/>
          </reference>
        </references>
      </pivotArea>
    </format>
    <format dxfId="181">
      <pivotArea dataOnly="0" labelOnly="1" grandRow="1" outline="0" fieldPosition="0"/>
    </format>
    <format dxfId="180">
      <pivotArea dataOnly="0" labelOnly="1" fieldPosition="0">
        <references count="2">
          <reference field="5" count="9"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"/>
          </reference>
        </references>
      </pivotArea>
    </format>
    <format dxfId="179">
      <pivotArea dataOnly="0" labelOnly="1" fieldPosition="0">
        <references count="2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2"/>
          </reference>
        </references>
      </pivotArea>
    </format>
    <format dxfId="178">
      <pivotArea dataOnly="0" labelOnly="1" fieldPosition="0">
        <references count="2">
          <reference field="5" count="3">
            <x v="1"/>
            <x v="2"/>
            <x v="3"/>
          </reference>
          <reference field="14" count="1" selected="0">
            <x v="3"/>
          </reference>
        </references>
      </pivotArea>
    </format>
    <format dxfId="177">
      <pivotArea dataOnly="0" labelOnly="1" outline="0" axis="axisValues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14" type="button" dataOnly="0" labelOnly="1" outline="0" axis="axisRow" fieldPosition="0"/>
    </format>
    <format dxfId="173">
      <pivotArea dataOnly="0" labelOnly="1" outline="0" axis="axisValues" fieldPosition="0"/>
    </format>
    <format dxfId="172">
      <pivotArea dataOnly="0" labelOnly="1" fieldPosition="0">
        <references count="1">
          <reference field="14" count="3">
            <x v="1"/>
            <x v="2"/>
            <x v="3"/>
          </reference>
        </references>
      </pivotArea>
    </format>
    <format dxfId="171">
      <pivotArea dataOnly="0" labelOnly="1" grandRow="1" outline="0" fieldPosition="0"/>
    </format>
    <format dxfId="170">
      <pivotArea dataOnly="0" labelOnly="1" fieldPosition="0">
        <references count="2">
          <reference field="5" count="9"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"/>
          </reference>
        </references>
      </pivotArea>
    </format>
    <format dxfId="169">
      <pivotArea dataOnly="0" labelOnly="1" fieldPosition="0">
        <references count="2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2"/>
          </reference>
        </references>
      </pivotArea>
    </format>
    <format dxfId="168">
      <pivotArea dataOnly="0" labelOnly="1" fieldPosition="0">
        <references count="2">
          <reference field="5" count="3">
            <x v="1"/>
            <x v="2"/>
            <x v="3"/>
          </reference>
          <reference field="14" count="1" selected="0">
            <x v="3"/>
          </reference>
        </references>
      </pivotArea>
    </format>
    <format dxfId="167">
      <pivotArea dataOnly="0" labelOnly="1" outline="0" axis="axisValues" fieldPosition="0"/>
    </format>
    <format dxfId="28">
      <pivotArea collapsedLevelsAreSubtotals="1" fieldPosition="0">
        <references count="2">
          <reference field="5" count="2">
            <x v="11"/>
            <x v="12"/>
          </reference>
          <reference field="14" count="1" selected="0">
            <x v="1"/>
          </reference>
        </references>
      </pivotArea>
    </format>
    <format dxfId="27">
      <pivotArea collapsedLevelsAreSubtotals="1" fieldPosition="0">
        <references count="1">
          <reference field="14" count="1">
            <x v="2"/>
          </reference>
        </references>
      </pivotArea>
    </format>
    <format dxfId="26">
      <pivotArea collapsedLevelsAreSubtotals="1" fieldPosition="0">
        <references count="2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2"/>
          </reference>
        </references>
      </pivotArea>
    </format>
    <format dxfId="25">
      <pivotArea collapsedLevelsAreSubtotals="1" fieldPosition="0">
        <references count="1">
          <reference field="14" count="1">
            <x v="3"/>
          </reference>
        </references>
      </pivotArea>
    </format>
    <format dxfId="24">
      <pivotArea collapsedLevelsAreSubtotals="1" fieldPosition="0">
        <references count="2">
          <reference field="5" count="3">
            <x v="1"/>
            <x v="2"/>
            <x v="3"/>
          </reference>
          <reference field="14" count="1" selected="0">
            <x v="3"/>
          </reference>
        </references>
      </pivotArea>
    </format>
    <format dxfId="23">
      <pivotArea collapsedLevelsAreSubtotals="1" fieldPosition="0">
        <references count="2">
          <reference field="5" count="1">
            <x v="5"/>
          </reference>
          <reference field="14" count="1" selected="0">
            <x v="1"/>
          </reference>
        </references>
      </pivotArea>
    </format>
    <format dxfId="22">
      <pivotArea collapsedLevelsAreSubtotals="1" fieldPosition="0">
        <references count="2">
          <reference field="5" count="1">
            <x v="8"/>
          </reference>
          <reference field="14" count="1" selected="0">
            <x v="2"/>
          </reference>
        </references>
      </pivotArea>
    </format>
    <format dxfId="21">
      <pivotArea collapsedLevelsAreSubtotals="1" fieldPosition="0">
        <references count="2">
          <reference field="5" count="1">
            <x v="12"/>
          </reference>
          <reference field="14" count="1" selected="0">
            <x v="2"/>
          </reference>
        </references>
      </pivotArea>
    </format>
    <format dxfId="20">
      <pivotArea collapsedLevelsAreSubtotals="1" fieldPosition="0">
        <references count="2">
          <reference field="5" count="1">
            <x v="1"/>
          </reference>
          <reference field="14" count="1" selected="0">
            <x v="3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1"/>
          </reference>
          <reference field="5" count="9"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1"/>
          </reference>
          <reference field="14" count="1">
            <x v="2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1"/>
          </reference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2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1"/>
          </reference>
          <reference field="14" count="1">
            <x v="3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1"/>
          </reference>
          <reference field="5" count="3">
            <x v="1"/>
            <x v="2"/>
            <x v="3"/>
          </reference>
          <reference field="14" count="1" selected="0">
            <x v="3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0"/>
          </reference>
          <reference field="5" count="9"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0"/>
          </reference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2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14" count="1">
            <x v="3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0"/>
          </reference>
          <reference field="5" count="3">
            <x v="1"/>
            <x v="2"/>
            <x v="3"/>
          </reference>
          <reference field="14" count="1" selected="0">
            <x v="3"/>
          </reference>
        </references>
      </pivotArea>
    </format>
    <format dxfId="9">
      <pivotArea field="1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24:D27" firstHeaderRow="1" firstDataRow="1" firstDataCol="1"/>
  <pivotFields count="9">
    <pivotField showAll="0"/>
    <pivotField showAll="0"/>
    <pivotField showAll="0"/>
    <pivotField showAll="0"/>
    <pivotField numFmtId="14" showAll="0"/>
    <pivotField numFmtId="165"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Time-Screen test" fld="8" subtotal="count" baseField="0" baseItem="0"/>
  </dataFields>
  <formats count="14"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8" type="button" dataOnly="0" labelOnly="1" outline="0" axis="axisRow" fieldPosition="0"/>
    </format>
    <format dxfId="160">
      <pivotArea dataOnly="0" labelOnly="1" outline="0" axis="axisValues" fieldPosition="0"/>
    </format>
    <format dxfId="159">
      <pivotArea dataOnly="0" labelOnly="1" fieldPosition="0">
        <references count="1">
          <reference field="8" count="0"/>
        </references>
      </pivotArea>
    </format>
    <format dxfId="158">
      <pivotArea dataOnly="0" labelOnly="1" grandRow="1" outline="0" fieldPosition="0"/>
    </format>
    <format dxfId="157">
      <pivotArea dataOnly="0" labelOnly="1" outline="0" axis="axisValues" fieldPosition="0"/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field="8" type="button" dataOnly="0" labelOnly="1" outline="0" axis="axisRow" fieldPosition="0"/>
    </format>
    <format dxfId="153">
      <pivotArea dataOnly="0" labelOnly="1" outline="0" axis="axisValues" fieldPosition="0"/>
    </format>
    <format dxfId="152">
      <pivotArea dataOnly="0" labelOnly="1" fieldPosition="0">
        <references count="1">
          <reference field="8" count="0"/>
        </references>
      </pivotArea>
    </format>
    <format dxfId="151">
      <pivotArea dataOnly="0" labelOnly="1" grandRow="1" outline="0" fieldPosition="0"/>
    </format>
    <format dxfId="1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77:E86" firstHeaderRow="0" firstDataRow="1" firstDataCol="1"/>
  <pivotFields count="6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5" showAll="0"/>
    <pivotField axis="axisRow" showAll="0" defaultSubtotal="0">
      <items count="3">
        <item x="1"/>
        <item x="2"/>
        <item x="0"/>
      </items>
    </pivotField>
    <pivotField axis="axisRow" showAll="0" defaultSubtotal="0">
      <items count="2">
        <item x="0"/>
        <item x="1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3"/>
    <field x="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Recorded Revenue" fld="1" baseField="0" baseItem="0" numFmtId="165"/>
    <dataField name="Count of  Recorded Revenue2" fld="1" subtotal="count" baseField="1" baseItem="0"/>
  </dataFields>
  <formats count="3">
    <format dxfId="1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0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D30:E80" firstHeaderRow="1" firstDataRow="1" firstDataCol="1"/>
  <pivotFields count="24">
    <pivotField showAll="0"/>
    <pivotField showAll="0"/>
    <pivotField showAll="0"/>
    <pivotField showAll="0"/>
    <pivotField axis="axisRow" showAll="0">
      <items count="50">
        <item x="39"/>
        <item x="26"/>
        <item x="8"/>
        <item x="28"/>
        <item x="37"/>
        <item x="0"/>
        <item x="15"/>
        <item x="36"/>
        <item x="25"/>
        <item x="18"/>
        <item x="30"/>
        <item x="32"/>
        <item x="3"/>
        <item x="4"/>
        <item x="33"/>
        <item x="31"/>
        <item x="27"/>
        <item x="35"/>
        <item x="21"/>
        <item x="1"/>
        <item x="22"/>
        <item x="9"/>
        <item x="19"/>
        <item x="14"/>
        <item x="2"/>
        <item x="16"/>
        <item x="7"/>
        <item x="42"/>
        <item x="5"/>
        <item x="24"/>
        <item x="11"/>
        <item x="43"/>
        <item x="40"/>
        <item x="10"/>
        <item x="23"/>
        <item x="13"/>
        <item x="47"/>
        <item x="46"/>
        <item x="38"/>
        <item x="20"/>
        <item x="44"/>
        <item x="29"/>
        <item x="6"/>
        <item x="48"/>
        <item x="41"/>
        <item x="17"/>
        <item x="12"/>
        <item x="34"/>
        <item x="45"/>
        <item t="default"/>
      </items>
    </pivotField>
    <pivotField numFmtId="14" showAll="0" defaultSubtotal="0"/>
    <pivotField numFmtId="164" showAll="0"/>
    <pivotField showAll="0"/>
    <pivotField dataField="1" numFmtId="165" showAll="0"/>
    <pivotField showAll="0"/>
    <pivotField numFmtId="165"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 Recorded Revenue" fld="8" baseField="0" baseItem="0" numFmtId="165"/>
  </dataFields>
  <formats count="31">
    <format dxfId="107">
      <pivotArea outline="0" collapsedLevelsAreSubtotals="1" fieldPosition="0"/>
    </format>
    <format dxfId="106">
      <pivotArea outline="0" collapsedLevelsAreSubtotals="1" fieldPosition="0"/>
    </format>
    <format dxfId="105">
      <pivotArea outline="0" collapsedLevelsAreSubtotals="1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4" type="button" dataOnly="0" labelOnly="1" outline="0" axis="axisRow" fieldPosition="0"/>
    </format>
    <format dxfId="101">
      <pivotArea dataOnly="0" labelOnly="1" outline="0" axis="axisValues" fieldPosition="0"/>
    </format>
    <format dxfId="100">
      <pivotArea dataOnly="0" labelOnly="1" fieldPosition="0">
        <references count="1">
          <reference field="4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4" type="button" dataOnly="0" labelOnly="1" outline="0" axis="axisRow" fieldPosition="0"/>
    </format>
    <format dxfId="94">
      <pivotArea dataOnly="0" labelOnly="1" outline="0" axis="axisValues" fieldPosition="0"/>
    </format>
    <format dxfId="93">
      <pivotArea dataOnly="0" labelOnly="1" fieldPosition="0">
        <references count="1">
          <reference field="4" count="0"/>
        </references>
      </pivotArea>
    </format>
    <format dxfId="92">
      <pivotArea dataOnly="0" labelOnly="1" grandRow="1" outline="0" fieldPosition="0"/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4" type="button" dataOnly="0" labelOnly="1" outline="0" axis="axisRow" fieldPosition="0"/>
    </format>
    <format dxfId="87">
      <pivotArea dataOnly="0" labelOnly="1" outline="0" axis="axisValues" fieldPosition="0"/>
    </format>
    <format dxfId="86">
      <pivotArea dataOnly="0" labelOnly="1" fieldPosition="0">
        <references count="1">
          <reference field="4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4" type="button" dataOnly="0" labelOnly="1" outline="0" axis="axisRow" fieldPosition="0"/>
    </format>
    <format dxfId="80">
      <pivotArea dataOnly="0" labelOnly="1" outline="0" axis="axisValues" fieldPosition="0"/>
    </format>
    <format dxfId="79">
      <pivotArea dataOnly="0" labelOnly="1" fieldPosition="0">
        <references count="1">
          <reference field="4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8:G22" firstHeaderRow="1" firstDataRow="2" firstDataCol="1"/>
  <pivotFields count="21">
    <pivotField showAll="0"/>
    <pivotField showAll="0"/>
    <pivotField showAll="0"/>
    <pivotField showAll="0"/>
    <pivotField showAll="0"/>
    <pivotField numFmtId="14" showAll="0" defaultSubtotal="0"/>
    <pivotField numFmtId="164" showAll="0"/>
    <pivotField showAll="0"/>
    <pivotField dataField="1" numFmtId="165" showAll="0"/>
    <pivotField showAll="0"/>
    <pivotField numFmtId="165" showAll="0"/>
    <pivotField showAll="0"/>
    <pivotField showAll="0"/>
    <pivotField showAll="0" defaultSubtotal="0"/>
    <pivotField showAll="0" defaultSubtotal="0"/>
    <pivotField showAll="0"/>
    <pivotField showAll="0"/>
    <pivotField showAll="0" defaultSubtotal="0"/>
    <pivotField axis="axisRow" showAll="0">
      <items count="5">
        <item m="1" x="3"/>
        <item m="1" x="2"/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18"/>
  </rowFields>
  <rowItems count="3"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 of  Recorded Revenue" fld="8" baseField="0" baseItem="0" numFmtId="165"/>
  </dataFields>
  <formats count="42">
    <format dxfId="149">
      <pivotArea grandRow="1" outline="0" collapsedLevelsAreSubtotals="1" fieldPosition="0"/>
    </format>
    <format dxfId="148">
      <pivotArea grandRow="1" outline="0" collapsedLevelsAreSubtotals="1" fieldPosition="0"/>
    </format>
    <format dxfId="147">
      <pivotArea grandRow="1" outline="0" collapsedLevelsAreSubtotals="1" fieldPosition="0"/>
    </format>
    <format dxfId="146">
      <pivotArea outline="0" collapsedLevelsAreSubtotals="1" fieldPosition="0"/>
    </format>
    <format dxfId="145">
      <pivotArea outline="0" collapsedLevelsAreSubtotals="1" fieldPosition="0"/>
    </format>
    <format dxfId="144">
      <pivotArea outline="0" collapsedLevelsAreSubtotals="1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type="origin" dataOnly="0" labelOnly="1" outline="0" fieldPosition="0"/>
    </format>
    <format dxfId="140">
      <pivotArea field="20" type="button" dataOnly="0" labelOnly="1" outline="0" axis="axisCol" fieldPosition="0"/>
    </format>
    <format dxfId="139">
      <pivotArea type="topRight" dataOnly="0" labelOnly="1" outline="0" fieldPosition="0"/>
    </format>
    <format dxfId="138">
      <pivotArea dataOnly="0" labelOnly="1" grandRow="1" outline="0" fieldPosition="0"/>
    </format>
    <format dxfId="137">
      <pivotArea dataOnly="0" labelOnly="1" fieldPosition="0">
        <references count="1">
          <reference field="20" count="0"/>
        </references>
      </pivotArea>
    </format>
    <format dxfId="136">
      <pivotArea dataOnly="0" labelOnly="1" grandCol="1" outline="0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20" type="button" dataOnly="0" labelOnly="1" outline="0" axis="axisCol" fieldPosition="0"/>
    </format>
    <format dxfId="131">
      <pivotArea type="topRight" dataOnly="0" labelOnly="1" outline="0" fieldPosition="0"/>
    </format>
    <format dxfId="130">
      <pivotArea dataOnly="0" labelOnly="1" grandRow="1" outline="0" fieldPosition="0"/>
    </format>
    <format dxfId="129">
      <pivotArea dataOnly="0" labelOnly="1" fieldPosition="0">
        <references count="1">
          <reference field="20" count="0"/>
        </references>
      </pivotArea>
    </format>
    <format dxfId="128">
      <pivotArea dataOnly="0" labelOnly="1" grandCol="1" outline="0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type="origin" dataOnly="0" labelOnly="1" outline="0" fieldPosition="0"/>
    </format>
    <format dxfId="124">
      <pivotArea field="20" type="button" dataOnly="0" labelOnly="1" outline="0" axis="axisCol" fieldPosition="0"/>
    </format>
    <format dxfId="123">
      <pivotArea type="topRight" dataOnly="0" labelOnly="1" outline="0" fieldPosition="0"/>
    </format>
    <format dxfId="122">
      <pivotArea field="18" type="button" dataOnly="0" labelOnly="1" outline="0" axis="axisRow" fieldPosition="0"/>
    </format>
    <format dxfId="121">
      <pivotArea dataOnly="0" labelOnly="1" fieldPosition="0">
        <references count="1">
          <reference field="18" count="0"/>
        </references>
      </pivotArea>
    </format>
    <format dxfId="120">
      <pivotArea dataOnly="0" labelOnly="1" grandRow="1" outline="0" fieldPosition="0"/>
    </format>
    <format dxfId="119">
      <pivotArea dataOnly="0" labelOnly="1" fieldPosition="0">
        <references count="1">
          <reference field="20" count="0"/>
        </references>
      </pivotArea>
    </format>
    <format dxfId="118">
      <pivotArea dataOnly="0" labelOnly="1" grandCol="1" outline="0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type="origin" dataOnly="0" labelOnly="1" outline="0" fieldPosition="0"/>
    </format>
    <format dxfId="114">
      <pivotArea field="20" type="button" dataOnly="0" labelOnly="1" outline="0" axis="axisCol" fieldPosition="0"/>
    </format>
    <format dxfId="113">
      <pivotArea type="topRight" dataOnly="0" labelOnly="1" outline="0" fieldPosition="0"/>
    </format>
    <format dxfId="112">
      <pivotArea field="18" type="button" dataOnly="0" labelOnly="1" outline="0" axis="axisRow" fieldPosition="0"/>
    </format>
    <format dxfId="111">
      <pivotArea dataOnly="0" labelOnly="1" fieldPosition="0">
        <references count="1">
          <reference field="18" count="0"/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20" count="0"/>
        </references>
      </pivotArea>
    </format>
    <format dxfId="10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1" cacheId="4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B70:F79" firstHeaderRow="1" firstDataRow="3" firstDataCol="1"/>
  <pivotFields count="13">
    <pivotField showAll="0" defaultSubtotal="0"/>
    <pivotField showAll="0" defaultSubtotal="0"/>
    <pivotField showAll="0" defaultSubtotal="0"/>
    <pivotField numFmtId="14" showAll="0" defaultSubtotal="0"/>
    <pivotField showAll="0" defaultSubtotal="0"/>
    <pivotField dataField="1" numFmtId="165" showAll="0" defaultSubtotal="0"/>
    <pivotField showAll="0" defaultSubtotal="0"/>
    <pivotField axis="axisCol" showAll="0" defaultSubtotal="0">
      <items count="7">
        <item m="1" x="4"/>
        <item m="1" x="5"/>
        <item m="1" x="3"/>
        <item m="1" x="6"/>
        <item x="0"/>
        <item x="1"/>
        <item x="2"/>
      </items>
    </pivotField>
    <pivotField axis="axisCol" showAll="0" defaultSubtotal="0">
      <items count="2">
        <item x="1"/>
        <item x="0"/>
      </items>
    </pivotField>
    <pivotField showAll="0" defaultSubtotal="0"/>
    <pivotField axis="axisRow" showAll="0" defaultSubtotal="0">
      <items count="6">
        <item x="0"/>
        <item x="4"/>
        <item x="3"/>
        <item x="2"/>
        <item x="1"/>
        <item x="5"/>
      </items>
    </pivotField>
    <pivotField showAll="0" defaultSubtotal="0"/>
    <pivotField showAll="0" defaultSubtota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7"/>
    <field x="8"/>
  </colFields>
  <colItems count="4">
    <i>
      <x v="4"/>
      <x v="1"/>
    </i>
    <i>
      <x v="5"/>
      <x/>
    </i>
    <i r="1">
      <x v="1"/>
    </i>
    <i>
      <x v="6"/>
      <x/>
    </i>
  </colItems>
  <dataFields count="1">
    <dataField name="Sum of Value of transaction" fld="5" baseField="0" baseItem="0" numFmtId="165"/>
  </dataFields>
  <formats count="39">
    <format dxfId="76">
      <pivotArea outline="0" collapsedLevelsAreSubtotals="1" fieldPosition="0"/>
    </format>
    <format dxfId="75">
      <pivotArea outline="0" collapsedLevelsAreSubtotals="1" fieldPosition="0"/>
    </format>
    <format dxfId="74">
      <pivotArea outline="0" collapsedLevelsAreSubtotals="1" fieldPosition="0"/>
    </format>
    <format dxfId="73">
      <pivotArea outline="0" collapsedLevelsAreSubtotals="1" fieldPosition="0">
        <references count="2">
          <reference field="7" count="1" selected="0">
            <x v="0"/>
          </reference>
          <reference field="8" count="1" selected="0">
            <x v="1"/>
          </reference>
        </references>
      </pivotArea>
    </format>
    <format dxfId="72">
      <pivotArea outline="0" collapsedLevelsAreSubtotals="1" fieldPosition="0">
        <references count="2">
          <reference field="7" count="1" selected="0">
            <x v="2"/>
          </reference>
          <reference field="8" count="1" selected="0">
            <x v="1"/>
          </reference>
        </references>
      </pivotArea>
    </format>
    <format dxfId="71">
      <pivotArea collapsedLevelsAreSubtotals="1" fieldPosition="0">
        <references count="3">
          <reference field="7" count="1" selected="0">
            <x v="4"/>
          </reference>
          <reference field="8" count="1" selected="0">
            <x v="1"/>
          </reference>
          <reference field="10" count="0"/>
        </references>
      </pivotArea>
    </format>
    <format dxfId="70">
      <pivotArea dataOnly="0" labelOnly="1" fieldPosition="0">
        <references count="2">
          <reference field="7" count="1" selected="0">
            <x v="4"/>
          </reference>
          <reference field="8" count="1">
            <x v="1"/>
          </reference>
        </references>
      </pivotArea>
    </format>
    <format dxfId="69">
      <pivotArea outline="0" collapsedLevelsAreSubtotals="1" fieldPosition="0">
        <references count="2">
          <reference field="7" count="1" selected="0">
            <x v="5"/>
          </reference>
          <reference field="8" count="1" selected="0">
            <x v="1"/>
          </reference>
        </references>
      </pivotArea>
    </format>
    <format dxfId="68">
      <pivotArea dataOnly="0" labelOnly="1" fieldPosition="0">
        <references count="2">
          <reference field="7" count="1" selected="0">
            <x v="5"/>
          </reference>
          <reference field="8" count="1">
            <x v="1"/>
          </reference>
        </references>
      </pivotArea>
    </format>
    <format dxfId="67">
      <pivotArea dataOnly="0" labelOnly="1" fieldPosition="0">
        <references count="1">
          <reference field="7" count="0"/>
        </references>
      </pivotArea>
    </format>
    <format dxfId="66">
      <pivotArea dataOnly="0" labelOnly="1" fieldPosition="0">
        <references count="2">
          <reference field="7" count="1" selected="0">
            <x v="4"/>
          </reference>
          <reference field="8" count="1">
            <x v="1"/>
          </reference>
        </references>
      </pivotArea>
    </format>
    <format dxfId="65">
      <pivotArea dataOnly="0" labelOnly="1" fieldPosition="0">
        <references count="2">
          <reference field="7" count="1" selected="0">
            <x v="5"/>
          </reference>
          <reference field="8" count="0"/>
        </references>
      </pivotArea>
    </format>
    <format dxfId="64">
      <pivotArea dataOnly="0" labelOnly="1" fieldPosition="0">
        <references count="2">
          <reference field="7" count="1" selected="0">
            <x v="6"/>
          </reference>
          <reference field="8" count="1">
            <x v="0"/>
          </reference>
        </references>
      </pivotArea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7" type="button" dataOnly="0" labelOnly="1" outline="0" axis="axisCol" fieldPosition="0"/>
    </format>
    <format dxfId="59">
      <pivotArea field="8" type="button" dataOnly="0" labelOnly="1" outline="0" axis="axisCol" fieldPosition="1"/>
    </format>
    <format dxfId="58">
      <pivotArea type="topRight" dataOnly="0" labelOnly="1" outline="0" fieldPosition="0"/>
    </format>
    <format dxfId="57">
      <pivotArea field="10" type="button" dataOnly="0" labelOnly="1" outline="0" axis="axisRow" fieldPosition="0"/>
    </format>
    <format dxfId="56">
      <pivotArea dataOnly="0" labelOnly="1" fieldPosition="0">
        <references count="1">
          <reference field="10" count="0"/>
        </references>
      </pivotArea>
    </format>
    <format dxfId="55">
      <pivotArea dataOnly="0" labelOnly="1" grandRow="1" outline="0" fieldPosition="0"/>
    </format>
    <format dxfId="54">
      <pivotArea dataOnly="0" labelOnly="1" fieldPosition="0">
        <references count="1">
          <reference field="7" count="0"/>
        </references>
      </pivotArea>
    </format>
    <format dxfId="53">
      <pivotArea dataOnly="0" labelOnly="1" fieldPosition="0">
        <references count="2">
          <reference field="7" count="1" selected="0">
            <x v="4"/>
          </reference>
          <reference field="8" count="1">
            <x v="1"/>
          </reference>
        </references>
      </pivotArea>
    </format>
    <format dxfId="52">
      <pivotArea dataOnly="0" labelOnly="1" fieldPosition="0">
        <references count="2">
          <reference field="7" count="1" selected="0">
            <x v="5"/>
          </reference>
          <reference field="8" count="0"/>
        </references>
      </pivotArea>
    </format>
    <format dxfId="51">
      <pivotArea dataOnly="0" labelOnly="1" fieldPosition="0">
        <references count="2">
          <reference field="7" count="1" selected="0">
            <x v="6"/>
          </reference>
          <reference field="8" count="1">
            <x v="0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7" type="button" dataOnly="0" labelOnly="1" outline="0" axis="axisCol" fieldPosition="0"/>
    </format>
    <format dxfId="46">
      <pivotArea field="8" type="button" dataOnly="0" labelOnly="1" outline="0" axis="axisCol" fieldPosition="1"/>
    </format>
    <format dxfId="45">
      <pivotArea type="topRight" dataOnly="0" labelOnly="1" outline="0" fieldPosition="0"/>
    </format>
    <format dxfId="44">
      <pivotArea field="10" type="button" dataOnly="0" labelOnly="1" outline="0" axis="axisRow" fieldPosition="0"/>
    </format>
    <format dxfId="43">
      <pivotArea dataOnly="0" labelOnly="1" fieldPosition="0">
        <references count="1">
          <reference field="10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7" count="0"/>
        </references>
      </pivotArea>
    </format>
    <format dxfId="40">
      <pivotArea dataOnly="0" labelOnly="1" fieldPosition="0">
        <references count="2">
          <reference field="7" count="1" selected="0">
            <x v="4"/>
          </reference>
          <reference field="8" count="1">
            <x v="1"/>
          </reference>
        </references>
      </pivotArea>
    </format>
    <format dxfId="39">
      <pivotArea dataOnly="0" labelOnly="1" fieldPosition="0">
        <references count="2">
          <reference field="7" count="1" selected="0">
            <x v="5"/>
          </reference>
          <reference field="8" count="0"/>
        </references>
      </pivotArea>
    </format>
    <format dxfId="38">
      <pivotArea dataOnly="0" labelOnly="1" fieldPosition="0">
        <references count="2">
          <reference field="7" count="1" selected="0">
            <x v="6"/>
          </reference>
          <reference field="8" count="1">
            <x v="0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3" cacheId="2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B21:C27" firstHeaderRow="1" firstDataRow="1" firstDataCol="1" rowPageCount="1" colPageCount="1"/>
  <pivotFields count="21">
    <pivotField showAll="0" defaultSubtotal="0"/>
    <pivotField showAll="0" defaultSubtotal="0"/>
    <pivotField showAll="0" defaultSubtotal="0"/>
    <pivotField showAll="0" defaultSubtotal="0"/>
    <pivotField showAll="0" defaultSubtotal="0"/>
    <pivotField numFmtId="14" showAll="0" defaultSubtotal="0"/>
    <pivotField numFmtId="164" showAll="0" defaultSubtotal="0"/>
    <pivotField showAll="0" defaultSubtotal="0"/>
    <pivotField dataField="1" numFmtId="165" showAll="0" defaultSubtotal="0"/>
    <pivotField showAll="0" defaultSubtotal="0"/>
    <pivotField numFmtId="165" showAll="0" defaultSubtotal="0"/>
    <pivotField axis="axisRow" showAll="0" defaultSubtotal="0">
      <items count="23">
        <item x="19"/>
        <item x="13"/>
        <item x="4"/>
        <item x="3"/>
        <item x="20"/>
        <item x="12"/>
        <item x="18"/>
        <item x="10"/>
        <item x="15"/>
        <item x="14"/>
        <item x="8"/>
        <item x="1"/>
        <item x="6"/>
        <item x="11"/>
        <item x="7"/>
        <item x="0"/>
        <item x="2"/>
        <item x="22"/>
        <item x="9"/>
        <item x="21"/>
        <item x="17"/>
        <item x="16"/>
        <item x="5"/>
      </items>
    </pivotField>
    <pivotField axis="axisRow" showAll="0" defaultSubtotal="0">
      <items count="16">
        <item x="2"/>
        <item x="9"/>
        <item x="11"/>
        <item x="7"/>
        <item x="3"/>
        <item x="12"/>
        <item x="14"/>
        <item x="1"/>
        <item x="0"/>
        <item x="10"/>
        <item x="6"/>
        <item x="5"/>
        <item x="15"/>
        <item x="8"/>
        <item x="13"/>
        <item x="4"/>
      </items>
    </pivotField>
    <pivotField showAll="0" defaultSubtotal="0"/>
    <pivotField showAll="0" defaultSubtotal="0"/>
    <pivotField showAll="0" defaultSubtotal="0"/>
    <pivotField showAll="0" defaultSubtotal="0"/>
    <pivotField axis="axisPage" multipleItemSelectionAllowed="1" showAll="0" defaultSubtotal="0">
      <items count="2">
        <item h="1" x="0"/>
        <item x="1"/>
      </items>
    </pivotField>
    <pivotField showAll="0" defaultSubtotal="0"/>
    <pivotField showAll="0" defaultSubtotal="0"/>
    <pivotField showAll="0" defaultSubtotal="0"/>
  </pivotFields>
  <rowFields count="2">
    <field x="12"/>
    <field x="11"/>
  </rowFields>
  <rowItems count="6">
    <i>
      <x v="14"/>
    </i>
    <i r="1">
      <x v="20"/>
    </i>
    <i r="1">
      <x v="21"/>
    </i>
    <i>
      <x v="15"/>
    </i>
    <i r="1">
      <x v="22"/>
    </i>
    <i t="grand">
      <x/>
    </i>
  </rowItems>
  <colItems count="1">
    <i/>
  </colItems>
  <pageFields count="1">
    <pageField fld="17" hier="-1"/>
  </pageFields>
  <dataFields count="1">
    <dataField name="Sum of  Recorded Revenue" fld="8" baseField="0" baseItem="0" numFmtId="166"/>
  </dataFields>
  <formats count="9">
    <format dxfId="37">
      <pivotArea outline="0" collapsedLevelsAreSubtotals="1" fieldPosition="0"/>
    </format>
    <format dxfId="36">
      <pivotArea outline="0" collapsedLevelsAreSubtotals="1" fieldPosition="0"/>
    </format>
    <format dxfId="35">
      <pivotArea outline="0" collapsedLevelsAreSubtotals="1" fieldPosition="0"/>
    </format>
    <format dxfId="34">
      <pivotArea outline="0" collapsedLevelsAreSubtotals="1" fieldPosition="0"/>
    </format>
    <format dxfId="33">
      <pivotArea outline="0" collapsedLevelsAreSubtotals="1" fieldPosition="0"/>
    </format>
    <format dxfId="32">
      <pivotArea collapsedLevelsAreSubtotals="1" fieldPosition="0">
        <references count="2">
          <reference field="11" count="2">
            <x v="20"/>
            <x v="21"/>
          </reference>
          <reference field="12" count="1" selected="0">
            <x v="14"/>
          </reference>
        </references>
      </pivotArea>
    </format>
    <format dxfId="31">
      <pivotArea collapsedLevelsAreSubtotals="1" fieldPosition="0">
        <references count="1">
          <reference field="12" count="1">
            <x v="15"/>
          </reference>
        </references>
      </pivotArea>
    </format>
    <format dxfId="30">
      <pivotArea collapsedLevelsAreSubtotals="1" fieldPosition="0">
        <references count="2">
          <reference field="11" count="1">
            <x v="22"/>
          </reference>
          <reference field="12" count="1" selected="0">
            <x v="15"/>
          </reference>
        </references>
      </pivotArea>
    </format>
    <format dxfId="2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606"/>
  <sheetViews>
    <sheetView tabSelected="1" zoomScale="90" zoomScaleNormal="90" workbookViewId="0">
      <selection activeCell="B4" sqref="B4"/>
    </sheetView>
  </sheetViews>
  <sheetFormatPr defaultRowHeight="17.5" x14ac:dyDescent="0.5"/>
  <cols>
    <col min="1" max="2" width="8.7265625" style="2"/>
    <col min="3" max="3" width="13.81640625" style="2" bestFit="1" customWidth="1"/>
    <col min="4" max="4" width="16.1796875" style="2" bestFit="1" customWidth="1"/>
    <col min="5" max="5" width="19.08984375" style="2" customWidth="1"/>
    <col min="6" max="6" width="12.6328125" style="2" bestFit="1" customWidth="1"/>
    <col min="7" max="7" width="45.81640625" style="2" bestFit="1" customWidth="1"/>
    <col min="8" max="8" width="19.81640625" style="2" bestFit="1" customWidth="1"/>
    <col min="9" max="9" width="14.54296875" style="2" bestFit="1" customWidth="1"/>
    <col min="10" max="10" width="18.81640625" style="2" bestFit="1" customWidth="1"/>
    <col min="11" max="11" width="18.7265625" style="2" bestFit="1" customWidth="1"/>
    <col min="12" max="12" width="12.54296875" style="2" bestFit="1" customWidth="1"/>
    <col min="13" max="13" width="10.54296875" style="2" bestFit="1" customWidth="1"/>
    <col min="14" max="14" width="12.36328125" style="2" bestFit="1" customWidth="1"/>
    <col min="15" max="15" width="20.26953125" style="2" customWidth="1"/>
    <col min="16" max="16" width="23.81640625" style="2" bestFit="1" customWidth="1"/>
    <col min="17" max="17" width="26.54296875" style="2" customWidth="1"/>
    <col min="18" max="20" width="28.1796875" style="2" customWidth="1"/>
    <col min="21" max="22" width="22.7265625" style="2" customWidth="1"/>
    <col min="23" max="24" width="20.6328125" style="2" customWidth="1"/>
    <col min="25" max="25" width="18.36328125" style="2" bestFit="1" customWidth="1"/>
    <col min="26" max="16384" width="8.7265625" style="2"/>
  </cols>
  <sheetData>
    <row r="1" spans="2:26" x14ac:dyDescent="0.5">
      <c r="U1" s="37"/>
      <c r="V1" s="37"/>
    </row>
    <row r="2" spans="2:26" x14ac:dyDescent="0.5">
      <c r="C2" s="43"/>
      <c r="D2" s="43"/>
      <c r="E2" s="43"/>
      <c r="F2" s="43"/>
      <c r="G2" s="43"/>
      <c r="H2" s="44" t="s">
        <v>1557</v>
      </c>
      <c r="I2" s="44"/>
      <c r="J2" s="44"/>
      <c r="K2" s="44"/>
      <c r="L2" s="44"/>
      <c r="M2" s="43"/>
      <c r="N2" s="43"/>
      <c r="O2" s="43"/>
      <c r="Q2" s="4"/>
      <c r="U2" s="38" t="s">
        <v>1555</v>
      </c>
      <c r="V2" s="38"/>
    </row>
    <row r="3" spans="2:26" x14ac:dyDescent="0.5">
      <c r="U3" s="37"/>
      <c r="V3" s="37"/>
    </row>
    <row r="4" spans="2:26" x14ac:dyDescent="0.5">
      <c r="B4" s="29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1590</v>
      </c>
      <c r="H4" s="29" t="s">
        <v>6</v>
      </c>
      <c r="I4" s="29" t="s">
        <v>7</v>
      </c>
      <c r="J4" s="29" t="s">
        <v>8</v>
      </c>
      <c r="K4" s="29" t="s">
        <v>9</v>
      </c>
      <c r="L4" s="29" t="s">
        <v>10</v>
      </c>
      <c r="M4" s="29" t="s">
        <v>11</v>
      </c>
      <c r="N4" s="29" t="s">
        <v>12</v>
      </c>
      <c r="O4" s="57" t="s">
        <v>1573</v>
      </c>
      <c r="P4" s="57" t="s">
        <v>1574</v>
      </c>
      <c r="Q4" s="39" t="s">
        <v>1312</v>
      </c>
      <c r="R4" s="39" t="s">
        <v>1313</v>
      </c>
      <c r="S4" s="39" t="s">
        <v>1332</v>
      </c>
      <c r="T4" s="39" t="s">
        <v>1333</v>
      </c>
      <c r="U4" s="40" t="s">
        <v>1307</v>
      </c>
      <c r="V4" s="40" t="s">
        <v>1589</v>
      </c>
      <c r="W4" s="39" t="s">
        <v>1338</v>
      </c>
      <c r="X4" s="39" t="s">
        <v>1343</v>
      </c>
      <c r="Y4" s="39" t="s">
        <v>1563</v>
      </c>
      <c r="Z4" s="4"/>
    </row>
    <row r="5" spans="2:26" x14ac:dyDescent="0.5">
      <c r="B5" s="30">
        <v>1</v>
      </c>
      <c r="C5" s="30" t="s">
        <v>13</v>
      </c>
      <c r="D5" s="31">
        <v>20211</v>
      </c>
      <c r="E5" s="30" t="s">
        <v>14</v>
      </c>
      <c r="F5" s="53" t="s">
        <v>15</v>
      </c>
      <c r="G5" s="32">
        <v>43922</v>
      </c>
      <c r="H5" s="33">
        <v>0.43784987760840444</v>
      </c>
      <c r="I5" s="30" t="s">
        <v>16</v>
      </c>
      <c r="J5" s="34">
        <v>483830</v>
      </c>
      <c r="K5" s="35" t="s">
        <v>17</v>
      </c>
      <c r="L5" s="36">
        <v>87089.4</v>
      </c>
      <c r="M5" s="30" t="s">
        <v>18</v>
      </c>
      <c r="N5" s="30" t="s">
        <v>19</v>
      </c>
      <c r="O5" s="30" t="s">
        <v>1542</v>
      </c>
      <c r="P5" s="30" t="s">
        <v>1542</v>
      </c>
      <c r="Q5" s="30" t="str">
        <f>IF(J5&lt;200000,"SE",IF(J5&lt;500000,"AM",IF(J5&lt;1000000,"DM",IF(J5&lt;4500000,"SM",IF(J5&gt;=4500000,"CM")))))</f>
        <v>AM</v>
      </c>
      <c r="R5" s="30" t="str">
        <f>IF(Q5="SE","AM",IF(Q5="AM","DM",IF(Q5="DM","SM",IF(Q5="SM","CM",IF(Q5="CM","CFO")))))</f>
        <v>DM</v>
      </c>
      <c r="S5" s="30" t="str">
        <f>VLOOKUP(M5,'Data - Employee Rights Master'!$C$3:$D$32,2,0)</f>
        <v>AM</v>
      </c>
      <c r="T5" s="30" t="str">
        <f>VLOOKUP(N5,'Data - Employee Rights Master'!$C$3:$D$32,2,0)</f>
        <v>DM</v>
      </c>
      <c r="U5" s="41" t="str">
        <f>IF(AND(S5=Q5,T5=R5),"PASS","DEVIATION")</f>
        <v>PASS</v>
      </c>
      <c r="V5" s="41" t="str">
        <f>IF(J5&gt;5000000,IF(AND(O5="Approved",P5&lt;&gt;"NA"),"PASS","FLAG"),"NA")</f>
        <v>NA</v>
      </c>
      <c r="W5" s="30" t="str">
        <f>LEFT(C5,4)</f>
        <v>2021</v>
      </c>
      <c r="X5" s="30" t="str">
        <f>VLOOKUP(MONTH(G5),Key!$F$3:$G$14,2,0)</f>
        <v>Apr</v>
      </c>
      <c r="Y5" s="30" t="str">
        <f>IFERROR(IF(MATCH(F5,'Test 6'!C$5:C$9,0)&gt;0,"RP"),"NON-RP")</f>
        <v>NON-RP</v>
      </c>
    </row>
    <row r="6" spans="2:26" x14ac:dyDescent="0.5">
      <c r="B6" s="30">
        <v>2</v>
      </c>
      <c r="C6" s="30" t="s">
        <v>20</v>
      </c>
      <c r="D6" s="31">
        <v>20212</v>
      </c>
      <c r="E6" s="30" t="s">
        <v>21</v>
      </c>
      <c r="F6" s="53" t="s">
        <v>22</v>
      </c>
      <c r="G6" s="32">
        <v>43924</v>
      </c>
      <c r="H6" s="33">
        <v>0.42139180324640757</v>
      </c>
      <c r="I6" s="30" t="s">
        <v>16</v>
      </c>
      <c r="J6" s="34">
        <v>462100</v>
      </c>
      <c r="K6" s="35" t="s">
        <v>17</v>
      </c>
      <c r="L6" s="36">
        <v>83178</v>
      </c>
      <c r="M6" s="30" t="s">
        <v>23</v>
      </c>
      <c r="N6" s="30" t="s">
        <v>24</v>
      </c>
      <c r="O6" s="30" t="s">
        <v>1542</v>
      </c>
      <c r="P6" s="30" t="s">
        <v>1542</v>
      </c>
      <c r="Q6" s="30" t="str">
        <f t="shared" ref="Q6:Q69" si="0">IF(J6&lt;200000,"SE",IF(J6&lt;500000,"AM",IF(J6&lt;1000000,"DM",IF(J6&lt;4500000,"SM",IF(J6&gt;=4500000,"CM")))))</f>
        <v>AM</v>
      </c>
      <c r="R6" s="30" t="str">
        <f t="shared" ref="R6:R69" si="1">IF(Q6="SE","AM",IF(Q6="AM","DM",IF(Q6="DM","SM",IF(Q6="SM","CM",IF(Q6="CM","CFO")))))</f>
        <v>DM</v>
      </c>
      <c r="S6" s="30" t="str">
        <f>VLOOKUP(M6,'Data - Employee Rights Master'!$C$3:$D$32,2,0)</f>
        <v>AM</v>
      </c>
      <c r="T6" s="30" t="str">
        <f>VLOOKUP(N6,'Data - Employee Rights Master'!$C$3:$D$32,2,0)</f>
        <v>DM</v>
      </c>
      <c r="U6" s="41" t="str">
        <f t="shared" ref="U6:U69" si="2">IF(AND(S6=Q6,T6=R6),"PASS","DEVIATION")</f>
        <v>PASS</v>
      </c>
      <c r="V6" s="41" t="str">
        <f t="shared" ref="V6:V69" si="3">IF(J6&gt;5000000,IF(AND(O6="Approved",P6&lt;&gt;"NA"),"PASS","FLAG"),"NA")</f>
        <v>NA</v>
      </c>
      <c r="W6" s="30" t="str">
        <f t="shared" ref="W6:W69" si="4">LEFT(C6,4)</f>
        <v>2021</v>
      </c>
      <c r="X6" s="30" t="str">
        <f>VLOOKUP(MONTH(G6),Key!$F$3:$G$14,2,0)</f>
        <v>Apr</v>
      </c>
      <c r="Y6" s="30" t="str">
        <f>IFERROR(IF(MATCH(F6,'Test 6'!C$5:C$9,0)&gt;0,"RP"),"NON-RP")</f>
        <v>NON-RP</v>
      </c>
    </row>
    <row r="7" spans="2:26" x14ac:dyDescent="0.5">
      <c r="B7" s="30">
        <v>3</v>
      </c>
      <c r="C7" s="30" t="s">
        <v>25</v>
      </c>
      <c r="D7" s="31">
        <v>20213</v>
      </c>
      <c r="E7" s="30" t="s">
        <v>26</v>
      </c>
      <c r="F7" s="53" t="s">
        <v>27</v>
      </c>
      <c r="G7" s="32">
        <v>43924</v>
      </c>
      <c r="H7" s="33">
        <v>0.49380763471607986</v>
      </c>
      <c r="I7" s="30" t="s">
        <v>16</v>
      </c>
      <c r="J7" s="34">
        <v>372600</v>
      </c>
      <c r="K7" s="35" t="s">
        <v>17</v>
      </c>
      <c r="L7" s="36">
        <v>67068</v>
      </c>
      <c r="M7" s="30" t="s">
        <v>28</v>
      </c>
      <c r="N7" s="30" t="s">
        <v>24</v>
      </c>
      <c r="O7" s="30" t="s">
        <v>1542</v>
      </c>
      <c r="P7" s="30" t="s">
        <v>1542</v>
      </c>
      <c r="Q7" s="30" t="str">
        <f t="shared" si="0"/>
        <v>AM</v>
      </c>
      <c r="R7" s="30" t="str">
        <f t="shared" si="1"/>
        <v>DM</v>
      </c>
      <c r="S7" s="30" t="str">
        <f>VLOOKUP(M7,'Data - Employee Rights Master'!$C$3:$D$32,2,0)</f>
        <v>AM</v>
      </c>
      <c r="T7" s="30" t="str">
        <f>VLOOKUP(N7,'Data - Employee Rights Master'!$C$3:$D$32,2,0)</f>
        <v>DM</v>
      </c>
      <c r="U7" s="41" t="str">
        <f t="shared" si="2"/>
        <v>PASS</v>
      </c>
      <c r="V7" s="41" t="str">
        <f t="shared" si="3"/>
        <v>NA</v>
      </c>
      <c r="W7" s="30" t="str">
        <f t="shared" si="4"/>
        <v>2021</v>
      </c>
      <c r="X7" s="30" t="str">
        <f>VLOOKUP(MONTH(G7),Key!$F$3:$G$14,2,0)</f>
        <v>Apr</v>
      </c>
      <c r="Y7" s="30" t="str">
        <f>IFERROR(IF(MATCH(F7,'Test 6'!C$5:C$9,0)&gt;0,"RP"),"NON-RP")</f>
        <v>NON-RP</v>
      </c>
    </row>
    <row r="8" spans="2:26" x14ac:dyDescent="0.5">
      <c r="B8" s="30">
        <v>4</v>
      </c>
      <c r="C8" s="30" t="s">
        <v>29</v>
      </c>
      <c r="D8" s="31">
        <v>20214</v>
      </c>
      <c r="E8" s="30" t="s">
        <v>30</v>
      </c>
      <c r="F8" s="53" t="s">
        <v>27</v>
      </c>
      <c r="G8" s="32">
        <v>43925</v>
      </c>
      <c r="H8" s="33">
        <v>0.74319213476193235</v>
      </c>
      <c r="I8" s="30" t="s">
        <v>16</v>
      </c>
      <c r="J8" s="34">
        <v>34370</v>
      </c>
      <c r="K8" s="35" t="s">
        <v>17</v>
      </c>
      <c r="L8" s="36">
        <v>6186.5999999999995</v>
      </c>
      <c r="M8" s="30" t="s">
        <v>31</v>
      </c>
      <c r="N8" s="30" t="s">
        <v>32</v>
      </c>
      <c r="O8" s="30" t="s">
        <v>1542</v>
      </c>
      <c r="P8" s="30" t="s">
        <v>1542</v>
      </c>
      <c r="Q8" s="30" t="str">
        <f t="shared" si="0"/>
        <v>SE</v>
      </c>
      <c r="R8" s="30" t="str">
        <f t="shared" si="1"/>
        <v>AM</v>
      </c>
      <c r="S8" s="30" t="str">
        <f>VLOOKUP(M8,'Data - Employee Rights Master'!$C$3:$D$32,2,0)</f>
        <v>SE</v>
      </c>
      <c r="T8" s="30" t="str">
        <f>VLOOKUP(N8,'Data - Employee Rights Master'!$C$3:$D$32,2,0)</f>
        <v>AM</v>
      </c>
      <c r="U8" s="41" t="str">
        <f t="shared" si="2"/>
        <v>PASS</v>
      </c>
      <c r="V8" s="41" t="str">
        <f t="shared" si="3"/>
        <v>NA</v>
      </c>
      <c r="W8" s="30" t="str">
        <f t="shared" si="4"/>
        <v>2021</v>
      </c>
      <c r="X8" s="30" t="str">
        <f>VLOOKUP(MONTH(G8),Key!$F$3:$G$14,2,0)</f>
        <v>Apr</v>
      </c>
      <c r="Y8" s="30" t="str">
        <f>IFERROR(IF(MATCH(F8,'Test 6'!C$5:C$9,0)&gt;0,"RP"),"NON-RP")</f>
        <v>NON-RP</v>
      </c>
    </row>
    <row r="9" spans="2:26" x14ac:dyDescent="0.5">
      <c r="B9" s="30">
        <v>5</v>
      </c>
      <c r="C9" s="30" t="s">
        <v>33</v>
      </c>
      <c r="D9" s="31">
        <v>20215</v>
      </c>
      <c r="E9" s="30" t="s">
        <v>34</v>
      </c>
      <c r="F9" s="53" t="s">
        <v>35</v>
      </c>
      <c r="G9" s="32">
        <v>43925</v>
      </c>
      <c r="H9" s="33">
        <v>0.55947833391149038</v>
      </c>
      <c r="I9" s="30" t="s">
        <v>16</v>
      </c>
      <c r="J9" s="34">
        <v>24190</v>
      </c>
      <c r="K9" s="35" t="s">
        <v>17</v>
      </c>
      <c r="L9" s="36">
        <v>4354.2</v>
      </c>
      <c r="M9" s="30" t="s">
        <v>36</v>
      </c>
      <c r="N9" s="30" t="s">
        <v>37</v>
      </c>
      <c r="O9" s="30" t="s">
        <v>1542</v>
      </c>
      <c r="P9" s="30" t="s">
        <v>1542</v>
      </c>
      <c r="Q9" s="30" t="str">
        <f t="shared" si="0"/>
        <v>SE</v>
      </c>
      <c r="R9" s="30" t="str">
        <f t="shared" si="1"/>
        <v>AM</v>
      </c>
      <c r="S9" s="30" t="str">
        <f>VLOOKUP(M9,'Data - Employee Rights Master'!$C$3:$D$32,2,0)</f>
        <v>SE</v>
      </c>
      <c r="T9" s="30" t="str">
        <f>VLOOKUP(N9,'Data - Employee Rights Master'!$C$3:$D$32,2,0)</f>
        <v>AM</v>
      </c>
      <c r="U9" s="41" t="str">
        <f t="shared" si="2"/>
        <v>PASS</v>
      </c>
      <c r="V9" s="41" t="str">
        <f t="shared" si="3"/>
        <v>NA</v>
      </c>
      <c r="W9" s="30" t="str">
        <f t="shared" si="4"/>
        <v>2021</v>
      </c>
      <c r="X9" s="30" t="str">
        <f>VLOOKUP(MONTH(G9),Key!$F$3:$G$14,2,0)</f>
        <v>Apr</v>
      </c>
      <c r="Y9" s="30" t="str">
        <f>IFERROR(IF(MATCH(F9,'Test 6'!C$5:C$9,0)&gt;0,"RP"),"NON-RP")</f>
        <v>NON-RP</v>
      </c>
    </row>
    <row r="10" spans="2:26" x14ac:dyDescent="0.5">
      <c r="B10" s="30">
        <v>6</v>
      </c>
      <c r="C10" s="30" t="s">
        <v>38</v>
      </c>
      <c r="D10" s="31">
        <v>20216</v>
      </c>
      <c r="E10" s="30" t="s">
        <v>39</v>
      </c>
      <c r="F10" s="53" t="s">
        <v>40</v>
      </c>
      <c r="G10" s="32">
        <v>43925</v>
      </c>
      <c r="H10" s="33">
        <v>0.5591579128187314</v>
      </c>
      <c r="I10" s="30" t="s">
        <v>16</v>
      </c>
      <c r="J10" s="34">
        <v>4841510</v>
      </c>
      <c r="K10" s="35" t="s">
        <v>17</v>
      </c>
      <c r="L10" s="36">
        <v>871471.79999999993</v>
      </c>
      <c r="M10" s="30" t="s">
        <v>41</v>
      </c>
      <c r="N10" s="30" t="s">
        <v>42</v>
      </c>
      <c r="O10" s="30" t="s">
        <v>1542</v>
      </c>
      <c r="P10" s="30" t="s">
        <v>1542</v>
      </c>
      <c r="Q10" s="30" t="str">
        <f t="shared" si="0"/>
        <v>CM</v>
      </c>
      <c r="R10" s="30" t="str">
        <f t="shared" si="1"/>
        <v>CFO</v>
      </c>
      <c r="S10" s="30" t="str">
        <f>VLOOKUP(M10,'Data - Employee Rights Master'!$C$3:$D$32,2,0)</f>
        <v>CM</v>
      </c>
      <c r="T10" s="30" t="str">
        <f>VLOOKUP(N10,'Data - Employee Rights Master'!$C$3:$D$32,2,0)</f>
        <v>CFO</v>
      </c>
      <c r="U10" s="41" t="str">
        <f t="shared" si="2"/>
        <v>PASS</v>
      </c>
      <c r="V10" s="41" t="str">
        <f t="shared" si="3"/>
        <v>NA</v>
      </c>
      <c r="W10" s="30" t="str">
        <f t="shared" si="4"/>
        <v>2021</v>
      </c>
      <c r="X10" s="30" t="str">
        <f>VLOOKUP(MONTH(G10),Key!$F$3:$G$14,2,0)</f>
        <v>Apr</v>
      </c>
      <c r="Y10" s="30" t="str">
        <f>IFERROR(IF(MATCH(F10,'Test 6'!C$5:C$9,0)&gt;0,"RP"),"NON-RP")</f>
        <v>NON-RP</v>
      </c>
    </row>
    <row r="11" spans="2:26" x14ac:dyDescent="0.5">
      <c r="B11" s="30">
        <v>7</v>
      </c>
      <c r="C11" s="30" t="s">
        <v>43</v>
      </c>
      <c r="D11" s="31">
        <v>20217</v>
      </c>
      <c r="E11" s="30" t="s">
        <v>44</v>
      </c>
      <c r="F11" s="53" t="s">
        <v>45</v>
      </c>
      <c r="G11" s="32">
        <v>43925</v>
      </c>
      <c r="H11" s="33">
        <v>0.67164676470994822</v>
      </c>
      <c r="I11" s="30" t="s">
        <v>16</v>
      </c>
      <c r="J11" s="34">
        <v>469180</v>
      </c>
      <c r="K11" s="35" t="s">
        <v>17</v>
      </c>
      <c r="L11" s="36">
        <v>84452.4</v>
      </c>
      <c r="M11" s="30" t="s">
        <v>46</v>
      </c>
      <c r="N11" s="30" t="s">
        <v>47</v>
      </c>
      <c r="O11" s="30" t="s">
        <v>1542</v>
      </c>
      <c r="P11" s="30" t="s">
        <v>1542</v>
      </c>
      <c r="Q11" s="30" t="str">
        <f t="shared" si="0"/>
        <v>AM</v>
      </c>
      <c r="R11" s="30" t="str">
        <f t="shared" si="1"/>
        <v>DM</v>
      </c>
      <c r="S11" s="30" t="str">
        <f>VLOOKUP(M11,'Data - Employee Rights Master'!$C$3:$D$32,2,0)</f>
        <v>AM</v>
      </c>
      <c r="T11" s="30" t="str">
        <f>VLOOKUP(N11,'Data - Employee Rights Master'!$C$3:$D$32,2,0)</f>
        <v>DM</v>
      </c>
      <c r="U11" s="41" t="str">
        <f t="shared" si="2"/>
        <v>PASS</v>
      </c>
      <c r="V11" s="41" t="str">
        <f t="shared" si="3"/>
        <v>NA</v>
      </c>
      <c r="W11" s="30" t="str">
        <f t="shared" si="4"/>
        <v>2021</v>
      </c>
      <c r="X11" s="30" t="str">
        <f>VLOOKUP(MONTH(G11),Key!$F$3:$G$14,2,0)</f>
        <v>Apr</v>
      </c>
      <c r="Y11" s="30" t="str">
        <f>IFERROR(IF(MATCH(F11,'Test 6'!C$5:C$9,0)&gt;0,"RP"),"NON-RP")</f>
        <v>NON-RP</v>
      </c>
    </row>
    <row r="12" spans="2:26" x14ac:dyDescent="0.5">
      <c r="B12" s="30">
        <v>8</v>
      </c>
      <c r="C12" s="30" t="s">
        <v>48</v>
      </c>
      <c r="D12" s="31">
        <v>20218</v>
      </c>
      <c r="E12" s="30" t="s">
        <v>49</v>
      </c>
      <c r="F12" s="53" t="s">
        <v>50</v>
      </c>
      <c r="G12" s="32">
        <v>43928</v>
      </c>
      <c r="H12" s="33">
        <v>0.43585195848297453</v>
      </c>
      <c r="I12" s="30" t="s">
        <v>16</v>
      </c>
      <c r="J12" s="34">
        <v>480710</v>
      </c>
      <c r="K12" s="35" t="s">
        <v>17</v>
      </c>
      <c r="L12" s="36">
        <v>86527.8</v>
      </c>
      <c r="M12" s="30" t="s">
        <v>37</v>
      </c>
      <c r="N12" s="30" t="s">
        <v>51</v>
      </c>
      <c r="O12" s="30" t="s">
        <v>1542</v>
      </c>
      <c r="P12" s="30" t="s">
        <v>1542</v>
      </c>
      <c r="Q12" s="30" t="str">
        <f t="shared" si="0"/>
        <v>AM</v>
      </c>
      <c r="R12" s="30" t="str">
        <f t="shared" si="1"/>
        <v>DM</v>
      </c>
      <c r="S12" s="30" t="str">
        <f>VLOOKUP(M12,'Data - Employee Rights Master'!$C$3:$D$32,2,0)</f>
        <v>AM</v>
      </c>
      <c r="T12" s="30" t="str">
        <f>VLOOKUP(N12,'Data - Employee Rights Master'!$C$3:$D$32,2,0)</f>
        <v>DM</v>
      </c>
      <c r="U12" s="41" t="str">
        <f t="shared" si="2"/>
        <v>PASS</v>
      </c>
      <c r="V12" s="41" t="str">
        <f t="shared" si="3"/>
        <v>NA</v>
      </c>
      <c r="W12" s="30" t="str">
        <f t="shared" si="4"/>
        <v>2021</v>
      </c>
      <c r="X12" s="30" t="str">
        <f>VLOOKUP(MONTH(G12),Key!$F$3:$G$14,2,0)</f>
        <v>Apr</v>
      </c>
      <c r="Y12" s="30" t="str">
        <f>IFERROR(IF(MATCH(F12,'Test 6'!C$5:C$9,0)&gt;0,"RP"),"NON-RP")</f>
        <v>NON-RP</v>
      </c>
    </row>
    <row r="13" spans="2:26" x14ac:dyDescent="0.5">
      <c r="B13" s="30">
        <v>9</v>
      </c>
      <c r="C13" s="30" t="s">
        <v>52</v>
      </c>
      <c r="D13" s="31">
        <v>20219</v>
      </c>
      <c r="E13" s="30" t="s">
        <v>53</v>
      </c>
      <c r="F13" s="53" t="s">
        <v>54</v>
      </c>
      <c r="G13" s="32">
        <v>43929</v>
      </c>
      <c r="H13" s="33">
        <v>0.56513168121543078</v>
      </c>
      <c r="I13" s="30" t="s">
        <v>16</v>
      </c>
      <c r="J13" s="34">
        <v>343170</v>
      </c>
      <c r="K13" s="35" t="s">
        <v>17</v>
      </c>
      <c r="L13" s="36">
        <v>61770.6</v>
      </c>
      <c r="M13" s="30" t="s">
        <v>18</v>
      </c>
      <c r="N13" s="30" t="s">
        <v>24</v>
      </c>
      <c r="O13" s="30" t="s">
        <v>1542</v>
      </c>
      <c r="P13" s="30" t="s">
        <v>1542</v>
      </c>
      <c r="Q13" s="30" t="str">
        <f t="shared" si="0"/>
        <v>AM</v>
      </c>
      <c r="R13" s="30" t="str">
        <f t="shared" si="1"/>
        <v>DM</v>
      </c>
      <c r="S13" s="30" t="str">
        <f>VLOOKUP(M13,'Data - Employee Rights Master'!$C$3:$D$32,2,0)</f>
        <v>AM</v>
      </c>
      <c r="T13" s="30" t="str">
        <f>VLOOKUP(N13,'Data - Employee Rights Master'!$C$3:$D$32,2,0)</f>
        <v>DM</v>
      </c>
      <c r="U13" s="41" t="str">
        <f t="shared" si="2"/>
        <v>PASS</v>
      </c>
      <c r="V13" s="41" t="str">
        <f t="shared" si="3"/>
        <v>NA</v>
      </c>
      <c r="W13" s="30" t="str">
        <f t="shared" si="4"/>
        <v>2021</v>
      </c>
      <c r="X13" s="30" t="str">
        <f>VLOOKUP(MONTH(G13),Key!$F$3:$G$14,2,0)</f>
        <v>Apr</v>
      </c>
      <c r="Y13" s="30" t="str">
        <f>IFERROR(IF(MATCH(F13,'Test 6'!C$5:C$9,0)&gt;0,"RP"),"NON-RP")</f>
        <v>NON-RP</v>
      </c>
    </row>
    <row r="14" spans="2:26" x14ac:dyDescent="0.5">
      <c r="B14" s="30">
        <v>10</v>
      </c>
      <c r="C14" s="30" t="s">
        <v>55</v>
      </c>
      <c r="D14" s="31">
        <v>202110</v>
      </c>
      <c r="E14" s="30" t="s">
        <v>56</v>
      </c>
      <c r="F14" s="53" t="s">
        <v>57</v>
      </c>
      <c r="G14" s="32">
        <v>43930</v>
      </c>
      <c r="H14" s="33">
        <v>0.51491880777751875</v>
      </c>
      <c r="I14" s="30" t="s">
        <v>16</v>
      </c>
      <c r="J14" s="34">
        <v>474940</v>
      </c>
      <c r="K14" s="35" t="s">
        <v>17</v>
      </c>
      <c r="L14" s="36">
        <v>85489.2</v>
      </c>
      <c r="M14" s="30" t="s">
        <v>32</v>
      </c>
      <c r="N14" s="30" t="s">
        <v>24</v>
      </c>
      <c r="O14" s="30" t="s">
        <v>1542</v>
      </c>
      <c r="P14" s="30" t="s">
        <v>1542</v>
      </c>
      <c r="Q14" s="30" t="str">
        <f t="shared" si="0"/>
        <v>AM</v>
      </c>
      <c r="R14" s="30" t="str">
        <f t="shared" si="1"/>
        <v>DM</v>
      </c>
      <c r="S14" s="30" t="str">
        <f>VLOOKUP(M14,'Data - Employee Rights Master'!$C$3:$D$32,2,0)</f>
        <v>AM</v>
      </c>
      <c r="T14" s="30" t="str">
        <f>VLOOKUP(N14,'Data - Employee Rights Master'!$C$3:$D$32,2,0)</f>
        <v>DM</v>
      </c>
      <c r="U14" s="41" t="str">
        <f t="shared" si="2"/>
        <v>PASS</v>
      </c>
      <c r="V14" s="41" t="str">
        <f t="shared" si="3"/>
        <v>NA</v>
      </c>
      <c r="W14" s="30" t="str">
        <f t="shared" si="4"/>
        <v>2021</v>
      </c>
      <c r="X14" s="30" t="str">
        <f>VLOOKUP(MONTH(G14),Key!$F$3:$G$14,2,0)</f>
        <v>Apr</v>
      </c>
      <c r="Y14" s="30" t="str">
        <f>IFERROR(IF(MATCH(F14,'Test 6'!C$5:C$9,0)&gt;0,"RP"),"NON-RP")</f>
        <v>NON-RP</v>
      </c>
    </row>
    <row r="15" spans="2:26" x14ac:dyDescent="0.5">
      <c r="B15" s="30">
        <v>11</v>
      </c>
      <c r="C15" s="30" t="s">
        <v>58</v>
      </c>
      <c r="D15" s="31">
        <v>202111</v>
      </c>
      <c r="E15" s="30" t="s">
        <v>59</v>
      </c>
      <c r="F15" s="53" t="s">
        <v>60</v>
      </c>
      <c r="G15" s="32">
        <v>43932</v>
      </c>
      <c r="H15" s="33">
        <v>0.64874842307225877</v>
      </c>
      <c r="I15" s="30" t="s">
        <v>16</v>
      </c>
      <c r="J15" s="34">
        <v>50900</v>
      </c>
      <c r="K15" s="35" t="s">
        <v>17</v>
      </c>
      <c r="L15" s="36">
        <v>9162</v>
      </c>
      <c r="M15" s="30" t="s">
        <v>36</v>
      </c>
      <c r="N15" s="30" t="s">
        <v>61</v>
      </c>
      <c r="O15" s="30" t="s">
        <v>1542</v>
      </c>
      <c r="P15" s="30" t="s">
        <v>1542</v>
      </c>
      <c r="Q15" s="30" t="str">
        <f t="shared" si="0"/>
        <v>SE</v>
      </c>
      <c r="R15" s="30" t="str">
        <f t="shared" si="1"/>
        <v>AM</v>
      </c>
      <c r="S15" s="30" t="str">
        <f>VLOOKUP(M15,'Data - Employee Rights Master'!$C$3:$D$32,2,0)</f>
        <v>SE</v>
      </c>
      <c r="T15" s="30" t="str">
        <f>VLOOKUP(N15,'Data - Employee Rights Master'!$C$3:$D$32,2,0)</f>
        <v>AM</v>
      </c>
      <c r="U15" s="41" t="str">
        <f t="shared" si="2"/>
        <v>PASS</v>
      </c>
      <c r="V15" s="41" t="str">
        <f t="shared" si="3"/>
        <v>NA</v>
      </c>
      <c r="W15" s="30" t="str">
        <f t="shared" si="4"/>
        <v>2021</v>
      </c>
      <c r="X15" s="30" t="str">
        <f>VLOOKUP(MONTH(G15),Key!$F$3:$G$14,2,0)</f>
        <v>Apr</v>
      </c>
      <c r="Y15" s="30" t="str">
        <f>IFERROR(IF(MATCH(F15,'Test 6'!C$5:C$9,0)&gt;0,"RP"),"NON-RP")</f>
        <v>NON-RP</v>
      </c>
    </row>
    <row r="16" spans="2:26" x14ac:dyDescent="0.5">
      <c r="B16" s="30">
        <v>12</v>
      </c>
      <c r="C16" s="30" t="s">
        <v>62</v>
      </c>
      <c r="D16" s="31">
        <v>202112</v>
      </c>
      <c r="E16" s="30" t="s">
        <v>63</v>
      </c>
      <c r="F16" s="53" t="s">
        <v>64</v>
      </c>
      <c r="G16" s="32">
        <v>43937</v>
      </c>
      <c r="H16" s="33">
        <v>0.7104412398579546</v>
      </c>
      <c r="I16" s="30" t="s">
        <v>16</v>
      </c>
      <c r="J16" s="34">
        <v>335080</v>
      </c>
      <c r="K16" s="35" t="s">
        <v>17</v>
      </c>
      <c r="L16" s="36">
        <v>60314.399999999994</v>
      </c>
      <c r="M16" s="30" t="s">
        <v>23</v>
      </c>
      <c r="N16" s="30" t="s">
        <v>24</v>
      </c>
      <c r="O16" s="30" t="s">
        <v>1542</v>
      </c>
      <c r="P16" s="30" t="s">
        <v>1542</v>
      </c>
      <c r="Q16" s="30" t="str">
        <f t="shared" si="0"/>
        <v>AM</v>
      </c>
      <c r="R16" s="30" t="str">
        <f t="shared" si="1"/>
        <v>DM</v>
      </c>
      <c r="S16" s="30" t="str">
        <f>VLOOKUP(M16,'Data - Employee Rights Master'!$C$3:$D$32,2,0)</f>
        <v>AM</v>
      </c>
      <c r="T16" s="30" t="str">
        <f>VLOOKUP(N16,'Data - Employee Rights Master'!$C$3:$D$32,2,0)</f>
        <v>DM</v>
      </c>
      <c r="U16" s="41" t="str">
        <f t="shared" si="2"/>
        <v>PASS</v>
      </c>
      <c r="V16" s="41" t="str">
        <f t="shared" si="3"/>
        <v>NA</v>
      </c>
      <c r="W16" s="30" t="str">
        <f t="shared" si="4"/>
        <v>2021</v>
      </c>
      <c r="X16" s="30" t="str">
        <f>VLOOKUP(MONTH(G16),Key!$F$3:$G$14,2,0)</f>
        <v>Apr</v>
      </c>
      <c r="Y16" s="30" t="str">
        <f>IFERROR(IF(MATCH(F16,'Test 6'!C$5:C$9,0)&gt;0,"RP"),"NON-RP")</f>
        <v>NON-RP</v>
      </c>
    </row>
    <row r="17" spans="2:25" x14ac:dyDescent="0.5">
      <c r="B17" s="30">
        <v>13</v>
      </c>
      <c r="C17" s="30" t="s">
        <v>65</v>
      </c>
      <c r="D17" s="31">
        <v>202113</v>
      </c>
      <c r="E17" s="30" t="s">
        <v>66</v>
      </c>
      <c r="F17" s="53" t="s">
        <v>67</v>
      </c>
      <c r="G17" s="32">
        <v>43939</v>
      </c>
      <c r="H17" s="33">
        <v>0.61970165913732178</v>
      </c>
      <c r="I17" s="30" t="s">
        <v>16</v>
      </c>
      <c r="J17" s="34">
        <v>501490</v>
      </c>
      <c r="K17" s="35" t="s">
        <v>17</v>
      </c>
      <c r="L17" s="36">
        <v>90268.2</v>
      </c>
      <c r="M17" s="30" t="s">
        <v>68</v>
      </c>
      <c r="N17" s="30" t="s">
        <v>69</v>
      </c>
      <c r="O17" s="30" t="s">
        <v>1542</v>
      </c>
      <c r="P17" s="30" t="s">
        <v>1542</v>
      </c>
      <c r="Q17" s="30" t="str">
        <f t="shared" si="0"/>
        <v>DM</v>
      </c>
      <c r="R17" s="30" t="str">
        <f t="shared" si="1"/>
        <v>SM</v>
      </c>
      <c r="S17" s="30" t="str">
        <f>VLOOKUP(M17,'Data - Employee Rights Master'!$C$3:$D$32,2,0)</f>
        <v>DM</v>
      </c>
      <c r="T17" s="30" t="str">
        <f>VLOOKUP(N17,'Data - Employee Rights Master'!$C$3:$D$32,2,0)</f>
        <v>SM</v>
      </c>
      <c r="U17" s="41" t="str">
        <f t="shared" si="2"/>
        <v>PASS</v>
      </c>
      <c r="V17" s="41" t="str">
        <f t="shared" si="3"/>
        <v>NA</v>
      </c>
      <c r="W17" s="30" t="str">
        <f t="shared" si="4"/>
        <v>2021</v>
      </c>
      <c r="X17" s="30" t="str">
        <f>VLOOKUP(MONTH(G17),Key!$F$3:$G$14,2,0)</f>
        <v>Apr</v>
      </c>
      <c r="Y17" s="30" t="str">
        <f>IFERROR(IF(MATCH(F17,'Test 6'!C$5:C$9,0)&gt;0,"RP"),"NON-RP")</f>
        <v>NON-RP</v>
      </c>
    </row>
    <row r="18" spans="2:25" x14ac:dyDescent="0.5">
      <c r="B18" s="30">
        <v>14</v>
      </c>
      <c r="C18" s="30" t="s">
        <v>70</v>
      </c>
      <c r="D18" s="31">
        <v>202114</v>
      </c>
      <c r="E18" s="30" t="s">
        <v>71</v>
      </c>
      <c r="F18" s="53" t="s">
        <v>72</v>
      </c>
      <c r="G18" s="32">
        <v>43942</v>
      </c>
      <c r="H18" s="33">
        <v>0.60626144039195851</v>
      </c>
      <c r="I18" s="30" t="s">
        <v>16</v>
      </c>
      <c r="J18" s="34">
        <v>209260</v>
      </c>
      <c r="K18" s="35" t="s">
        <v>17</v>
      </c>
      <c r="L18" s="36">
        <v>37666.799999999996</v>
      </c>
      <c r="M18" s="30" t="s">
        <v>46</v>
      </c>
      <c r="N18" s="30" t="s">
        <v>24</v>
      </c>
      <c r="O18" s="30" t="s">
        <v>1542</v>
      </c>
      <c r="P18" s="30" t="s">
        <v>1542</v>
      </c>
      <c r="Q18" s="30" t="str">
        <f t="shared" si="0"/>
        <v>AM</v>
      </c>
      <c r="R18" s="30" t="str">
        <f t="shared" si="1"/>
        <v>DM</v>
      </c>
      <c r="S18" s="30" t="str">
        <f>VLOOKUP(M18,'Data - Employee Rights Master'!$C$3:$D$32,2,0)</f>
        <v>AM</v>
      </c>
      <c r="T18" s="30" t="str">
        <f>VLOOKUP(N18,'Data - Employee Rights Master'!$C$3:$D$32,2,0)</f>
        <v>DM</v>
      </c>
      <c r="U18" s="41" t="str">
        <f t="shared" si="2"/>
        <v>PASS</v>
      </c>
      <c r="V18" s="41" t="str">
        <f t="shared" si="3"/>
        <v>NA</v>
      </c>
      <c r="W18" s="30" t="str">
        <f t="shared" si="4"/>
        <v>2021</v>
      </c>
      <c r="X18" s="30" t="str">
        <f>VLOOKUP(MONTH(G18),Key!$F$3:$G$14,2,0)</f>
        <v>Apr</v>
      </c>
      <c r="Y18" s="30" t="str">
        <f>IFERROR(IF(MATCH(F18,'Test 6'!C$5:C$9,0)&gt;0,"RP"),"NON-RP")</f>
        <v>NON-RP</v>
      </c>
    </row>
    <row r="19" spans="2:25" x14ac:dyDescent="0.5">
      <c r="B19" s="30">
        <v>15</v>
      </c>
      <c r="C19" s="30" t="s">
        <v>73</v>
      </c>
      <c r="D19" s="31">
        <v>202115</v>
      </c>
      <c r="E19" s="30" t="s">
        <v>74</v>
      </c>
      <c r="F19" s="53" t="s">
        <v>67</v>
      </c>
      <c r="G19" s="32">
        <v>43942</v>
      </c>
      <c r="H19" s="33">
        <v>0.60169301582456192</v>
      </c>
      <c r="I19" s="30" t="s">
        <v>16</v>
      </c>
      <c r="J19" s="34">
        <v>317130</v>
      </c>
      <c r="K19" s="35" t="s">
        <v>17</v>
      </c>
      <c r="L19" s="36">
        <v>57083.4</v>
      </c>
      <c r="M19" s="30" t="s">
        <v>28</v>
      </c>
      <c r="N19" s="30" t="s">
        <v>24</v>
      </c>
      <c r="O19" s="30" t="s">
        <v>1542</v>
      </c>
      <c r="P19" s="30" t="s">
        <v>1542</v>
      </c>
      <c r="Q19" s="30" t="str">
        <f t="shared" si="0"/>
        <v>AM</v>
      </c>
      <c r="R19" s="30" t="str">
        <f t="shared" si="1"/>
        <v>DM</v>
      </c>
      <c r="S19" s="30" t="str">
        <f>VLOOKUP(M19,'Data - Employee Rights Master'!$C$3:$D$32,2,0)</f>
        <v>AM</v>
      </c>
      <c r="T19" s="30" t="str">
        <f>VLOOKUP(N19,'Data - Employee Rights Master'!$C$3:$D$32,2,0)</f>
        <v>DM</v>
      </c>
      <c r="U19" s="41" t="str">
        <f t="shared" si="2"/>
        <v>PASS</v>
      </c>
      <c r="V19" s="41" t="str">
        <f t="shared" si="3"/>
        <v>NA</v>
      </c>
      <c r="W19" s="30" t="str">
        <f t="shared" si="4"/>
        <v>2021</v>
      </c>
      <c r="X19" s="30" t="str">
        <f>VLOOKUP(MONTH(G19),Key!$F$3:$G$14,2,0)</f>
        <v>Apr</v>
      </c>
      <c r="Y19" s="30" t="str">
        <f>IFERROR(IF(MATCH(F19,'Test 6'!C$5:C$9,0)&gt;0,"RP"),"NON-RP")</f>
        <v>NON-RP</v>
      </c>
    </row>
    <row r="20" spans="2:25" x14ac:dyDescent="0.5">
      <c r="B20" s="30">
        <v>16</v>
      </c>
      <c r="C20" s="30" t="s">
        <v>75</v>
      </c>
      <c r="D20" s="31">
        <v>202116</v>
      </c>
      <c r="E20" s="30" t="s">
        <v>76</v>
      </c>
      <c r="F20" s="53" t="s">
        <v>77</v>
      </c>
      <c r="G20" s="32">
        <v>43943</v>
      </c>
      <c r="H20" s="33">
        <v>0.57234935009306409</v>
      </c>
      <c r="I20" s="30" t="s">
        <v>16</v>
      </c>
      <c r="J20" s="34">
        <v>42850</v>
      </c>
      <c r="K20" s="35" t="s">
        <v>17</v>
      </c>
      <c r="L20" s="36">
        <v>7713</v>
      </c>
      <c r="M20" s="30" t="s">
        <v>78</v>
      </c>
      <c r="N20" s="30" t="s">
        <v>23</v>
      </c>
      <c r="O20" s="30" t="s">
        <v>1542</v>
      </c>
      <c r="P20" s="30" t="s">
        <v>1542</v>
      </c>
      <c r="Q20" s="30" t="str">
        <f t="shared" si="0"/>
        <v>SE</v>
      </c>
      <c r="R20" s="30" t="str">
        <f t="shared" si="1"/>
        <v>AM</v>
      </c>
      <c r="S20" s="30" t="str">
        <f>VLOOKUP(M20,'Data - Employee Rights Master'!$C$3:$D$32,2,0)</f>
        <v>SE</v>
      </c>
      <c r="T20" s="30" t="str">
        <f>VLOOKUP(N20,'Data - Employee Rights Master'!$C$3:$D$32,2,0)</f>
        <v>AM</v>
      </c>
      <c r="U20" s="41" t="str">
        <f t="shared" si="2"/>
        <v>PASS</v>
      </c>
      <c r="V20" s="41" t="str">
        <f t="shared" si="3"/>
        <v>NA</v>
      </c>
      <c r="W20" s="30" t="str">
        <f t="shared" si="4"/>
        <v>2021</v>
      </c>
      <c r="X20" s="30" t="str">
        <f>VLOOKUP(MONTH(G20),Key!$F$3:$G$14,2,0)</f>
        <v>Apr</v>
      </c>
      <c r="Y20" s="30" t="str">
        <f>IFERROR(IF(MATCH(F20,'Test 6'!C$5:C$9,0)&gt;0,"RP"),"NON-RP")</f>
        <v>NON-RP</v>
      </c>
    </row>
    <row r="21" spans="2:25" x14ac:dyDescent="0.5">
      <c r="B21" s="30">
        <v>17</v>
      </c>
      <c r="C21" s="30" t="s">
        <v>79</v>
      </c>
      <c r="D21" s="31">
        <v>202117</v>
      </c>
      <c r="E21" s="30" t="s">
        <v>80</v>
      </c>
      <c r="F21" s="53" t="s">
        <v>81</v>
      </c>
      <c r="G21" s="32">
        <v>43945</v>
      </c>
      <c r="H21" s="33">
        <v>0.64313190157079914</v>
      </c>
      <c r="I21" s="30" t="s">
        <v>16</v>
      </c>
      <c r="J21" s="34">
        <v>477910</v>
      </c>
      <c r="K21" s="35" t="s">
        <v>17</v>
      </c>
      <c r="L21" s="36">
        <v>86023.8</v>
      </c>
      <c r="M21" s="30" t="s">
        <v>37</v>
      </c>
      <c r="N21" s="30" t="s">
        <v>47</v>
      </c>
      <c r="O21" s="30" t="s">
        <v>1542</v>
      </c>
      <c r="P21" s="30" t="s">
        <v>1542</v>
      </c>
      <c r="Q21" s="30" t="str">
        <f t="shared" si="0"/>
        <v>AM</v>
      </c>
      <c r="R21" s="30" t="str">
        <f t="shared" si="1"/>
        <v>DM</v>
      </c>
      <c r="S21" s="30" t="str">
        <f>VLOOKUP(M21,'Data - Employee Rights Master'!$C$3:$D$32,2,0)</f>
        <v>AM</v>
      </c>
      <c r="T21" s="30" t="str">
        <f>VLOOKUP(N21,'Data - Employee Rights Master'!$C$3:$D$32,2,0)</f>
        <v>DM</v>
      </c>
      <c r="U21" s="41" t="str">
        <f t="shared" si="2"/>
        <v>PASS</v>
      </c>
      <c r="V21" s="41" t="str">
        <f t="shared" si="3"/>
        <v>NA</v>
      </c>
      <c r="W21" s="30" t="str">
        <f t="shared" si="4"/>
        <v>2021</v>
      </c>
      <c r="X21" s="30" t="str">
        <f>VLOOKUP(MONTH(G21),Key!$F$3:$G$14,2,0)</f>
        <v>Apr</v>
      </c>
      <c r="Y21" s="30" t="str">
        <f>IFERROR(IF(MATCH(F21,'Test 6'!C$5:C$9,0)&gt;0,"RP"),"NON-RP")</f>
        <v>NON-RP</v>
      </c>
    </row>
    <row r="22" spans="2:25" x14ac:dyDescent="0.5">
      <c r="B22" s="30">
        <v>18</v>
      </c>
      <c r="C22" s="30" t="s">
        <v>82</v>
      </c>
      <c r="D22" s="31">
        <v>202118</v>
      </c>
      <c r="E22" s="30" t="s">
        <v>83</v>
      </c>
      <c r="F22" s="53" t="s">
        <v>84</v>
      </c>
      <c r="G22" s="32">
        <v>43946</v>
      </c>
      <c r="H22" s="33">
        <v>0.72949561486077308</v>
      </c>
      <c r="I22" s="30" t="s">
        <v>16</v>
      </c>
      <c r="J22" s="34">
        <v>345580</v>
      </c>
      <c r="K22" s="35" t="s">
        <v>17</v>
      </c>
      <c r="L22" s="36">
        <v>62204.399999999994</v>
      </c>
      <c r="M22" s="30" t="s">
        <v>23</v>
      </c>
      <c r="N22" s="30" t="s">
        <v>47</v>
      </c>
      <c r="O22" s="30" t="s">
        <v>1542</v>
      </c>
      <c r="P22" s="30" t="s">
        <v>1542</v>
      </c>
      <c r="Q22" s="30" t="str">
        <f t="shared" si="0"/>
        <v>AM</v>
      </c>
      <c r="R22" s="30" t="str">
        <f t="shared" si="1"/>
        <v>DM</v>
      </c>
      <c r="S22" s="30" t="str">
        <f>VLOOKUP(M22,'Data - Employee Rights Master'!$C$3:$D$32,2,0)</f>
        <v>AM</v>
      </c>
      <c r="T22" s="30" t="str">
        <f>VLOOKUP(N22,'Data - Employee Rights Master'!$C$3:$D$32,2,0)</f>
        <v>DM</v>
      </c>
      <c r="U22" s="41" t="str">
        <f t="shared" si="2"/>
        <v>PASS</v>
      </c>
      <c r="V22" s="41" t="str">
        <f t="shared" si="3"/>
        <v>NA</v>
      </c>
      <c r="W22" s="30" t="str">
        <f t="shared" si="4"/>
        <v>2021</v>
      </c>
      <c r="X22" s="30" t="str">
        <f>VLOOKUP(MONTH(G22),Key!$F$3:$G$14,2,0)</f>
        <v>Apr</v>
      </c>
      <c r="Y22" s="30" t="str">
        <f>IFERROR(IF(MATCH(F22,'Test 6'!C$5:C$9,0)&gt;0,"RP"),"NON-RP")</f>
        <v>NON-RP</v>
      </c>
    </row>
    <row r="23" spans="2:25" x14ac:dyDescent="0.5">
      <c r="B23" s="30">
        <v>19</v>
      </c>
      <c r="C23" s="30" t="s">
        <v>85</v>
      </c>
      <c r="D23" s="31">
        <v>202119</v>
      </c>
      <c r="E23" s="30" t="s">
        <v>86</v>
      </c>
      <c r="F23" s="53" t="s">
        <v>87</v>
      </c>
      <c r="G23" s="32">
        <v>43948</v>
      </c>
      <c r="H23" s="33">
        <v>0.65547796819872772</v>
      </c>
      <c r="I23" s="30" t="s">
        <v>16</v>
      </c>
      <c r="J23" s="34">
        <v>337140</v>
      </c>
      <c r="K23" s="35" t="s">
        <v>17</v>
      </c>
      <c r="L23" s="36">
        <v>60685.2</v>
      </c>
      <c r="M23" s="30" t="s">
        <v>61</v>
      </c>
      <c r="N23" s="30" t="s">
        <v>24</v>
      </c>
      <c r="O23" s="30" t="s">
        <v>1542</v>
      </c>
      <c r="P23" s="30" t="s">
        <v>1542</v>
      </c>
      <c r="Q23" s="30" t="str">
        <f t="shared" si="0"/>
        <v>AM</v>
      </c>
      <c r="R23" s="30" t="str">
        <f t="shared" si="1"/>
        <v>DM</v>
      </c>
      <c r="S23" s="30" t="str">
        <f>VLOOKUP(M23,'Data - Employee Rights Master'!$C$3:$D$32,2,0)</f>
        <v>AM</v>
      </c>
      <c r="T23" s="30" t="str">
        <f>VLOOKUP(N23,'Data - Employee Rights Master'!$C$3:$D$32,2,0)</f>
        <v>DM</v>
      </c>
      <c r="U23" s="41" t="str">
        <f t="shared" si="2"/>
        <v>PASS</v>
      </c>
      <c r="V23" s="41" t="str">
        <f t="shared" si="3"/>
        <v>NA</v>
      </c>
      <c r="W23" s="30" t="str">
        <f t="shared" si="4"/>
        <v>2021</v>
      </c>
      <c r="X23" s="30" t="str">
        <f>VLOOKUP(MONTH(G23),Key!$F$3:$G$14,2,0)</f>
        <v>Apr</v>
      </c>
      <c r="Y23" s="30" t="str">
        <f>IFERROR(IF(MATCH(F23,'Test 6'!C$5:C$9,0)&gt;0,"RP"),"NON-RP")</f>
        <v>NON-RP</v>
      </c>
    </row>
    <row r="24" spans="2:25" x14ac:dyDescent="0.5">
      <c r="B24" s="30">
        <v>20</v>
      </c>
      <c r="C24" s="30" t="s">
        <v>88</v>
      </c>
      <c r="D24" s="31">
        <v>202120</v>
      </c>
      <c r="E24" s="30" t="s">
        <v>89</v>
      </c>
      <c r="F24" s="53" t="s">
        <v>57</v>
      </c>
      <c r="G24" s="32">
        <v>43949</v>
      </c>
      <c r="H24" s="33">
        <v>0.45651833973621836</v>
      </c>
      <c r="I24" s="30" t="s">
        <v>16</v>
      </c>
      <c r="J24" s="34">
        <v>477620</v>
      </c>
      <c r="K24" s="35" t="s">
        <v>17</v>
      </c>
      <c r="L24" s="36">
        <v>85971.599999999991</v>
      </c>
      <c r="M24" s="30" t="s">
        <v>46</v>
      </c>
      <c r="N24" s="30" t="s">
        <v>68</v>
      </c>
      <c r="O24" s="30" t="s">
        <v>1542</v>
      </c>
      <c r="P24" s="30" t="s">
        <v>1542</v>
      </c>
      <c r="Q24" s="30" t="str">
        <f t="shared" si="0"/>
        <v>AM</v>
      </c>
      <c r="R24" s="30" t="str">
        <f t="shared" si="1"/>
        <v>DM</v>
      </c>
      <c r="S24" s="30" t="str">
        <f>VLOOKUP(M24,'Data - Employee Rights Master'!$C$3:$D$32,2,0)</f>
        <v>AM</v>
      </c>
      <c r="T24" s="30" t="str">
        <f>VLOOKUP(N24,'Data - Employee Rights Master'!$C$3:$D$32,2,0)</f>
        <v>DM</v>
      </c>
      <c r="U24" s="41" t="str">
        <f t="shared" si="2"/>
        <v>PASS</v>
      </c>
      <c r="V24" s="41" t="str">
        <f t="shared" si="3"/>
        <v>NA</v>
      </c>
      <c r="W24" s="30" t="str">
        <f t="shared" si="4"/>
        <v>2021</v>
      </c>
      <c r="X24" s="30" t="str">
        <f>VLOOKUP(MONTH(G24),Key!$F$3:$G$14,2,0)</f>
        <v>Apr</v>
      </c>
      <c r="Y24" s="30" t="str">
        <f>IFERROR(IF(MATCH(F24,'Test 6'!C$5:C$9,0)&gt;0,"RP"),"NON-RP")</f>
        <v>NON-RP</v>
      </c>
    </row>
    <row r="25" spans="2:25" x14ac:dyDescent="0.5">
      <c r="B25" s="30">
        <v>21</v>
      </c>
      <c r="C25" s="30" t="s">
        <v>90</v>
      </c>
      <c r="D25" s="31">
        <v>202121</v>
      </c>
      <c r="E25" s="30" t="s">
        <v>91</v>
      </c>
      <c r="F25" s="53" t="s">
        <v>92</v>
      </c>
      <c r="G25" s="32">
        <v>43952</v>
      </c>
      <c r="H25" s="33">
        <v>0.48213293027542503</v>
      </c>
      <c r="I25" s="30" t="s">
        <v>16</v>
      </c>
      <c r="J25" s="34">
        <v>453890</v>
      </c>
      <c r="K25" s="35" t="s">
        <v>17</v>
      </c>
      <c r="L25" s="36">
        <v>81700.2</v>
      </c>
      <c r="M25" s="30" t="s">
        <v>18</v>
      </c>
      <c r="N25" s="30" t="s">
        <v>47</v>
      </c>
      <c r="O25" s="30" t="s">
        <v>1542</v>
      </c>
      <c r="P25" s="30" t="s">
        <v>1542</v>
      </c>
      <c r="Q25" s="30" t="str">
        <f t="shared" si="0"/>
        <v>AM</v>
      </c>
      <c r="R25" s="30" t="str">
        <f t="shared" si="1"/>
        <v>DM</v>
      </c>
      <c r="S25" s="30" t="str">
        <f>VLOOKUP(M25,'Data - Employee Rights Master'!$C$3:$D$32,2,0)</f>
        <v>AM</v>
      </c>
      <c r="T25" s="30" t="str">
        <f>VLOOKUP(N25,'Data - Employee Rights Master'!$C$3:$D$32,2,0)</f>
        <v>DM</v>
      </c>
      <c r="U25" s="41" t="str">
        <f t="shared" si="2"/>
        <v>PASS</v>
      </c>
      <c r="V25" s="41" t="str">
        <f t="shared" si="3"/>
        <v>NA</v>
      </c>
      <c r="W25" s="30" t="str">
        <f t="shared" si="4"/>
        <v>2021</v>
      </c>
      <c r="X25" s="30" t="str">
        <f>VLOOKUP(MONTH(G25),Key!$F$3:$G$14,2,0)</f>
        <v>May</v>
      </c>
      <c r="Y25" s="30" t="str">
        <f>IFERROR(IF(MATCH(F25,'Test 6'!C$5:C$9,0)&gt;0,"RP"),"NON-RP")</f>
        <v>NON-RP</v>
      </c>
    </row>
    <row r="26" spans="2:25" x14ac:dyDescent="0.5">
      <c r="B26" s="30">
        <v>22</v>
      </c>
      <c r="C26" s="30" t="s">
        <v>93</v>
      </c>
      <c r="D26" s="31">
        <v>202122</v>
      </c>
      <c r="E26" s="30" t="s">
        <v>94</v>
      </c>
      <c r="F26" s="53" t="s">
        <v>95</v>
      </c>
      <c r="G26" s="32">
        <v>43955</v>
      </c>
      <c r="H26" s="33">
        <v>0.69978044378572002</v>
      </c>
      <c r="I26" s="30" t="s">
        <v>96</v>
      </c>
      <c r="J26" s="34">
        <v>230560</v>
      </c>
      <c r="K26" s="35" t="s">
        <v>17</v>
      </c>
      <c r="L26" s="36">
        <v>41500.799999999996</v>
      </c>
      <c r="M26" s="30" t="s">
        <v>37</v>
      </c>
      <c r="N26" s="30" t="s">
        <v>47</v>
      </c>
      <c r="O26" s="30" t="s">
        <v>1542</v>
      </c>
      <c r="P26" s="30" t="s">
        <v>1542</v>
      </c>
      <c r="Q26" s="30" t="str">
        <f t="shared" si="0"/>
        <v>AM</v>
      </c>
      <c r="R26" s="30" t="str">
        <f t="shared" si="1"/>
        <v>DM</v>
      </c>
      <c r="S26" s="30" t="str">
        <f>VLOOKUP(M26,'Data - Employee Rights Master'!$C$3:$D$32,2,0)</f>
        <v>AM</v>
      </c>
      <c r="T26" s="30" t="str">
        <f>VLOOKUP(N26,'Data - Employee Rights Master'!$C$3:$D$32,2,0)</f>
        <v>DM</v>
      </c>
      <c r="U26" s="41" t="str">
        <f t="shared" si="2"/>
        <v>PASS</v>
      </c>
      <c r="V26" s="41" t="str">
        <f t="shared" si="3"/>
        <v>NA</v>
      </c>
      <c r="W26" s="30" t="str">
        <f t="shared" si="4"/>
        <v>2021</v>
      </c>
      <c r="X26" s="30" t="str">
        <f>VLOOKUP(MONTH(G26),Key!$F$3:$G$14,2,0)</f>
        <v>May</v>
      </c>
      <c r="Y26" s="30" t="str">
        <f>IFERROR(IF(MATCH(F26,'Test 6'!C$5:C$9,0)&gt;0,"RP"),"NON-RP")</f>
        <v>NON-RP</v>
      </c>
    </row>
    <row r="27" spans="2:25" x14ac:dyDescent="0.5">
      <c r="B27" s="30">
        <v>23</v>
      </c>
      <c r="C27" s="30" t="s">
        <v>97</v>
      </c>
      <c r="D27" s="31">
        <v>202123</v>
      </c>
      <c r="E27" s="30" t="s">
        <v>98</v>
      </c>
      <c r="F27" s="53" t="s">
        <v>40</v>
      </c>
      <c r="G27" s="32">
        <v>43955</v>
      </c>
      <c r="H27" s="33">
        <v>0.6576666098683871</v>
      </c>
      <c r="I27" s="30" t="s">
        <v>96</v>
      </c>
      <c r="J27" s="34">
        <v>207690</v>
      </c>
      <c r="K27" s="35" t="s">
        <v>17</v>
      </c>
      <c r="L27" s="36">
        <v>37384.199999999997</v>
      </c>
      <c r="M27" s="30" t="s">
        <v>23</v>
      </c>
      <c r="N27" s="30" t="s">
        <v>47</v>
      </c>
      <c r="O27" s="30" t="s">
        <v>1542</v>
      </c>
      <c r="P27" s="30" t="s">
        <v>1542</v>
      </c>
      <c r="Q27" s="30" t="str">
        <f t="shared" si="0"/>
        <v>AM</v>
      </c>
      <c r="R27" s="30" t="str">
        <f t="shared" si="1"/>
        <v>DM</v>
      </c>
      <c r="S27" s="30" t="str">
        <f>VLOOKUP(M27,'Data - Employee Rights Master'!$C$3:$D$32,2,0)</f>
        <v>AM</v>
      </c>
      <c r="T27" s="30" t="str">
        <f>VLOOKUP(N27,'Data - Employee Rights Master'!$C$3:$D$32,2,0)</f>
        <v>DM</v>
      </c>
      <c r="U27" s="41" t="str">
        <f t="shared" si="2"/>
        <v>PASS</v>
      </c>
      <c r="V27" s="41" t="str">
        <f t="shared" si="3"/>
        <v>NA</v>
      </c>
      <c r="W27" s="30" t="str">
        <f t="shared" si="4"/>
        <v>2021</v>
      </c>
      <c r="X27" s="30" t="str">
        <f>VLOOKUP(MONTH(G27),Key!$F$3:$G$14,2,0)</f>
        <v>May</v>
      </c>
      <c r="Y27" s="30" t="str">
        <f>IFERROR(IF(MATCH(F27,'Test 6'!C$5:C$9,0)&gt;0,"RP"),"NON-RP")</f>
        <v>NON-RP</v>
      </c>
    </row>
    <row r="28" spans="2:25" x14ac:dyDescent="0.5">
      <c r="B28" s="30">
        <v>24</v>
      </c>
      <c r="C28" s="30" t="s">
        <v>99</v>
      </c>
      <c r="D28" s="31">
        <v>202124</v>
      </c>
      <c r="E28" s="30" t="s">
        <v>100</v>
      </c>
      <c r="F28" s="53" t="s">
        <v>54</v>
      </c>
      <c r="G28" s="32">
        <v>43955</v>
      </c>
      <c r="H28" s="33">
        <v>0.59432316182630107</v>
      </c>
      <c r="I28" s="30" t="s">
        <v>96</v>
      </c>
      <c r="J28" s="34">
        <v>498780</v>
      </c>
      <c r="K28" s="35" t="s">
        <v>17</v>
      </c>
      <c r="L28" s="36">
        <v>89780.4</v>
      </c>
      <c r="M28" s="30" t="s">
        <v>23</v>
      </c>
      <c r="N28" s="30" t="s">
        <v>47</v>
      </c>
      <c r="O28" s="30" t="s">
        <v>1542</v>
      </c>
      <c r="P28" s="30" t="s">
        <v>1542</v>
      </c>
      <c r="Q28" s="30" t="str">
        <f t="shared" si="0"/>
        <v>AM</v>
      </c>
      <c r="R28" s="30" t="str">
        <f t="shared" si="1"/>
        <v>DM</v>
      </c>
      <c r="S28" s="30" t="str">
        <f>VLOOKUP(M28,'Data - Employee Rights Master'!$C$3:$D$32,2,0)</f>
        <v>AM</v>
      </c>
      <c r="T28" s="30" t="str">
        <f>VLOOKUP(N28,'Data - Employee Rights Master'!$C$3:$D$32,2,0)</f>
        <v>DM</v>
      </c>
      <c r="U28" s="41" t="str">
        <f t="shared" si="2"/>
        <v>PASS</v>
      </c>
      <c r="V28" s="41" t="str">
        <f t="shared" si="3"/>
        <v>NA</v>
      </c>
      <c r="W28" s="30" t="str">
        <f t="shared" si="4"/>
        <v>2021</v>
      </c>
      <c r="X28" s="30" t="str">
        <f>VLOOKUP(MONTH(G28),Key!$F$3:$G$14,2,0)</f>
        <v>May</v>
      </c>
      <c r="Y28" s="30" t="str">
        <f>IFERROR(IF(MATCH(F28,'Test 6'!C$5:C$9,0)&gt;0,"RP"),"NON-RP")</f>
        <v>NON-RP</v>
      </c>
    </row>
    <row r="29" spans="2:25" x14ac:dyDescent="0.5">
      <c r="B29" s="30">
        <v>25</v>
      </c>
      <c r="C29" s="30" t="s">
        <v>101</v>
      </c>
      <c r="D29" s="31">
        <v>202125</v>
      </c>
      <c r="E29" s="30" t="s">
        <v>102</v>
      </c>
      <c r="F29" s="53" t="s">
        <v>103</v>
      </c>
      <c r="G29" s="32">
        <v>43956</v>
      </c>
      <c r="H29" s="33">
        <v>0.57611492803869324</v>
      </c>
      <c r="I29" s="30" t="s">
        <v>96</v>
      </c>
      <c r="J29" s="34">
        <v>265850</v>
      </c>
      <c r="K29" s="35" t="s">
        <v>17</v>
      </c>
      <c r="L29" s="36">
        <v>47853</v>
      </c>
      <c r="M29" s="30" t="s">
        <v>23</v>
      </c>
      <c r="N29" s="30" t="s">
        <v>24</v>
      </c>
      <c r="O29" s="30" t="s">
        <v>1542</v>
      </c>
      <c r="P29" s="30" t="s">
        <v>1542</v>
      </c>
      <c r="Q29" s="30" t="str">
        <f t="shared" si="0"/>
        <v>AM</v>
      </c>
      <c r="R29" s="30" t="str">
        <f t="shared" si="1"/>
        <v>DM</v>
      </c>
      <c r="S29" s="30" t="str">
        <f>VLOOKUP(M29,'Data - Employee Rights Master'!$C$3:$D$32,2,0)</f>
        <v>AM</v>
      </c>
      <c r="T29" s="30" t="str">
        <f>VLOOKUP(N29,'Data - Employee Rights Master'!$C$3:$D$32,2,0)</f>
        <v>DM</v>
      </c>
      <c r="U29" s="41" t="str">
        <f t="shared" si="2"/>
        <v>PASS</v>
      </c>
      <c r="V29" s="41" t="str">
        <f t="shared" si="3"/>
        <v>NA</v>
      </c>
      <c r="W29" s="30" t="str">
        <f t="shared" si="4"/>
        <v>2021</v>
      </c>
      <c r="X29" s="30" t="str">
        <f>VLOOKUP(MONTH(G29),Key!$F$3:$G$14,2,0)</f>
        <v>May</v>
      </c>
      <c r="Y29" s="30" t="str">
        <f>IFERROR(IF(MATCH(F29,'Test 6'!C$5:C$9,0)&gt;0,"RP"),"NON-RP")</f>
        <v>NON-RP</v>
      </c>
    </row>
    <row r="30" spans="2:25" x14ac:dyDescent="0.5">
      <c r="B30" s="30">
        <v>26</v>
      </c>
      <c r="C30" s="30" t="s">
        <v>104</v>
      </c>
      <c r="D30" s="31">
        <v>202126</v>
      </c>
      <c r="E30" s="30" t="s">
        <v>105</v>
      </c>
      <c r="F30" s="53" t="s">
        <v>87</v>
      </c>
      <c r="G30" s="32">
        <v>43957</v>
      </c>
      <c r="H30" s="33">
        <v>0.55347058393711501</v>
      </c>
      <c r="I30" s="30" t="s">
        <v>96</v>
      </c>
      <c r="J30" s="34">
        <v>23290</v>
      </c>
      <c r="K30" s="35" t="s">
        <v>17</v>
      </c>
      <c r="L30" s="36">
        <v>4192.2</v>
      </c>
      <c r="M30" s="30" t="s">
        <v>106</v>
      </c>
      <c r="N30" s="30" t="s">
        <v>23</v>
      </c>
      <c r="O30" s="30" t="s">
        <v>1542</v>
      </c>
      <c r="P30" s="30" t="s">
        <v>1542</v>
      </c>
      <c r="Q30" s="30" t="str">
        <f t="shared" si="0"/>
        <v>SE</v>
      </c>
      <c r="R30" s="30" t="str">
        <f t="shared" si="1"/>
        <v>AM</v>
      </c>
      <c r="S30" s="30" t="str">
        <f>VLOOKUP(M30,'Data - Employee Rights Master'!$C$3:$D$32,2,0)</f>
        <v>SE</v>
      </c>
      <c r="T30" s="30" t="str">
        <f>VLOOKUP(N30,'Data - Employee Rights Master'!$C$3:$D$32,2,0)</f>
        <v>AM</v>
      </c>
      <c r="U30" s="41" t="str">
        <f t="shared" si="2"/>
        <v>PASS</v>
      </c>
      <c r="V30" s="41" t="str">
        <f t="shared" si="3"/>
        <v>NA</v>
      </c>
      <c r="W30" s="30" t="str">
        <f t="shared" si="4"/>
        <v>2021</v>
      </c>
      <c r="X30" s="30" t="str">
        <f>VLOOKUP(MONTH(G30),Key!$F$3:$G$14,2,0)</f>
        <v>May</v>
      </c>
      <c r="Y30" s="30" t="str">
        <f>IFERROR(IF(MATCH(F30,'Test 6'!C$5:C$9,0)&gt;0,"RP"),"NON-RP")</f>
        <v>NON-RP</v>
      </c>
    </row>
    <row r="31" spans="2:25" x14ac:dyDescent="0.5">
      <c r="B31" s="30">
        <v>27</v>
      </c>
      <c r="C31" s="30" t="s">
        <v>107</v>
      </c>
      <c r="D31" s="31">
        <v>202127</v>
      </c>
      <c r="E31" s="30" t="s">
        <v>108</v>
      </c>
      <c r="F31" s="53" t="s">
        <v>45</v>
      </c>
      <c r="G31" s="32">
        <v>43958</v>
      </c>
      <c r="H31" s="33">
        <v>0.71683742729684274</v>
      </c>
      <c r="I31" s="30" t="s">
        <v>96</v>
      </c>
      <c r="J31" s="34">
        <v>432790</v>
      </c>
      <c r="K31" s="35" t="s">
        <v>17</v>
      </c>
      <c r="L31" s="36">
        <v>77902.2</v>
      </c>
      <c r="M31" s="30" t="s">
        <v>46</v>
      </c>
      <c r="N31" s="30" t="s">
        <v>19</v>
      </c>
      <c r="O31" s="30" t="s">
        <v>1542</v>
      </c>
      <c r="P31" s="30" t="s">
        <v>1542</v>
      </c>
      <c r="Q31" s="30" t="str">
        <f t="shared" si="0"/>
        <v>AM</v>
      </c>
      <c r="R31" s="30" t="str">
        <f t="shared" si="1"/>
        <v>DM</v>
      </c>
      <c r="S31" s="30" t="str">
        <f>VLOOKUP(M31,'Data - Employee Rights Master'!$C$3:$D$32,2,0)</f>
        <v>AM</v>
      </c>
      <c r="T31" s="30" t="str">
        <f>VLOOKUP(N31,'Data - Employee Rights Master'!$C$3:$D$32,2,0)</f>
        <v>DM</v>
      </c>
      <c r="U31" s="41" t="str">
        <f t="shared" si="2"/>
        <v>PASS</v>
      </c>
      <c r="V31" s="41" t="str">
        <f t="shared" si="3"/>
        <v>NA</v>
      </c>
      <c r="W31" s="30" t="str">
        <f t="shared" si="4"/>
        <v>2021</v>
      </c>
      <c r="X31" s="30" t="str">
        <f>VLOOKUP(MONTH(G31),Key!$F$3:$G$14,2,0)</f>
        <v>May</v>
      </c>
      <c r="Y31" s="30" t="str">
        <f>IFERROR(IF(MATCH(F31,'Test 6'!C$5:C$9,0)&gt;0,"RP"),"NON-RP")</f>
        <v>NON-RP</v>
      </c>
    </row>
    <row r="32" spans="2:25" x14ac:dyDescent="0.5">
      <c r="B32" s="30">
        <v>28</v>
      </c>
      <c r="C32" s="30" t="s">
        <v>109</v>
      </c>
      <c r="D32" s="31">
        <v>202128</v>
      </c>
      <c r="E32" s="30" t="s">
        <v>110</v>
      </c>
      <c r="F32" s="53" t="s">
        <v>111</v>
      </c>
      <c r="G32" s="32">
        <v>43958</v>
      </c>
      <c r="H32" s="33">
        <v>0.58930592334255982</v>
      </c>
      <c r="I32" s="30" t="s">
        <v>96</v>
      </c>
      <c r="J32" s="34">
        <v>4762260</v>
      </c>
      <c r="K32" s="35" t="s">
        <v>17</v>
      </c>
      <c r="L32" s="36">
        <v>857206.79999999993</v>
      </c>
      <c r="M32" s="30" t="s">
        <v>41</v>
      </c>
      <c r="N32" s="30" t="s">
        <v>42</v>
      </c>
      <c r="O32" s="30" t="s">
        <v>1542</v>
      </c>
      <c r="P32" s="30" t="s">
        <v>1542</v>
      </c>
      <c r="Q32" s="30" t="str">
        <f t="shared" si="0"/>
        <v>CM</v>
      </c>
      <c r="R32" s="30" t="str">
        <f t="shared" si="1"/>
        <v>CFO</v>
      </c>
      <c r="S32" s="30" t="str">
        <f>VLOOKUP(M32,'Data - Employee Rights Master'!$C$3:$D$32,2,0)</f>
        <v>CM</v>
      </c>
      <c r="T32" s="30" t="str">
        <f>VLOOKUP(N32,'Data - Employee Rights Master'!$C$3:$D$32,2,0)</f>
        <v>CFO</v>
      </c>
      <c r="U32" s="41" t="str">
        <f t="shared" si="2"/>
        <v>PASS</v>
      </c>
      <c r="V32" s="41" t="str">
        <f t="shared" si="3"/>
        <v>NA</v>
      </c>
      <c r="W32" s="30" t="str">
        <f t="shared" si="4"/>
        <v>2021</v>
      </c>
      <c r="X32" s="30" t="str">
        <f>VLOOKUP(MONTH(G32),Key!$F$3:$G$14,2,0)</f>
        <v>May</v>
      </c>
      <c r="Y32" s="30" t="str">
        <f>IFERROR(IF(MATCH(F32,'Test 6'!C$5:C$9,0)&gt;0,"RP"),"NON-RP")</f>
        <v>RP</v>
      </c>
    </row>
    <row r="33" spans="2:25" x14ac:dyDescent="0.5">
      <c r="B33" s="30">
        <v>29</v>
      </c>
      <c r="C33" s="30" t="s">
        <v>112</v>
      </c>
      <c r="D33" s="31">
        <v>202129</v>
      </c>
      <c r="E33" s="30" t="s">
        <v>113</v>
      </c>
      <c r="F33" s="53" t="s">
        <v>114</v>
      </c>
      <c r="G33" s="32">
        <v>43960</v>
      </c>
      <c r="H33" s="33">
        <v>0.48577717763513395</v>
      </c>
      <c r="I33" s="30" t="s">
        <v>16</v>
      </c>
      <c r="J33" s="34">
        <v>311700</v>
      </c>
      <c r="K33" s="35" t="s">
        <v>17</v>
      </c>
      <c r="L33" s="36">
        <v>56106</v>
      </c>
      <c r="M33" s="30" t="s">
        <v>28</v>
      </c>
      <c r="N33" s="30" t="s">
        <v>47</v>
      </c>
      <c r="O33" s="30" t="s">
        <v>1542</v>
      </c>
      <c r="P33" s="30" t="s">
        <v>1542</v>
      </c>
      <c r="Q33" s="30" t="str">
        <f t="shared" si="0"/>
        <v>AM</v>
      </c>
      <c r="R33" s="30" t="str">
        <f t="shared" si="1"/>
        <v>DM</v>
      </c>
      <c r="S33" s="30" t="str">
        <f>VLOOKUP(M33,'Data - Employee Rights Master'!$C$3:$D$32,2,0)</f>
        <v>AM</v>
      </c>
      <c r="T33" s="30" t="str">
        <f>VLOOKUP(N33,'Data - Employee Rights Master'!$C$3:$D$32,2,0)</f>
        <v>DM</v>
      </c>
      <c r="U33" s="41" t="str">
        <f t="shared" si="2"/>
        <v>PASS</v>
      </c>
      <c r="V33" s="41" t="str">
        <f t="shared" si="3"/>
        <v>NA</v>
      </c>
      <c r="W33" s="30" t="str">
        <f t="shared" si="4"/>
        <v>2021</v>
      </c>
      <c r="X33" s="30" t="str">
        <f>VLOOKUP(MONTH(G33),Key!$F$3:$G$14,2,0)</f>
        <v>May</v>
      </c>
      <c r="Y33" s="30" t="str">
        <f>IFERROR(IF(MATCH(F33,'Test 6'!C$5:C$9,0)&gt;0,"RP"),"NON-RP")</f>
        <v>NON-RP</v>
      </c>
    </row>
    <row r="34" spans="2:25" x14ac:dyDescent="0.5">
      <c r="B34" s="30">
        <v>30</v>
      </c>
      <c r="C34" s="30" t="s">
        <v>115</v>
      </c>
      <c r="D34" s="31">
        <v>202130</v>
      </c>
      <c r="E34" s="30" t="s">
        <v>116</v>
      </c>
      <c r="F34" s="53" t="s">
        <v>114</v>
      </c>
      <c r="G34" s="32">
        <v>43962</v>
      </c>
      <c r="H34" s="33">
        <v>0.51890303184646303</v>
      </c>
      <c r="I34" s="30" t="s">
        <v>96</v>
      </c>
      <c r="J34" s="34">
        <v>209420</v>
      </c>
      <c r="K34" s="35" t="s">
        <v>17</v>
      </c>
      <c r="L34" s="36">
        <v>37695.599999999999</v>
      </c>
      <c r="M34" s="30" t="s">
        <v>32</v>
      </c>
      <c r="N34" s="30" t="s">
        <v>24</v>
      </c>
      <c r="O34" s="30" t="s">
        <v>1542</v>
      </c>
      <c r="P34" s="30" t="s">
        <v>1542</v>
      </c>
      <c r="Q34" s="30" t="str">
        <f t="shared" si="0"/>
        <v>AM</v>
      </c>
      <c r="R34" s="30" t="str">
        <f t="shared" si="1"/>
        <v>DM</v>
      </c>
      <c r="S34" s="30" t="str">
        <f>VLOOKUP(M34,'Data - Employee Rights Master'!$C$3:$D$32,2,0)</f>
        <v>AM</v>
      </c>
      <c r="T34" s="30" t="str">
        <f>VLOOKUP(N34,'Data - Employee Rights Master'!$C$3:$D$32,2,0)</f>
        <v>DM</v>
      </c>
      <c r="U34" s="41" t="str">
        <f t="shared" si="2"/>
        <v>PASS</v>
      </c>
      <c r="V34" s="41" t="str">
        <f t="shared" si="3"/>
        <v>NA</v>
      </c>
      <c r="W34" s="30" t="str">
        <f t="shared" si="4"/>
        <v>2021</v>
      </c>
      <c r="X34" s="30" t="str">
        <f>VLOOKUP(MONTH(G34),Key!$F$3:$G$14,2,0)</f>
        <v>May</v>
      </c>
      <c r="Y34" s="30" t="str">
        <f>IFERROR(IF(MATCH(F34,'Test 6'!C$5:C$9,0)&gt;0,"RP"),"NON-RP")</f>
        <v>NON-RP</v>
      </c>
    </row>
    <row r="35" spans="2:25" x14ac:dyDescent="0.5">
      <c r="B35" s="30">
        <v>31</v>
      </c>
      <c r="C35" s="30" t="s">
        <v>117</v>
      </c>
      <c r="D35" s="31">
        <v>202131</v>
      </c>
      <c r="E35" s="30" t="s">
        <v>118</v>
      </c>
      <c r="F35" s="53" t="s">
        <v>119</v>
      </c>
      <c r="G35" s="32">
        <v>43962</v>
      </c>
      <c r="H35" s="33">
        <v>0.47558161028650325</v>
      </c>
      <c r="I35" s="30" t="s">
        <v>96</v>
      </c>
      <c r="J35" s="34">
        <v>225520</v>
      </c>
      <c r="K35" s="35" t="s">
        <v>17</v>
      </c>
      <c r="L35" s="36">
        <v>40593.599999999999</v>
      </c>
      <c r="M35" s="30" t="s">
        <v>46</v>
      </c>
      <c r="N35" s="30" t="s">
        <v>24</v>
      </c>
      <c r="O35" s="30" t="s">
        <v>1542</v>
      </c>
      <c r="P35" s="30" t="s">
        <v>1542</v>
      </c>
      <c r="Q35" s="30" t="str">
        <f t="shared" si="0"/>
        <v>AM</v>
      </c>
      <c r="R35" s="30" t="str">
        <f t="shared" si="1"/>
        <v>DM</v>
      </c>
      <c r="S35" s="30" t="str">
        <f>VLOOKUP(M35,'Data - Employee Rights Master'!$C$3:$D$32,2,0)</f>
        <v>AM</v>
      </c>
      <c r="T35" s="30" t="str">
        <f>VLOOKUP(N35,'Data - Employee Rights Master'!$C$3:$D$32,2,0)</f>
        <v>DM</v>
      </c>
      <c r="U35" s="41" t="str">
        <f t="shared" si="2"/>
        <v>PASS</v>
      </c>
      <c r="V35" s="41" t="str">
        <f t="shared" si="3"/>
        <v>NA</v>
      </c>
      <c r="W35" s="30" t="str">
        <f t="shared" si="4"/>
        <v>2021</v>
      </c>
      <c r="X35" s="30" t="str">
        <f>VLOOKUP(MONTH(G35),Key!$F$3:$G$14,2,0)</f>
        <v>May</v>
      </c>
      <c r="Y35" s="30" t="str">
        <f>IFERROR(IF(MATCH(F35,'Test 6'!C$5:C$9,0)&gt;0,"RP"),"NON-RP")</f>
        <v>NON-RP</v>
      </c>
    </row>
    <row r="36" spans="2:25" x14ac:dyDescent="0.5">
      <c r="B36" s="30">
        <v>32</v>
      </c>
      <c r="C36" s="30" t="s">
        <v>120</v>
      </c>
      <c r="D36" s="31">
        <v>202132</v>
      </c>
      <c r="E36" s="30" t="s">
        <v>121</v>
      </c>
      <c r="F36" s="53" t="s">
        <v>122</v>
      </c>
      <c r="G36" s="32">
        <v>43962</v>
      </c>
      <c r="H36" s="33">
        <v>0.43291625898182901</v>
      </c>
      <c r="I36" s="30" t="s">
        <v>96</v>
      </c>
      <c r="J36" s="34">
        <v>480420</v>
      </c>
      <c r="K36" s="35" t="s">
        <v>17</v>
      </c>
      <c r="L36" s="36">
        <v>86475.599999999991</v>
      </c>
      <c r="M36" s="30" t="s">
        <v>18</v>
      </c>
      <c r="N36" s="30" t="s">
        <v>24</v>
      </c>
      <c r="O36" s="30" t="s">
        <v>1542</v>
      </c>
      <c r="P36" s="30" t="s">
        <v>1542</v>
      </c>
      <c r="Q36" s="30" t="str">
        <f t="shared" si="0"/>
        <v>AM</v>
      </c>
      <c r="R36" s="30" t="str">
        <f t="shared" si="1"/>
        <v>DM</v>
      </c>
      <c r="S36" s="30" t="str">
        <f>VLOOKUP(M36,'Data - Employee Rights Master'!$C$3:$D$32,2,0)</f>
        <v>AM</v>
      </c>
      <c r="T36" s="30" t="str">
        <f>VLOOKUP(N36,'Data - Employee Rights Master'!$C$3:$D$32,2,0)</f>
        <v>DM</v>
      </c>
      <c r="U36" s="41" t="str">
        <f t="shared" si="2"/>
        <v>PASS</v>
      </c>
      <c r="V36" s="41" t="str">
        <f t="shared" si="3"/>
        <v>NA</v>
      </c>
      <c r="W36" s="30" t="str">
        <f t="shared" si="4"/>
        <v>2021</v>
      </c>
      <c r="X36" s="30" t="str">
        <f>VLOOKUP(MONTH(G36),Key!$F$3:$G$14,2,0)</f>
        <v>May</v>
      </c>
      <c r="Y36" s="30" t="str">
        <f>IFERROR(IF(MATCH(F36,'Test 6'!C$5:C$9,0)&gt;0,"RP"),"NON-RP")</f>
        <v>NON-RP</v>
      </c>
    </row>
    <row r="37" spans="2:25" x14ac:dyDescent="0.5">
      <c r="B37" s="30">
        <v>33</v>
      </c>
      <c r="C37" s="30" t="s">
        <v>123</v>
      </c>
      <c r="D37" s="31">
        <v>202133</v>
      </c>
      <c r="E37" s="30" t="s">
        <v>124</v>
      </c>
      <c r="F37" s="53" t="s">
        <v>125</v>
      </c>
      <c r="G37" s="32">
        <v>43965</v>
      </c>
      <c r="H37" s="33">
        <v>0.70786999217716295</v>
      </c>
      <c r="I37" s="30" t="s">
        <v>96</v>
      </c>
      <c r="J37" s="34">
        <v>349080</v>
      </c>
      <c r="K37" s="35" t="s">
        <v>17</v>
      </c>
      <c r="L37" s="36">
        <v>62834.399999999994</v>
      </c>
      <c r="M37" s="30" t="s">
        <v>28</v>
      </c>
      <c r="N37" s="30" t="s">
        <v>24</v>
      </c>
      <c r="O37" s="30" t="s">
        <v>1542</v>
      </c>
      <c r="P37" s="30" t="s">
        <v>1542</v>
      </c>
      <c r="Q37" s="30" t="str">
        <f t="shared" si="0"/>
        <v>AM</v>
      </c>
      <c r="R37" s="30" t="str">
        <f t="shared" si="1"/>
        <v>DM</v>
      </c>
      <c r="S37" s="30" t="str">
        <f>VLOOKUP(M37,'Data - Employee Rights Master'!$C$3:$D$32,2,0)</f>
        <v>AM</v>
      </c>
      <c r="T37" s="30" t="str">
        <f>VLOOKUP(N37,'Data - Employee Rights Master'!$C$3:$D$32,2,0)</f>
        <v>DM</v>
      </c>
      <c r="U37" s="41" t="str">
        <f t="shared" si="2"/>
        <v>PASS</v>
      </c>
      <c r="V37" s="41" t="str">
        <f t="shared" si="3"/>
        <v>NA</v>
      </c>
      <c r="W37" s="30" t="str">
        <f t="shared" si="4"/>
        <v>2021</v>
      </c>
      <c r="X37" s="30" t="str">
        <f>VLOOKUP(MONTH(G37),Key!$F$3:$G$14,2,0)</f>
        <v>May</v>
      </c>
      <c r="Y37" s="30" t="str">
        <f>IFERROR(IF(MATCH(F37,'Test 6'!C$5:C$9,0)&gt;0,"RP"),"NON-RP")</f>
        <v>NON-RP</v>
      </c>
    </row>
    <row r="38" spans="2:25" x14ac:dyDescent="0.5">
      <c r="B38" s="30">
        <v>34</v>
      </c>
      <c r="C38" s="30" t="s">
        <v>126</v>
      </c>
      <c r="D38" s="31">
        <v>202134</v>
      </c>
      <c r="E38" s="30" t="s">
        <v>127</v>
      </c>
      <c r="F38" s="53" t="s">
        <v>128</v>
      </c>
      <c r="G38" s="32">
        <v>43966</v>
      </c>
      <c r="H38" s="33">
        <v>0.52366777365291473</v>
      </c>
      <c r="I38" s="30" t="s">
        <v>96</v>
      </c>
      <c r="J38" s="34">
        <v>309420</v>
      </c>
      <c r="K38" s="35" t="s">
        <v>17</v>
      </c>
      <c r="L38" s="36">
        <v>55695.6</v>
      </c>
      <c r="M38" s="30" t="s">
        <v>46</v>
      </c>
      <c r="N38" s="30" t="s">
        <v>47</v>
      </c>
      <c r="O38" s="30" t="s">
        <v>1542</v>
      </c>
      <c r="P38" s="30" t="s">
        <v>1542</v>
      </c>
      <c r="Q38" s="30" t="str">
        <f t="shared" si="0"/>
        <v>AM</v>
      </c>
      <c r="R38" s="30" t="str">
        <f t="shared" si="1"/>
        <v>DM</v>
      </c>
      <c r="S38" s="30" t="str">
        <f>VLOOKUP(M38,'Data - Employee Rights Master'!$C$3:$D$32,2,0)</f>
        <v>AM</v>
      </c>
      <c r="T38" s="30" t="str">
        <f>VLOOKUP(N38,'Data - Employee Rights Master'!$C$3:$D$32,2,0)</f>
        <v>DM</v>
      </c>
      <c r="U38" s="41" t="str">
        <f t="shared" si="2"/>
        <v>PASS</v>
      </c>
      <c r="V38" s="41" t="str">
        <f t="shared" si="3"/>
        <v>NA</v>
      </c>
      <c r="W38" s="30" t="str">
        <f t="shared" si="4"/>
        <v>2021</v>
      </c>
      <c r="X38" s="30" t="str">
        <f>VLOOKUP(MONTH(G38),Key!$F$3:$G$14,2,0)</f>
        <v>May</v>
      </c>
      <c r="Y38" s="30" t="str">
        <f>IFERROR(IF(MATCH(F38,'Test 6'!C$5:C$9,0)&gt;0,"RP"),"NON-RP")</f>
        <v>NON-RP</v>
      </c>
    </row>
    <row r="39" spans="2:25" x14ac:dyDescent="0.5">
      <c r="B39" s="30">
        <v>35</v>
      </c>
      <c r="C39" s="30" t="s">
        <v>129</v>
      </c>
      <c r="D39" s="31">
        <v>202135</v>
      </c>
      <c r="E39" s="30" t="s">
        <v>130</v>
      </c>
      <c r="F39" s="53" t="s">
        <v>131</v>
      </c>
      <c r="G39" s="32">
        <v>43969</v>
      </c>
      <c r="H39" s="33">
        <v>0.44198106159020423</v>
      </c>
      <c r="I39" s="30" t="s">
        <v>96</v>
      </c>
      <c r="J39" s="34">
        <v>431890</v>
      </c>
      <c r="K39" s="35" t="s">
        <v>17</v>
      </c>
      <c r="L39" s="36">
        <v>77740.2</v>
      </c>
      <c r="M39" s="30" t="s">
        <v>46</v>
      </c>
      <c r="N39" s="30" t="s">
        <v>24</v>
      </c>
      <c r="O39" s="30" t="s">
        <v>1542</v>
      </c>
      <c r="P39" s="30" t="s">
        <v>1542</v>
      </c>
      <c r="Q39" s="30" t="str">
        <f t="shared" si="0"/>
        <v>AM</v>
      </c>
      <c r="R39" s="30" t="str">
        <f t="shared" si="1"/>
        <v>DM</v>
      </c>
      <c r="S39" s="30" t="str">
        <f>VLOOKUP(M39,'Data - Employee Rights Master'!$C$3:$D$32,2,0)</f>
        <v>AM</v>
      </c>
      <c r="T39" s="30" t="str">
        <f>VLOOKUP(N39,'Data - Employee Rights Master'!$C$3:$D$32,2,0)</f>
        <v>DM</v>
      </c>
      <c r="U39" s="41" t="str">
        <f t="shared" si="2"/>
        <v>PASS</v>
      </c>
      <c r="V39" s="41" t="str">
        <f t="shared" si="3"/>
        <v>NA</v>
      </c>
      <c r="W39" s="30" t="str">
        <f t="shared" si="4"/>
        <v>2021</v>
      </c>
      <c r="X39" s="30" t="str">
        <f>VLOOKUP(MONTH(G39),Key!$F$3:$G$14,2,0)</f>
        <v>May</v>
      </c>
      <c r="Y39" s="30" t="str">
        <f>IFERROR(IF(MATCH(F39,'Test 6'!C$5:C$9,0)&gt;0,"RP"),"NON-RP")</f>
        <v>NON-RP</v>
      </c>
    </row>
    <row r="40" spans="2:25" x14ac:dyDescent="0.5">
      <c r="B40" s="30">
        <v>36</v>
      </c>
      <c r="C40" s="30" t="s">
        <v>132</v>
      </c>
      <c r="D40" s="31">
        <v>202136</v>
      </c>
      <c r="E40" s="30" t="s">
        <v>133</v>
      </c>
      <c r="F40" s="53" t="s">
        <v>114</v>
      </c>
      <c r="G40" s="32">
        <v>43970</v>
      </c>
      <c r="H40" s="33">
        <v>0.47321685306916972</v>
      </c>
      <c r="I40" s="30" t="s">
        <v>96</v>
      </c>
      <c r="J40" s="34">
        <v>21840</v>
      </c>
      <c r="K40" s="35" t="s">
        <v>17</v>
      </c>
      <c r="L40" s="36">
        <v>3931.2</v>
      </c>
      <c r="M40" s="30" t="s">
        <v>134</v>
      </c>
      <c r="N40" s="30" t="s">
        <v>61</v>
      </c>
      <c r="O40" s="30" t="s">
        <v>1542</v>
      </c>
      <c r="P40" s="30" t="s">
        <v>1542</v>
      </c>
      <c r="Q40" s="30" t="str">
        <f t="shared" si="0"/>
        <v>SE</v>
      </c>
      <c r="R40" s="30" t="str">
        <f t="shared" si="1"/>
        <v>AM</v>
      </c>
      <c r="S40" s="30" t="str">
        <f>VLOOKUP(M40,'Data - Employee Rights Master'!$C$3:$D$32,2,0)</f>
        <v>SE</v>
      </c>
      <c r="T40" s="30" t="str">
        <f>VLOOKUP(N40,'Data - Employee Rights Master'!$C$3:$D$32,2,0)</f>
        <v>AM</v>
      </c>
      <c r="U40" s="41" t="str">
        <f t="shared" si="2"/>
        <v>PASS</v>
      </c>
      <c r="V40" s="41" t="str">
        <f t="shared" si="3"/>
        <v>NA</v>
      </c>
      <c r="W40" s="30" t="str">
        <f t="shared" si="4"/>
        <v>2021</v>
      </c>
      <c r="X40" s="30" t="str">
        <f>VLOOKUP(MONTH(G40),Key!$F$3:$G$14,2,0)</f>
        <v>May</v>
      </c>
      <c r="Y40" s="30" t="str">
        <f>IFERROR(IF(MATCH(F40,'Test 6'!C$5:C$9,0)&gt;0,"RP"),"NON-RP")</f>
        <v>NON-RP</v>
      </c>
    </row>
    <row r="41" spans="2:25" x14ac:dyDescent="0.5">
      <c r="B41" s="30">
        <v>37</v>
      </c>
      <c r="C41" s="30" t="s">
        <v>135</v>
      </c>
      <c r="D41" s="31">
        <v>202137</v>
      </c>
      <c r="E41" s="30" t="s">
        <v>136</v>
      </c>
      <c r="F41" s="53" t="s">
        <v>114</v>
      </c>
      <c r="G41" s="32">
        <v>43970</v>
      </c>
      <c r="H41" s="33">
        <v>0.73629727617510654</v>
      </c>
      <c r="I41" s="30" t="s">
        <v>16</v>
      </c>
      <c r="J41" s="34">
        <v>27450</v>
      </c>
      <c r="K41" s="35" t="s">
        <v>17</v>
      </c>
      <c r="L41" s="36">
        <v>4941</v>
      </c>
      <c r="M41" s="30" t="s">
        <v>106</v>
      </c>
      <c r="N41" s="30" t="s">
        <v>46</v>
      </c>
      <c r="O41" s="30" t="s">
        <v>1542</v>
      </c>
      <c r="P41" s="30" t="s">
        <v>1542</v>
      </c>
      <c r="Q41" s="30" t="str">
        <f t="shared" si="0"/>
        <v>SE</v>
      </c>
      <c r="R41" s="30" t="str">
        <f t="shared" si="1"/>
        <v>AM</v>
      </c>
      <c r="S41" s="30" t="str">
        <f>VLOOKUP(M41,'Data - Employee Rights Master'!$C$3:$D$32,2,0)</f>
        <v>SE</v>
      </c>
      <c r="T41" s="30" t="str">
        <f>VLOOKUP(N41,'Data - Employee Rights Master'!$C$3:$D$32,2,0)</f>
        <v>AM</v>
      </c>
      <c r="U41" s="41" t="str">
        <f t="shared" si="2"/>
        <v>PASS</v>
      </c>
      <c r="V41" s="41" t="str">
        <f t="shared" si="3"/>
        <v>NA</v>
      </c>
      <c r="W41" s="30" t="str">
        <f t="shared" si="4"/>
        <v>2021</v>
      </c>
      <c r="X41" s="30" t="str">
        <f>VLOOKUP(MONTH(G41),Key!$F$3:$G$14,2,0)</f>
        <v>May</v>
      </c>
      <c r="Y41" s="30" t="str">
        <f>IFERROR(IF(MATCH(F41,'Test 6'!C$5:C$9,0)&gt;0,"RP"),"NON-RP")</f>
        <v>NON-RP</v>
      </c>
    </row>
    <row r="42" spans="2:25" x14ac:dyDescent="0.5">
      <c r="B42" s="30">
        <v>38</v>
      </c>
      <c r="C42" s="30" t="s">
        <v>137</v>
      </c>
      <c r="D42" s="31">
        <v>202138</v>
      </c>
      <c r="E42" s="30" t="s">
        <v>138</v>
      </c>
      <c r="F42" s="53" t="s">
        <v>54</v>
      </c>
      <c r="G42" s="32">
        <v>43973</v>
      </c>
      <c r="H42" s="33">
        <v>0.63649219899886245</v>
      </c>
      <c r="I42" s="30" t="s">
        <v>96</v>
      </c>
      <c r="J42" s="34">
        <v>440720</v>
      </c>
      <c r="K42" s="35" t="s">
        <v>17</v>
      </c>
      <c r="L42" s="36">
        <v>79329.599999999991</v>
      </c>
      <c r="M42" s="30" t="s">
        <v>18</v>
      </c>
      <c r="N42" s="30" t="s">
        <v>47</v>
      </c>
      <c r="O42" s="30" t="s">
        <v>1542</v>
      </c>
      <c r="P42" s="30" t="s">
        <v>1542</v>
      </c>
      <c r="Q42" s="30" t="str">
        <f t="shared" si="0"/>
        <v>AM</v>
      </c>
      <c r="R42" s="30" t="str">
        <f t="shared" si="1"/>
        <v>DM</v>
      </c>
      <c r="S42" s="30" t="str">
        <f>VLOOKUP(M42,'Data - Employee Rights Master'!$C$3:$D$32,2,0)</f>
        <v>AM</v>
      </c>
      <c r="T42" s="30" t="str">
        <f>VLOOKUP(N42,'Data - Employee Rights Master'!$C$3:$D$32,2,0)</f>
        <v>DM</v>
      </c>
      <c r="U42" s="41" t="str">
        <f t="shared" si="2"/>
        <v>PASS</v>
      </c>
      <c r="V42" s="41" t="str">
        <f t="shared" si="3"/>
        <v>NA</v>
      </c>
      <c r="W42" s="30" t="str">
        <f t="shared" si="4"/>
        <v>2021</v>
      </c>
      <c r="X42" s="30" t="str">
        <f>VLOOKUP(MONTH(G42),Key!$F$3:$G$14,2,0)</f>
        <v>May</v>
      </c>
      <c r="Y42" s="30" t="str">
        <f>IFERROR(IF(MATCH(F42,'Test 6'!C$5:C$9,0)&gt;0,"RP"),"NON-RP")</f>
        <v>NON-RP</v>
      </c>
    </row>
    <row r="43" spans="2:25" x14ac:dyDescent="0.5">
      <c r="B43" s="30">
        <v>39</v>
      </c>
      <c r="C43" s="30" t="s">
        <v>139</v>
      </c>
      <c r="D43" s="31">
        <v>202139</v>
      </c>
      <c r="E43" s="30" t="s">
        <v>140</v>
      </c>
      <c r="F43" s="53" t="s">
        <v>64</v>
      </c>
      <c r="G43" s="32">
        <v>43973</v>
      </c>
      <c r="H43" s="33">
        <v>0.51208338721601876</v>
      </c>
      <c r="I43" s="30" t="s">
        <v>16</v>
      </c>
      <c r="J43" s="34">
        <v>294900</v>
      </c>
      <c r="K43" s="35" t="s">
        <v>17</v>
      </c>
      <c r="L43" s="36">
        <v>53082</v>
      </c>
      <c r="M43" s="30" t="s">
        <v>23</v>
      </c>
      <c r="N43" s="30" t="s">
        <v>47</v>
      </c>
      <c r="O43" s="30" t="s">
        <v>1542</v>
      </c>
      <c r="P43" s="30" t="s">
        <v>1542</v>
      </c>
      <c r="Q43" s="30" t="str">
        <f t="shared" si="0"/>
        <v>AM</v>
      </c>
      <c r="R43" s="30" t="str">
        <f t="shared" si="1"/>
        <v>DM</v>
      </c>
      <c r="S43" s="30" t="str">
        <f>VLOOKUP(M43,'Data - Employee Rights Master'!$C$3:$D$32,2,0)</f>
        <v>AM</v>
      </c>
      <c r="T43" s="30" t="str">
        <f>VLOOKUP(N43,'Data - Employee Rights Master'!$C$3:$D$32,2,0)</f>
        <v>DM</v>
      </c>
      <c r="U43" s="41" t="str">
        <f t="shared" si="2"/>
        <v>PASS</v>
      </c>
      <c r="V43" s="41" t="str">
        <f t="shared" si="3"/>
        <v>NA</v>
      </c>
      <c r="W43" s="30" t="str">
        <f t="shared" si="4"/>
        <v>2021</v>
      </c>
      <c r="X43" s="30" t="str">
        <f>VLOOKUP(MONTH(G43),Key!$F$3:$G$14,2,0)</f>
        <v>May</v>
      </c>
      <c r="Y43" s="30" t="str">
        <f>IFERROR(IF(MATCH(F43,'Test 6'!C$5:C$9,0)&gt;0,"RP"),"NON-RP")</f>
        <v>NON-RP</v>
      </c>
    </row>
    <row r="44" spans="2:25" x14ac:dyDescent="0.5">
      <c r="B44" s="30">
        <v>40</v>
      </c>
      <c r="C44" s="30" t="s">
        <v>141</v>
      </c>
      <c r="D44" s="31">
        <v>202140</v>
      </c>
      <c r="E44" s="30" t="s">
        <v>142</v>
      </c>
      <c r="F44" s="53" t="s">
        <v>143</v>
      </c>
      <c r="G44" s="32">
        <v>43974</v>
      </c>
      <c r="H44" s="33">
        <v>0.72450431844811014</v>
      </c>
      <c r="I44" s="30" t="s">
        <v>96</v>
      </c>
      <c r="J44" s="34">
        <v>5778120</v>
      </c>
      <c r="K44" s="35" t="s">
        <v>17</v>
      </c>
      <c r="L44" s="36">
        <v>1040061.6</v>
      </c>
      <c r="M44" s="30" t="s">
        <v>41</v>
      </c>
      <c r="N44" s="30" t="s">
        <v>42</v>
      </c>
      <c r="O44" s="30" t="s">
        <v>1575</v>
      </c>
      <c r="P44" s="30" t="s">
        <v>1576</v>
      </c>
      <c r="Q44" s="30" t="str">
        <f t="shared" si="0"/>
        <v>CM</v>
      </c>
      <c r="R44" s="30" t="str">
        <f t="shared" si="1"/>
        <v>CFO</v>
      </c>
      <c r="S44" s="30" t="str">
        <f>VLOOKUP(M44,'Data - Employee Rights Master'!$C$3:$D$32,2,0)</f>
        <v>CM</v>
      </c>
      <c r="T44" s="30" t="str">
        <f>VLOOKUP(N44,'Data - Employee Rights Master'!$C$3:$D$32,2,0)</f>
        <v>CFO</v>
      </c>
      <c r="U44" s="41" t="str">
        <f t="shared" si="2"/>
        <v>PASS</v>
      </c>
      <c r="V44" s="41" t="str">
        <f t="shared" si="3"/>
        <v>PASS</v>
      </c>
      <c r="W44" s="30" t="str">
        <f t="shared" si="4"/>
        <v>2021</v>
      </c>
      <c r="X44" s="30" t="str">
        <f>VLOOKUP(MONTH(G44),Key!$F$3:$G$14,2,0)</f>
        <v>May</v>
      </c>
      <c r="Y44" s="30" t="str">
        <f>IFERROR(IF(MATCH(F44,'Test 6'!C$5:C$9,0)&gt;0,"RP"),"NON-RP")</f>
        <v>NON-RP</v>
      </c>
    </row>
    <row r="45" spans="2:25" x14ac:dyDescent="0.5">
      <c r="B45" s="30">
        <v>41</v>
      </c>
      <c r="C45" s="30" t="s">
        <v>145</v>
      </c>
      <c r="D45" s="31">
        <v>202141</v>
      </c>
      <c r="E45" s="30" t="s">
        <v>146</v>
      </c>
      <c r="F45" s="53" t="s">
        <v>54</v>
      </c>
      <c r="G45" s="32">
        <v>43976</v>
      </c>
      <c r="H45" s="33">
        <v>0.70892228814708402</v>
      </c>
      <c r="I45" s="30" t="s">
        <v>96</v>
      </c>
      <c r="J45" s="34">
        <v>401950</v>
      </c>
      <c r="K45" s="35" t="s">
        <v>17</v>
      </c>
      <c r="L45" s="36">
        <v>72351</v>
      </c>
      <c r="M45" s="30" t="s">
        <v>46</v>
      </c>
      <c r="N45" s="30" t="s">
        <v>51</v>
      </c>
      <c r="O45" s="30" t="s">
        <v>1542</v>
      </c>
      <c r="P45" s="30" t="s">
        <v>1542</v>
      </c>
      <c r="Q45" s="30" t="str">
        <f t="shared" si="0"/>
        <v>AM</v>
      </c>
      <c r="R45" s="30" t="str">
        <f t="shared" si="1"/>
        <v>DM</v>
      </c>
      <c r="S45" s="30" t="str">
        <f>VLOOKUP(M45,'Data - Employee Rights Master'!$C$3:$D$32,2,0)</f>
        <v>AM</v>
      </c>
      <c r="T45" s="30" t="str">
        <f>VLOOKUP(N45,'Data - Employee Rights Master'!$C$3:$D$32,2,0)</f>
        <v>DM</v>
      </c>
      <c r="U45" s="41" t="str">
        <f t="shared" si="2"/>
        <v>PASS</v>
      </c>
      <c r="V45" s="41" t="str">
        <f t="shared" si="3"/>
        <v>NA</v>
      </c>
      <c r="W45" s="30" t="str">
        <f t="shared" si="4"/>
        <v>2021</v>
      </c>
      <c r="X45" s="30" t="str">
        <f>VLOOKUP(MONTH(G45),Key!$F$3:$G$14,2,0)</f>
        <v>May</v>
      </c>
      <c r="Y45" s="30" t="str">
        <f>IFERROR(IF(MATCH(F45,'Test 6'!C$5:C$9,0)&gt;0,"RP"),"NON-RP")</f>
        <v>NON-RP</v>
      </c>
    </row>
    <row r="46" spans="2:25" x14ac:dyDescent="0.5">
      <c r="B46" s="30">
        <v>42</v>
      </c>
      <c r="C46" s="30" t="s">
        <v>147</v>
      </c>
      <c r="D46" s="31">
        <v>202142</v>
      </c>
      <c r="E46" s="30" t="s">
        <v>148</v>
      </c>
      <c r="F46" s="53" t="s">
        <v>27</v>
      </c>
      <c r="G46" s="32">
        <v>43979</v>
      </c>
      <c r="H46" s="33">
        <v>0.68438976315237121</v>
      </c>
      <c r="I46" s="30" t="s">
        <v>96</v>
      </c>
      <c r="J46" s="34">
        <v>429800</v>
      </c>
      <c r="K46" s="35" t="s">
        <v>17</v>
      </c>
      <c r="L46" s="36">
        <v>77364</v>
      </c>
      <c r="M46" s="30" t="s">
        <v>32</v>
      </c>
      <c r="N46" s="30" t="s">
        <v>51</v>
      </c>
      <c r="O46" s="30" t="s">
        <v>1542</v>
      </c>
      <c r="P46" s="30" t="s">
        <v>1542</v>
      </c>
      <c r="Q46" s="30" t="str">
        <f t="shared" si="0"/>
        <v>AM</v>
      </c>
      <c r="R46" s="30" t="str">
        <f t="shared" si="1"/>
        <v>DM</v>
      </c>
      <c r="S46" s="30" t="str">
        <f>VLOOKUP(M46,'Data - Employee Rights Master'!$C$3:$D$32,2,0)</f>
        <v>AM</v>
      </c>
      <c r="T46" s="30" t="str">
        <f>VLOOKUP(N46,'Data - Employee Rights Master'!$C$3:$D$32,2,0)</f>
        <v>DM</v>
      </c>
      <c r="U46" s="41" t="str">
        <f t="shared" si="2"/>
        <v>PASS</v>
      </c>
      <c r="V46" s="41" t="str">
        <f t="shared" si="3"/>
        <v>NA</v>
      </c>
      <c r="W46" s="30" t="str">
        <f t="shared" si="4"/>
        <v>2021</v>
      </c>
      <c r="X46" s="30" t="str">
        <f>VLOOKUP(MONTH(G46),Key!$F$3:$G$14,2,0)</f>
        <v>May</v>
      </c>
      <c r="Y46" s="30" t="str">
        <f>IFERROR(IF(MATCH(F46,'Test 6'!C$5:C$9,0)&gt;0,"RP"),"NON-RP")</f>
        <v>NON-RP</v>
      </c>
    </row>
    <row r="47" spans="2:25" x14ac:dyDescent="0.5">
      <c r="B47" s="30">
        <v>43</v>
      </c>
      <c r="C47" s="30" t="s">
        <v>149</v>
      </c>
      <c r="D47" s="31">
        <v>202143</v>
      </c>
      <c r="E47" s="30" t="s">
        <v>150</v>
      </c>
      <c r="F47" s="53" t="s">
        <v>60</v>
      </c>
      <c r="G47" s="32">
        <v>43979</v>
      </c>
      <c r="H47" s="33">
        <v>0.57801181459125239</v>
      </c>
      <c r="I47" s="30" t="s">
        <v>96</v>
      </c>
      <c r="J47" s="34">
        <v>463750</v>
      </c>
      <c r="K47" s="35" t="s">
        <v>17</v>
      </c>
      <c r="L47" s="36">
        <v>83475</v>
      </c>
      <c r="M47" s="30" t="s">
        <v>18</v>
      </c>
      <c r="N47" s="30" t="s">
        <v>24</v>
      </c>
      <c r="O47" s="30" t="s">
        <v>1542</v>
      </c>
      <c r="P47" s="30" t="s">
        <v>1542</v>
      </c>
      <c r="Q47" s="30" t="str">
        <f t="shared" si="0"/>
        <v>AM</v>
      </c>
      <c r="R47" s="30" t="str">
        <f t="shared" si="1"/>
        <v>DM</v>
      </c>
      <c r="S47" s="30" t="str">
        <f>VLOOKUP(M47,'Data - Employee Rights Master'!$C$3:$D$32,2,0)</f>
        <v>AM</v>
      </c>
      <c r="T47" s="30" t="str">
        <f>VLOOKUP(N47,'Data - Employee Rights Master'!$C$3:$D$32,2,0)</f>
        <v>DM</v>
      </c>
      <c r="U47" s="41" t="str">
        <f t="shared" si="2"/>
        <v>PASS</v>
      </c>
      <c r="V47" s="41" t="str">
        <f t="shared" si="3"/>
        <v>NA</v>
      </c>
      <c r="W47" s="30" t="str">
        <f t="shared" si="4"/>
        <v>2021</v>
      </c>
      <c r="X47" s="30" t="str">
        <f>VLOOKUP(MONTH(G47),Key!$F$3:$G$14,2,0)</f>
        <v>May</v>
      </c>
      <c r="Y47" s="30" t="str">
        <f>IFERROR(IF(MATCH(F47,'Test 6'!C$5:C$9,0)&gt;0,"RP"),"NON-RP")</f>
        <v>NON-RP</v>
      </c>
    </row>
    <row r="48" spans="2:25" x14ac:dyDescent="0.5">
      <c r="B48" s="30">
        <v>44</v>
      </c>
      <c r="C48" s="30" t="s">
        <v>151</v>
      </c>
      <c r="D48" s="31">
        <v>202144</v>
      </c>
      <c r="E48" s="30" t="s">
        <v>152</v>
      </c>
      <c r="F48" s="53" t="s">
        <v>153</v>
      </c>
      <c r="G48" s="32">
        <v>43979</v>
      </c>
      <c r="H48" s="33">
        <v>0.6136253367085226</v>
      </c>
      <c r="I48" s="30" t="s">
        <v>16</v>
      </c>
      <c r="J48" s="34">
        <v>302650</v>
      </c>
      <c r="K48" s="35" t="s">
        <v>17</v>
      </c>
      <c r="L48" s="36">
        <v>54477</v>
      </c>
      <c r="M48" s="30" t="s">
        <v>61</v>
      </c>
      <c r="N48" s="30" t="s">
        <v>19</v>
      </c>
      <c r="O48" s="30" t="s">
        <v>1542</v>
      </c>
      <c r="P48" s="30" t="s">
        <v>1542</v>
      </c>
      <c r="Q48" s="30" t="str">
        <f t="shared" si="0"/>
        <v>AM</v>
      </c>
      <c r="R48" s="30" t="str">
        <f t="shared" si="1"/>
        <v>DM</v>
      </c>
      <c r="S48" s="30" t="str">
        <f>VLOOKUP(M48,'Data - Employee Rights Master'!$C$3:$D$32,2,0)</f>
        <v>AM</v>
      </c>
      <c r="T48" s="30" t="str">
        <f>VLOOKUP(N48,'Data - Employee Rights Master'!$C$3:$D$32,2,0)</f>
        <v>DM</v>
      </c>
      <c r="U48" s="41" t="str">
        <f t="shared" si="2"/>
        <v>PASS</v>
      </c>
      <c r="V48" s="41" t="str">
        <f t="shared" si="3"/>
        <v>NA</v>
      </c>
      <c r="W48" s="30" t="str">
        <f t="shared" si="4"/>
        <v>2021</v>
      </c>
      <c r="X48" s="30" t="str">
        <f>VLOOKUP(MONTH(G48),Key!$F$3:$G$14,2,0)</f>
        <v>May</v>
      </c>
      <c r="Y48" s="30" t="str">
        <f>IFERROR(IF(MATCH(F48,'Test 6'!C$5:C$9,0)&gt;0,"RP"),"NON-RP")</f>
        <v>NON-RP</v>
      </c>
    </row>
    <row r="49" spans="2:25" x14ac:dyDescent="0.5">
      <c r="B49" s="30">
        <v>45</v>
      </c>
      <c r="C49" s="30" t="s">
        <v>154</v>
      </c>
      <c r="D49" s="31">
        <v>202145</v>
      </c>
      <c r="E49" s="30" t="s">
        <v>155</v>
      </c>
      <c r="F49" s="53" t="s">
        <v>156</v>
      </c>
      <c r="G49" s="32">
        <v>43980</v>
      </c>
      <c r="H49" s="33">
        <v>0.64433398152152577</v>
      </c>
      <c r="I49" s="30" t="s">
        <v>96</v>
      </c>
      <c r="J49" s="34">
        <v>427510</v>
      </c>
      <c r="K49" s="35" t="s">
        <v>17</v>
      </c>
      <c r="L49" s="36">
        <v>76951.8</v>
      </c>
      <c r="M49" s="30" t="s">
        <v>46</v>
      </c>
      <c r="N49" s="30" t="s">
        <v>24</v>
      </c>
      <c r="O49" s="30" t="s">
        <v>1542</v>
      </c>
      <c r="P49" s="30" t="s">
        <v>1542</v>
      </c>
      <c r="Q49" s="30" t="str">
        <f t="shared" si="0"/>
        <v>AM</v>
      </c>
      <c r="R49" s="30" t="str">
        <f t="shared" si="1"/>
        <v>DM</v>
      </c>
      <c r="S49" s="30" t="str">
        <f>VLOOKUP(M49,'Data - Employee Rights Master'!$C$3:$D$32,2,0)</f>
        <v>AM</v>
      </c>
      <c r="T49" s="30" t="str">
        <f>VLOOKUP(N49,'Data - Employee Rights Master'!$C$3:$D$32,2,0)</f>
        <v>DM</v>
      </c>
      <c r="U49" s="41" t="str">
        <f t="shared" si="2"/>
        <v>PASS</v>
      </c>
      <c r="V49" s="41" t="str">
        <f t="shared" si="3"/>
        <v>NA</v>
      </c>
      <c r="W49" s="30" t="str">
        <f t="shared" si="4"/>
        <v>2021</v>
      </c>
      <c r="X49" s="30" t="str">
        <f>VLOOKUP(MONTH(G49),Key!$F$3:$G$14,2,0)</f>
        <v>May</v>
      </c>
      <c r="Y49" s="30" t="str">
        <f>IFERROR(IF(MATCH(F49,'Test 6'!C$5:C$9,0)&gt;0,"RP"),"NON-RP")</f>
        <v>NON-RP</v>
      </c>
    </row>
    <row r="50" spans="2:25" x14ac:dyDescent="0.5">
      <c r="B50" s="30">
        <v>46</v>
      </c>
      <c r="C50" s="30" t="s">
        <v>157</v>
      </c>
      <c r="D50" s="31">
        <v>202146</v>
      </c>
      <c r="E50" s="30" t="s">
        <v>158</v>
      </c>
      <c r="F50" s="53" t="s">
        <v>15</v>
      </c>
      <c r="G50" s="32">
        <v>43981</v>
      </c>
      <c r="H50" s="33">
        <v>0.63065691977752614</v>
      </c>
      <c r="I50" s="30" t="s">
        <v>96</v>
      </c>
      <c r="J50" s="34">
        <v>386240</v>
      </c>
      <c r="K50" s="35" t="s">
        <v>17</v>
      </c>
      <c r="L50" s="36">
        <v>69523.199999999997</v>
      </c>
      <c r="M50" s="30" t="s">
        <v>37</v>
      </c>
      <c r="N50" s="30" t="s">
        <v>51</v>
      </c>
      <c r="O50" s="30" t="s">
        <v>1542</v>
      </c>
      <c r="P50" s="30" t="s">
        <v>1542</v>
      </c>
      <c r="Q50" s="30" t="str">
        <f t="shared" si="0"/>
        <v>AM</v>
      </c>
      <c r="R50" s="30" t="str">
        <f t="shared" si="1"/>
        <v>DM</v>
      </c>
      <c r="S50" s="30" t="str">
        <f>VLOOKUP(M50,'Data - Employee Rights Master'!$C$3:$D$32,2,0)</f>
        <v>AM</v>
      </c>
      <c r="T50" s="30" t="str">
        <f>VLOOKUP(N50,'Data - Employee Rights Master'!$C$3:$D$32,2,0)</f>
        <v>DM</v>
      </c>
      <c r="U50" s="41" t="str">
        <f t="shared" si="2"/>
        <v>PASS</v>
      </c>
      <c r="V50" s="41" t="str">
        <f t="shared" si="3"/>
        <v>NA</v>
      </c>
      <c r="W50" s="30" t="str">
        <f t="shared" si="4"/>
        <v>2021</v>
      </c>
      <c r="X50" s="30" t="str">
        <f>VLOOKUP(MONTH(G50),Key!$F$3:$G$14,2,0)</f>
        <v>May</v>
      </c>
      <c r="Y50" s="30" t="str">
        <f>IFERROR(IF(MATCH(F50,'Test 6'!C$5:C$9,0)&gt;0,"RP"),"NON-RP")</f>
        <v>NON-RP</v>
      </c>
    </row>
    <row r="51" spans="2:25" x14ac:dyDescent="0.5">
      <c r="B51" s="30">
        <v>47</v>
      </c>
      <c r="C51" s="30" t="s">
        <v>159</v>
      </c>
      <c r="D51" s="31">
        <v>202147</v>
      </c>
      <c r="E51" s="30" t="s">
        <v>160</v>
      </c>
      <c r="F51" s="53" t="s">
        <v>114</v>
      </c>
      <c r="G51" s="32">
        <v>43981</v>
      </c>
      <c r="H51" s="33">
        <v>0.44978977733071995</v>
      </c>
      <c r="I51" s="30" t="s">
        <v>96</v>
      </c>
      <c r="J51" s="34">
        <v>206890</v>
      </c>
      <c r="K51" s="35" t="s">
        <v>17</v>
      </c>
      <c r="L51" s="36">
        <v>37240.199999999997</v>
      </c>
      <c r="M51" s="30" t="s">
        <v>23</v>
      </c>
      <c r="N51" s="30" t="s">
        <v>19</v>
      </c>
      <c r="O51" s="30" t="s">
        <v>1542</v>
      </c>
      <c r="P51" s="30" t="s">
        <v>1542</v>
      </c>
      <c r="Q51" s="30" t="str">
        <f t="shared" si="0"/>
        <v>AM</v>
      </c>
      <c r="R51" s="30" t="str">
        <f t="shared" si="1"/>
        <v>DM</v>
      </c>
      <c r="S51" s="30" t="str">
        <f>VLOOKUP(M51,'Data - Employee Rights Master'!$C$3:$D$32,2,0)</f>
        <v>AM</v>
      </c>
      <c r="T51" s="30" t="str">
        <f>VLOOKUP(N51,'Data - Employee Rights Master'!$C$3:$D$32,2,0)</f>
        <v>DM</v>
      </c>
      <c r="U51" s="41" t="str">
        <f t="shared" si="2"/>
        <v>PASS</v>
      </c>
      <c r="V51" s="41" t="str">
        <f t="shared" si="3"/>
        <v>NA</v>
      </c>
      <c r="W51" s="30" t="str">
        <f t="shared" si="4"/>
        <v>2021</v>
      </c>
      <c r="X51" s="30" t="str">
        <f>VLOOKUP(MONTH(G51),Key!$F$3:$G$14,2,0)</f>
        <v>May</v>
      </c>
      <c r="Y51" s="30" t="str">
        <f>IFERROR(IF(MATCH(F51,'Test 6'!C$5:C$9,0)&gt;0,"RP"),"NON-RP")</f>
        <v>NON-RP</v>
      </c>
    </row>
    <row r="52" spans="2:25" x14ac:dyDescent="0.5">
      <c r="B52" s="30">
        <v>48</v>
      </c>
      <c r="C52" s="30" t="s">
        <v>161</v>
      </c>
      <c r="D52" s="31">
        <v>202148</v>
      </c>
      <c r="E52" s="30" t="s">
        <v>162</v>
      </c>
      <c r="F52" s="53" t="s">
        <v>15</v>
      </c>
      <c r="G52" s="32">
        <v>43983</v>
      </c>
      <c r="H52" s="33">
        <v>0.74356787000965729</v>
      </c>
      <c r="I52" s="30" t="s">
        <v>163</v>
      </c>
      <c r="J52" s="34">
        <v>492690</v>
      </c>
      <c r="K52" s="35" t="s">
        <v>17</v>
      </c>
      <c r="L52" s="36">
        <v>88684.2</v>
      </c>
      <c r="M52" s="30" t="s">
        <v>37</v>
      </c>
      <c r="N52" s="30" t="s">
        <v>47</v>
      </c>
      <c r="O52" s="30" t="s">
        <v>1542</v>
      </c>
      <c r="P52" s="30" t="s">
        <v>1542</v>
      </c>
      <c r="Q52" s="30" t="str">
        <f t="shared" si="0"/>
        <v>AM</v>
      </c>
      <c r="R52" s="30" t="str">
        <f t="shared" si="1"/>
        <v>DM</v>
      </c>
      <c r="S52" s="30" t="str">
        <f>VLOOKUP(M52,'Data - Employee Rights Master'!$C$3:$D$32,2,0)</f>
        <v>AM</v>
      </c>
      <c r="T52" s="30" t="str">
        <f>VLOOKUP(N52,'Data - Employee Rights Master'!$C$3:$D$32,2,0)</f>
        <v>DM</v>
      </c>
      <c r="U52" s="41" t="str">
        <f t="shared" si="2"/>
        <v>PASS</v>
      </c>
      <c r="V52" s="41" t="str">
        <f t="shared" si="3"/>
        <v>NA</v>
      </c>
      <c r="W52" s="30" t="str">
        <f t="shared" si="4"/>
        <v>2021</v>
      </c>
      <c r="X52" s="30" t="str">
        <f>VLOOKUP(MONTH(G52),Key!$F$3:$G$14,2,0)</f>
        <v>Jun</v>
      </c>
      <c r="Y52" s="30" t="str">
        <f>IFERROR(IF(MATCH(F52,'Test 6'!C$5:C$9,0)&gt;0,"RP"),"NON-RP")</f>
        <v>NON-RP</v>
      </c>
    </row>
    <row r="53" spans="2:25" x14ac:dyDescent="0.5">
      <c r="B53" s="30">
        <v>49</v>
      </c>
      <c r="C53" s="30" t="s">
        <v>164</v>
      </c>
      <c r="D53" s="31">
        <v>202149</v>
      </c>
      <c r="E53" s="30" t="s">
        <v>165</v>
      </c>
      <c r="F53" s="53" t="s">
        <v>143</v>
      </c>
      <c r="G53" s="32">
        <v>43984</v>
      </c>
      <c r="H53" s="33">
        <v>0.64022782484940988</v>
      </c>
      <c r="I53" s="30" t="s">
        <v>96</v>
      </c>
      <c r="J53" s="34">
        <v>482570</v>
      </c>
      <c r="K53" s="35" t="s">
        <v>17</v>
      </c>
      <c r="L53" s="36">
        <v>86862.599999999991</v>
      </c>
      <c r="M53" s="30" t="s">
        <v>37</v>
      </c>
      <c r="N53" s="30" t="s">
        <v>51</v>
      </c>
      <c r="O53" s="30" t="s">
        <v>1542</v>
      </c>
      <c r="P53" s="30" t="s">
        <v>1542</v>
      </c>
      <c r="Q53" s="30" t="str">
        <f t="shared" si="0"/>
        <v>AM</v>
      </c>
      <c r="R53" s="30" t="str">
        <f t="shared" si="1"/>
        <v>DM</v>
      </c>
      <c r="S53" s="30" t="str">
        <f>VLOOKUP(M53,'Data - Employee Rights Master'!$C$3:$D$32,2,0)</f>
        <v>AM</v>
      </c>
      <c r="T53" s="30" t="str">
        <f>VLOOKUP(N53,'Data - Employee Rights Master'!$C$3:$D$32,2,0)</f>
        <v>DM</v>
      </c>
      <c r="U53" s="41" t="str">
        <f t="shared" si="2"/>
        <v>PASS</v>
      </c>
      <c r="V53" s="41" t="str">
        <f t="shared" si="3"/>
        <v>NA</v>
      </c>
      <c r="W53" s="30" t="str">
        <f t="shared" si="4"/>
        <v>2021</v>
      </c>
      <c r="X53" s="30" t="str">
        <f>VLOOKUP(MONTH(G53),Key!$F$3:$G$14,2,0)</f>
        <v>Jun</v>
      </c>
      <c r="Y53" s="30" t="str">
        <f>IFERROR(IF(MATCH(F53,'Test 6'!C$5:C$9,0)&gt;0,"RP"),"NON-RP")</f>
        <v>NON-RP</v>
      </c>
    </row>
    <row r="54" spans="2:25" x14ac:dyDescent="0.5">
      <c r="B54" s="30">
        <v>50</v>
      </c>
      <c r="C54" s="30" t="s">
        <v>166</v>
      </c>
      <c r="D54" s="31">
        <v>202150</v>
      </c>
      <c r="E54" s="30" t="s">
        <v>167</v>
      </c>
      <c r="F54" s="53" t="s">
        <v>15</v>
      </c>
      <c r="G54" s="32">
        <v>43984</v>
      </c>
      <c r="H54" s="33">
        <v>0.56030242017215548</v>
      </c>
      <c r="I54" s="30" t="s">
        <v>96</v>
      </c>
      <c r="J54" s="34">
        <v>46890</v>
      </c>
      <c r="K54" s="35" t="s">
        <v>17</v>
      </c>
      <c r="L54" s="36">
        <v>8440.1999999999989</v>
      </c>
      <c r="M54" s="30" t="s">
        <v>168</v>
      </c>
      <c r="N54" s="30" t="s">
        <v>37</v>
      </c>
      <c r="O54" s="30" t="s">
        <v>1542</v>
      </c>
      <c r="P54" s="30" t="s">
        <v>1542</v>
      </c>
      <c r="Q54" s="30" t="str">
        <f t="shared" si="0"/>
        <v>SE</v>
      </c>
      <c r="R54" s="30" t="str">
        <f t="shared" si="1"/>
        <v>AM</v>
      </c>
      <c r="S54" s="30" t="str">
        <f>VLOOKUP(M54,'Data - Employee Rights Master'!$C$3:$D$32,2,0)</f>
        <v>SE</v>
      </c>
      <c r="T54" s="30" t="str">
        <f>VLOOKUP(N54,'Data - Employee Rights Master'!$C$3:$D$32,2,0)</f>
        <v>AM</v>
      </c>
      <c r="U54" s="41" t="str">
        <f t="shared" si="2"/>
        <v>PASS</v>
      </c>
      <c r="V54" s="41" t="str">
        <f t="shared" si="3"/>
        <v>NA</v>
      </c>
      <c r="W54" s="30" t="str">
        <f t="shared" si="4"/>
        <v>2021</v>
      </c>
      <c r="X54" s="30" t="str">
        <f>VLOOKUP(MONTH(G54),Key!$F$3:$G$14,2,0)</f>
        <v>Jun</v>
      </c>
      <c r="Y54" s="30" t="str">
        <f>IFERROR(IF(MATCH(F54,'Test 6'!C$5:C$9,0)&gt;0,"RP"),"NON-RP")</f>
        <v>NON-RP</v>
      </c>
    </row>
    <row r="55" spans="2:25" x14ac:dyDescent="0.5">
      <c r="B55" s="30">
        <v>51</v>
      </c>
      <c r="C55" s="30" t="s">
        <v>169</v>
      </c>
      <c r="D55" s="31">
        <v>202151</v>
      </c>
      <c r="E55" s="30" t="s">
        <v>170</v>
      </c>
      <c r="F55" s="53" t="s">
        <v>125</v>
      </c>
      <c r="G55" s="32">
        <v>43987</v>
      </c>
      <c r="H55" s="33">
        <v>0.71294400278497738</v>
      </c>
      <c r="I55" s="30" t="s">
        <v>96</v>
      </c>
      <c r="J55" s="34">
        <v>484460</v>
      </c>
      <c r="K55" s="35" t="s">
        <v>17</v>
      </c>
      <c r="L55" s="36">
        <v>87202.8</v>
      </c>
      <c r="M55" s="30" t="s">
        <v>32</v>
      </c>
      <c r="N55" s="30" t="s">
        <v>47</v>
      </c>
      <c r="O55" s="30" t="s">
        <v>1542</v>
      </c>
      <c r="P55" s="30" t="s">
        <v>1542</v>
      </c>
      <c r="Q55" s="30" t="str">
        <f t="shared" si="0"/>
        <v>AM</v>
      </c>
      <c r="R55" s="30" t="str">
        <f t="shared" si="1"/>
        <v>DM</v>
      </c>
      <c r="S55" s="30" t="str">
        <f>VLOOKUP(M55,'Data - Employee Rights Master'!$C$3:$D$32,2,0)</f>
        <v>AM</v>
      </c>
      <c r="T55" s="30" t="str">
        <f>VLOOKUP(N55,'Data - Employee Rights Master'!$C$3:$D$32,2,0)</f>
        <v>DM</v>
      </c>
      <c r="U55" s="41" t="str">
        <f t="shared" si="2"/>
        <v>PASS</v>
      </c>
      <c r="V55" s="41" t="str">
        <f t="shared" si="3"/>
        <v>NA</v>
      </c>
      <c r="W55" s="30" t="str">
        <f t="shared" si="4"/>
        <v>2021</v>
      </c>
      <c r="X55" s="30" t="str">
        <f>VLOOKUP(MONTH(G55),Key!$F$3:$G$14,2,0)</f>
        <v>Jun</v>
      </c>
      <c r="Y55" s="30" t="str">
        <f>IFERROR(IF(MATCH(F55,'Test 6'!C$5:C$9,0)&gt;0,"RP"),"NON-RP")</f>
        <v>NON-RP</v>
      </c>
    </row>
    <row r="56" spans="2:25" x14ac:dyDescent="0.5">
      <c r="B56" s="30">
        <v>52</v>
      </c>
      <c r="C56" s="30" t="s">
        <v>171</v>
      </c>
      <c r="D56" s="31">
        <v>202152</v>
      </c>
      <c r="E56" s="30" t="s">
        <v>172</v>
      </c>
      <c r="F56" s="53" t="s">
        <v>114</v>
      </c>
      <c r="G56" s="32">
        <v>43987</v>
      </c>
      <c r="H56" s="33">
        <v>0.69455270327818075</v>
      </c>
      <c r="I56" s="30" t="s">
        <v>163</v>
      </c>
      <c r="J56" s="34">
        <v>290140</v>
      </c>
      <c r="K56" s="35" t="s">
        <v>17</v>
      </c>
      <c r="L56" s="36">
        <v>52225.2</v>
      </c>
      <c r="M56" s="30" t="s">
        <v>46</v>
      </c>
      <c r="N56" s="30" t="s">
        <v>19</v>
      </c>
      <c r="O56" s="30" t="s">
        <v>1542</v>
      </c>
      <c r="P56" s="30" t="s">
        <v>1542</v>
      </c>
      <c r="Q56" s="30" t="str">
        <f t="shared" si="0"/>
        <v>AM</v>
      </c>
      <c r="R56" s="30" t="str">
        <f t="shared" si="1"/>
        <v>DM</v>
      </c>
      <c r="S56" s="30" t="str">
        <f>VLOOKUP(M56,'Data - Employee Rights Master'!$C$3:$D$32,2,0)</f>
        <v>AM</v>
      </c>
      <c r="T56" s="30" t="str">
        <f>VLOOKUP(N56,'Data - Employee Rights Master'!$C$3:$D$32,2,0)</f>
        <v>DM</v>
      </c>
      <c r="U56" s="41" t="str">
        <f t="shared" si="2"/>
        <v>PASS</v>
      </c>
      <c r="V56" s="41" t="str">
        <f t="shared" si="3"/>
        <v>NA</v>
      </c>
      <c r="W56" s="30" t="str">
        <f t="shared" si="4"/>
        <v>2021</v>
      </c>
      <c r="X56" s="30" t="str">
        <f>VLOOKUP(MONTH(G56),Key!$F$3:$G$14,2,0)</f>
        <v>Jun</v>
      </c>
      <c r="Y56" s="30" t="str">
        <f>IFERROR(IF(MATCH(F56,'Test 6'!C$5:C$9,0)&gt;0,"RP"),"NON-RP")</f>
        <v>NON-RP</v>
      </c>
    </row>
    <row r="57" spans="2:25" x14ac:dyDescent="0.5">
      <c r="B57" s="30">
        <v>53</v>
      </c>
      <c r="C57" s="30" t="s">
        <v>173</v>
      </c>
      <c r="D57" s="31">
        <v>202153</v>
      </c>
      <c r="E57" s="30" t="s">
        <v>174</v>
      </c>
      <c r="F57" s="53" t="s">
        <v>175</v>
      </c>
      <c r="G57" s="32">
        <v>43988</v>
      </c>
      <c r="H57" s="33">
        <v>0.71132865272416335</v>
      </c>
      <c r="I57" s="30" t="s">
        <v>163</v>
      </c>
      <c r="J57" s="34">
        <v>482140</v>
      </c>
      <c r="K57" s="35" t="s">
        <v>17</v>
      </c>
      <c r="L57" s="36">
        <v>86785.2</v>
      </c>
      <c r="M57" s="30" t="s">
        <v>61</v>
      </c>
      <c r="N57" s="30" t="s">
        <v>68</v>
      </c>
      <c r="O57" s="30" t="s">
        <v>1542</v>
      </c>
      <c r="P57" s="30" t="s">
        <v>1542</v>
      </c>
      <c r="Q57" s="30" t="str">
        <f t="shared" si="0"/>
        <v>AM</v>
      </c>
      <c r="R57" s="30" t="str">
        <f t="shared" si="1"/>
        <v>DM</v>
      </c>
      <c r="S57" s="30" t="str">
        <f>VLOOKUP(M57,'Data - Employee Rights Master'!$C$3:$D$32,2,0)</f>
        <v>AM</v>
      </c>
      <c r="T57" s="30" t="str">
        <f>VLOOKUP(N57,'Data - Employee Rights Master'!$C$3:$D$32,2,0)</f>
        <v>DM</v>
      </c>
      <c r="U57" s="41" t="str">
        <f t="shared" si="2"/>
        <v>PASS</v>
      </c>
      <c r="V57" s="41" t="str">
        <f t="shared" si="3"/>
        <v>NA</v>
      </c>
      <c r="W57" s="30" t="str">
        <f t="shared" si="4"/>
        <v>2021</v>
      </c>
      <c r="X57" s="30" t="str">
        <f>VLOOKUP(MONTH(G57),Key!$F$3:$G$14,2,0)</f>
        <v>Jun</v>
      </c>
      <c r="Y57" s="30" t="str">
        <f>IFERROR(IF(MATCH(F57,'Test 6'!C$5:C$9,0)&gt;0,"RP"),"NON-RP")</f>
        <v>NON-RP</v>
      </c>
    </row>
    <row r="58" spans="2:25" x14ac:dyDescent="0.5">
      <c r="B58" s="30">
        <v>54</v>
      </c>
      <c r="C58" s="30" t="s">
        <v>176</v>
      </c>
      <c r="D58" s="31">
        <v>202154</v>
      </c>
      <c r="E58" s="30" t="s">
        <v>177</v>
      </c>
      <c r="F58" s="53" t="s">
        <v>60</v>
      </c>
      <c r="G58" s="32">
        <v>43988</v>
      </c>
      <c r="H58" s="33">
        <v>0.53926923450247766</v>
      </c>
      <c r="I58" s="30" t="s">
        <v>163</v>
      </c>
      <c r="J58" s="34">
        <v>244360</v>
      </c>
      <c r="K58" s="35" t="s">
        <v>17</v>
      </c>
      <c r="L58" s="36">
        <v>43984.799999999996</v>
      </c>
      <c r="M58" s="30" t="s">
        <v>46</v>
      </c>
      <c r="N58" s="30" t="s">
        <v>24</v>
      </c>
      <c r="O58" s="30" t="s">
        <v>1542</v>
      </c>
      <c r="P58" s="30" t="s">
        <v>1542</v>
      </c>
      <c r="Q58" s="30" t="str">
        <f t="shared" si="0"/>
        <v>AM</v>
      </c>
      <c r="R58" s="30" t="str">
        <f t="shared" si="1"/>
        <v>DM</v>
      </c>
      <c r="S58" s="30" t="str">
        <f>VLOOKUP(M58,'Data - Employee Rights Master'!$C$3:$D$32,2,0)</f>
        <v>AM</v>
      </c>
      <c r="T58" s="30" t="str">
        <f>VLOOKUP(N58,'Data - Employee Rights Master'!$C$3:$D$32,2,0)</f>
        <v>DM</v>
      </c>
      <c r="U58" s="41" t="str">
        <f t="shared" si="2"/>
        <v>PASS</v>
      </c>
      <c r="V58" s="41" t="str">
        <f t="shared" si="3"/>
        <v>NA</v>
      </c>
      <c r="W58" s="30" t="str">
        <f t="shared" si="4"/>
        <v>2021</v>
      </c>
      <c r="X58" s="30" t="str">
        <f>VLOOKUP(MONTH(G58),Key!$F$3:$G$14,2,0)</f>
        <v>Jun</v>
      </c>
      <c r="Y58" s="30" t="str">
        <f>IFERROR(IF(MATCH(F58,'Test 6'!C$5:C$9,0)&gt;0,"RP"),"NON-RP")</f>
        <v>NON-RP</v>
      </c>
    </row>
    <row r="59" spans="2:25" x14ac:dyDescent="0.5">
      <c r="B59" s="30">
        <v>55</v>
      </c>
      <c r="C59" s="30" t="s">
        <v>178</v>
      </c>
      <c r="D59" s="31">
        <v>202155</v>
      </c>
      <c r="E59" s="30" t="s">
        <v>179</v>
      </c>
      <c r="F59" s="53" t="s">
        <v>119</v>
      </c>
      <c r="G59" s="32">
        <v>43990</v>
      </c>
      <c r="H59" s="33">
        <v>0.52508955095977738</v>
      </c>
      <c r="I59" s="30" t="s">
        <v>163</v>
      </c>
      <c r="J59" s="34">
        <v>261450</v>
      </c>
      <c r="K59" s="35" t="s">
        <v>17</v>
      </c>
      <c r="L59" s="36">
        <v>47061</v>
      </c>
      <c r="M59" s="30" t="s">
        <v>18</v>
      </c>
      <c r="N59" s="30" t="s">
        <v>68</v>
      </c>
      <c r="O59" s="30" t="s">
        <v>1542</v>
      </c>
      <c r="P59" s="30" t="s">
        <v>1542</v>
      </c>
      <c r="Q59" s="30" t="str">
        <f t="shared" si="0"/>
        <v>AM</v>
      </c>
      <c r="R59" s="30" t="str">
        <f t="shared" si="1"/>
        <v>DM</v>
      </c>
      <c r="S59" s="30" t="str">
        <f>VLOOKUP(M59,'Data - Employee Rights Master'!$C$3:$D$32,2,0)</f>
        <v>AM</v>
      </c>
      <c r="T59" s="30" t="str">
        <f>VLOOKUP(N59,'Data - Employee Rights Master'!$C$3:$D$32,2,0)</f>
        <v>DM</v>
      </c>
      <c r="U59" s="41" t="str">
        <f t="shared" si="2"/>
        <v>PASS</v>
      </c>
      <c r="V59" s="41" t="str">
        <f t="shared" si="3"/>
        <v>NA</v>
      </c>
      <c r="W59" s="30" t="str">
        <f t="shared" si="4"/>
        <v>2021</v>
      </c>
      <c r="X59" s="30" t="str">
        <f>VLOOKUP(MONTH(G59),Key!$F$3:$G$14,2,0)</f>
        <v>Jun</v>
      </c>
      <c r="Y59" s="30" t="str">
        <f>IFERROR(IF(MATCH(F59,'Test 6'!C$5:C$9,0)&gt;0,"RP"),"NON-RP")</f>
        <v>NON-RP</v>
      </c>
    </row>
    <row r="60" spans="2:25" x14ac:dyDescent="0.5">
      <c r="B60" s="30">
        <v>56</v>
      </c>
      <c r="C60" s="30" t="s">
        <v>180</v>
      </c>
      <c r="D60" s="31">
        <v>202156</v>
      </c>
      <c r="E60" s="30" t="s">
        <v>181</v>
      </c>
      <c r="F60" s="53" t="s">
        <v>72</v>
      </c>
      <c r="G60" s="32">
        <v>43991</v>
      </c>
      <c r="H60" s="33">
        <v>0.66265527913205957</v>
      </c>
      <c r="I60" s="30" t="s">
        <v>163</v>
      </c>
      <c r="J60" s="34">
        <v>10223320</v>
      </c>
      <c r="K60" s="35" t="s">
        <v>17</v>
      </c>
      <c r="L60" s="36">
        <v>1840197.5999999999</v>
      </c>
      <c r="M60" s="30" t="s">
        <v>41</v>
      </c>
      <c r="N60" s="30" t="s">
        <v>42</v>
      </c>
      <c r="O60" s="30" t="s">
        <v>1575</v>
      </c>
      <c r="P60" s="30" t="s">
        <v>1577</v>
      </c>
      <c r="Q60" s="30" t="str">
        <f t="shared" si="0"/>
        <v>CM</v>
      </c>
      <c r="R60" s="30" t="str">
        <f t="shared" si="1"/>
        <v>CFO</v>
      </c>
      <c r="S60" s="30" t="str">
        <f>VLOOKUP(M60,'Data - Employee Rights Master'!$C$3:$D$32,2,0)</f>
        <v>CM</v>
      </c>
      <c r="T60" s="30" t="str">
        <f>VLOOKUP(N60,'Data - Employee Rights Master'!$C$3:$D$32,2,0)</f>
        <v>CFO</v>
      </c>
      <c r="U60" s="41" t="str">
        <f t="shared" si="2"/>
        <v>PASS</v>
      </c>
      <c r="V60" s="41" t="str">
        <f t="shared" si="3"/>
        <v>PASS</v>
      </c>
      <c r="W60" s="30" t="str">
        <f t="shared" si="4"/>
        <v>2021</v>
      </c>
      <c r="X60" s="30" t="str">
        <f>VLOOKUP(MONTH(G60),Key!$F$3:$G$14,2,0)</f>
        <v>Jun</v>
      </c>
      <c r="Y60" s="30" t="str">
        <f>IFERROR(IF(MATCH(F60,'Test 6'!C$5:C$9,0)&gt;0,"RP"),"NON-RP")</f>
        <v>NON-RP</v>
      </c>
    </row>
    <row r="61" spans="2:25" x14ac:dyDescent="0.5">
      <c r="B61" s="30">
        <v>57</v>
      </c>
      <c r="C61" s="30" t="s">
        <v>182</v>
      </c>
      <c r="D61" s="31">
        <v>202157</v>
      </c>
      <c r="E61" s="30" t="s">
        <v>183</v>
      </c>
      <c r="F61" s="53" t="s">
        <v>184</v>
      </c>
      <c r="G61" s="32">
        <v>43993</v>
      </c>
      <c r="H61" s="33">
        <v>0.47377225362908348</v>
      </c>
      <c r="I61" s="30" t="s">
        <v>163</v>
      </c>
      <c r="J61" s="34">
        <v>390450</v>
      </c>
      <c r="K61" s="35" t="s">
        <v>17</v>
      </c>
      <c r="L61" s="36">
        <v>70281</v>
      </c>
      <c r="M61" s="30" t="s">
        <v>23</v>
      </c>
      <c r="N61" s="30" t="s">
        <v>47</v>
      </c>
      <c r="O61" s="30" t="s">
        <v>1542</v>
      </c>
      <c r="P61" s="30" t="s">
        <v>1542</v>
      </c>
      <c r="Q61" s="30" t="str">
        <f t="shared" si="0"/>
        <v>AM</v>
      </c>
      <c r="R61" s="30" t="str">
        <f t="shared" si="1"/>
        <v>DM</v>
      </c>
      <c r="S61" s="30" t="str">
        <f>VLOOKUP(M61,'Data - Employee Rights Master'!$C$3:$D$32,2,0)</f>
        <v>AM</v>
      </c>
      <c r="T61" s="30" t="str">
        <f>VLOOKUP(N61,'Data - Employee Rights Master'!$C$3:$D$32,2,0)</f>
        <v>DM</v>
      </c>
      <c r="U61" s="41" t="str">
        <f t="shared" si="2"/>
        <v>PASS</v>
      </c>
      <c r="V61" s="41" t="str">
        <f t="shared" si="3"/>
        <v>NA</v>
      </c>
      <c r="W61" s="30" t="str">
        <f t="shared" si="4"/>
        <v>2021</v>
      </c>
      <c r="X61" s="30" t="str">
        <f>VLOOKUP(MONTH(G61),Key!$F$3:$G$14,2,0)</f>
        <v>Jun</v>
      </c>
      <c r="Y61" s="30" t="str">
        <f>IFERROR(IF(MATCH(F61,'Test 6'!C$5:C$9,0)&gt;0,"RP"),"NON-RP")</f>
        <v>NON-RP</v>
      </c>
    </row>
    <row r="62" spans="2:25" x14ac:dyDescent="0.5">
      <c r="B62" s="30">
        <v>58</v>
      </c>
      <c r="C62" s="30" t="s">
        <v>185</v>
      </c>
      <c r="D62" s="31">
        <v>202158</v>
      </c>
      <c r="E62" s="30" t="s">
        <v>186</v>
      </c>
      <c r="F62" s="53" t="s">
        <v>187</v>
      </c>
      <c r="G62" s="32">
        <v>43994</v>
      </c>
      <c r="H62" s="33">
        <v>0.5416860331479415</v>
      </c>
      <c r="I62" s="30" t="s">
        <v>163</v>
      </c>
      <c r="J62" s="34">
        <v>202860</v>
      </c>
      <c r="K62" s="35" t="s">
        <v>17</v>
      </c>
      <c r="L62" s="36">
        <v>36514.799999999996</v>
      </c>
      <c r="M62" s="30" t="s">
        <v>28</v>
      </c>
      <c r="N62" s="30" t="s">
        <v>47</v>
      </c>
      <c r="O62" s="30" t="s">
        <v>1542</v>
      </c>
      <c r="P62" s="30" t="s">
        <v>1542</v>
      </c>
      <c r="Q62" s="30" t="str">
        <f t="shared" si="0"/>
        <v>AM</v>
      </c>
      <c r="R62" s="30" t="str">
        <f t="shared" si="1"/>
        <v>DM</v>
      </c>
      <c r="S62" s="30" t="str">
        <f>VLOOKUP(M62,'Data - Employee Rights Master'!$C$3:$D$32,2,0)</f>
        <v>AM</v>
      </c>
      <c r="T62" s="30" t="str">
        <f>VLOOKUP(N62,'Data - Employee Rights Master'!$C$3:$D$32,2,0)</f>
        <v>DM</v>
      </c>
      <c r="U62" s="41" t="str">
        <f t="shared" si="2"/>
        <v>PASS</v>
      </c>
      <c r="V62" s="41" t="str">
        <f t="shared" si="3"/>
        <v>NA</v>
      </c>
      <c r="W62" s="30" t="str">
        <f t="shared" si="4"/>
        <v>2021</v>
      </c>
      <c r="X62" s="30" t="str">
        <f>VLOOKUP(MONTH(G62),Key!$F$3:$G$14,2,0)</f>
        <v>Jun</v>
      </c>
      <c r="Y62" s="30" t="str">
        <f>IFERROR(IF(MATCH(F62,'Test 6'!C$5:C$9,0)&gt;0,"RP"),"NON-RP")</f>
        <v>NON-RP</v>
      </c>
    </row>
    <row r="63" spans="2:25" x14ac:dyDescent="0.5">
      <c r="B63" s="30">
        <v>59</v>
      </c>
      <c r="C63" s="30" t="s">
        <v>188</v>
      </c>
      <c r="D63" s="31">
        <v>202159</v>
      </c>
      <c r="E63" s="30" t="s">
        <v>189</v>
      </c>
      <c r="F63" s="53" t="s">
        <v>190</v>
      </c>
      <c r="G63" s="32">
        <v>43997</v>
      </c>
      <c r="H63" s="33">
        <v>0.5596931866992384</v>
      </c>
      <c r="I63" s="30" t="s">
        <v>96</v>
      </c>
      <c r="J63" s="34">
        <v>204100</v>
      </c>
      <c r="K63" s="35" t="s">
        <v>17</v>
      </c>
      <c r="L63" s="36">
        <v>36738</v>
      </c>
      <c r="M63" s="30" t="s">
        <v>46</v>
      </c>
      <c r="N63" s="30" t="s">
        <v>68</v>
      </c>
      <c r="O63" s="30" t="s">
        <v>1542</v>
      </c>
      <c r="P63" s="30" t="s">
        <v>1542</v>
      </c>
      <c r="Q63" s="30" t="str">
        <f t="shared" si="0"/>
        <v>AM</v>
      </c>
      <c r="R63" s="30" t="str">
        <f t="shared" si="1"/>
        <v>DM</v>
      </c>
      <c r="S63" s="30" t="str">
        <f>VLOOKUP(M63,'Data - Employee Rights Master'!$C$3:$D$32,2,0)</f>
        <v>AM</v>
      </c>
      <c r="T63" s="30" t="str">
        <f>VLOOKUP(N63,'Data - Employee Rights Master'!$C$3:$D$32,2,0)</f>
        <v>DM</v>
      </c>
      <c r="U63" s="41" t="str">
        <f t="shared" si="2"/>
        <v>PASS</v>
      </c>
      <c r="V63" s="41" t="str">
        <f t="shared" si="3"/>
        <v>NA</v>
      </c>
      <c r="W63" s="30" t="str">
        <f t="shared" si="4"/>
        <v>2021</v>
      </c>
      <c r="X63" s="30" t="str">
        <f>VLOOKUP(MONTH(G63),Key!$F$3:$G$14,2,0)</f>
        <v>Jun</v>
      </c>
      <c r="Y63" s="30" t="str">
        <f>IFERROR(IF(MATCH(F63,'Test 6'!C$5:C$9,0)&gt;0,"RP"),"NON-RP")</f>
        <v>NON-RP</v>
      </c>
    </row>
    <row r="64" spans="2:25" x14ac:dyDescent="0.5">
      <c r="B64" s="30">
        <v>60</v>
      </c>
      <c r="C64" s="30" t="s">
        <v>191</v>
      </c>
      <c r="D64" s="31">
        <v>202160</v>
      </c>
      <c r="E64" s="30" t="s">
        <v>192</v>
      </c>
      <c r="F64" s="53" t="s">
        <v>153</v>
      </c>
      <c r="G64" s="32">
        <v>44000</v>
      </c>
      <c r="H64" s="33">
        <v>0.64199661965893995</v>
      </c>
      <c r="I64" s="30" t="s">
        <v>96</v>
      </c>
      <c r="J64" s="34">
        <v>265580</v>
      </c>
      <c r="K64" s="35" t="s">
        <v>17</v>
      </c>
      <c r="L64" s="36">
        <v>47804.4</v>
      </c>
      <c r="M64" s="30" t="s">
        <v>28</v>
      </c>
      <c r="N64" s="30" t="s">
        <v>47</v>
      </c>
      <c r="O64" s="30" t="s">
        <v>1542</v>
      </c>
      <c r="P64" s="30" t="s">
        <v>1542</v>
      </c>
      <c r="Q64" s="30" t="str">
        <f t="shared" si="0"/>
        <v>AM</v>
      </c>
      <c r="R64" s="30" t="str">
        <f t="shared" si="1"/>
        <v>DM</v>
      </c>
      <c r="S64" s="30" t="str">
        <f>VLOOKUP(M64,'Data - Employee Rights Master'!$C$3:$D$32,2,0)</f>
        <v>AM</v>
      </c>
      <c r="T64" s="30" t="str">
        <f>VLOOKUP(N64,'Data - Employee Rights Master'!$C$3:$D$32,2,0)</f>
        <v>DM</v>
      </c>
      <c r="U64" s="41" t="str">
        <f t="shared" si="2"/>
        <v>PASS</v>
      </c>
      <c r="V64" s="41" t="str">
        <f t="shared" si="3"/>
        <v>NA</v>
      </c>
      <c r="W64" s="30" t="str">
        <f t="shared" si="4"/>
        <v>2021</v>
      </c>
      <c r="X64" s="30" t="str">
        <f>VLOOKUP(MONTH(G64),Key!$F$3:$G$14,2,0)</f>
        <v>Jun</v>
      </c>
      <c r="Y64" s="30" t="str">
        <f>IFERROR(IF(MATCH(F64,'Test 6'!C$5:C$9,0)&gt;0,"RP"),"NON-RP")</f>
        <v>NON-RP</v>
      </c>
    </row>
    <row r="65" spans="2:25" x14ac:dyDescent="0.5">
      <c r="B65" s="30">
        <v>61</v>
      </c>
      <c r="C65" s="30" t="s">
        <v>193</v>
      </c>
      <c r="D65" s="31">
        <v>202161</v>
      </c>
      <c r="E65" s="30" t="s">
        <v>194</v>
      </c>
      <c r="F65" s="53" t="s">
        <v>195</v>
      </c>
      <c r="G65" s="32">
        <v>44001</v>
      </c>
      <c r="H65" s="33">
        <v>0.61265938833674061</v>
      </c>
      <c r="I65" s="30" t="s">
        <v>96</v>
      </c>
      <c r="J65" s="34">
        <v>285470</v>
      </c>
      <c r="K65" s="35" t="s">
        <v>17</v>
      </c>
      <c r="L65" s="36">
        <v>51384.6</v>
      </c>
      <c r="M65" s="30" t="s">
        <v>28</v>
      </c>
      <c r="N65" s="30" t="s">
        <v>68</v>
      </c>
      <c r="O65" s="30" t="s">
        <v>1542</v>
      </c>
      <c r="P65" s="30" t="s">
        <v>1542</v>
      </c>
      <c r="Q65" s="30" t="str">
        <f t="shared" si="0"/>
        <v>AM</v>
      </c>
      <c r="R65" s="30" t="str">
        <f t="shared" si="1"/>
        <v>DM</v>
      </c>
      <c r="S65" s="30" t="str">
        <f>VLOOKUP(M65,'Data - Employee Rights Master'!$C$3:$D$32,2,0)</f>
        <v>AM</v>
      </c>
      <c r="T65" s="30" t="str">
        <f>VLOOKUP(N65,'Data - Employee Rights Master'!$C$3:$D$32,2,0)</f>
        <v>DM</v>
      </c>
      <c r="U65" s="41" t="str">
        <f t="shared" si="2"/>
        <v>PASS</v>
      </c>
      <c r="V65" s="41" t="str">
        <f t="shared" si="3"/>
        <v>NA</v>
      </c>
      <c r="W65" s="30" t="str">
        <f t="shared" si="4"/>
        <v>2021</v>
      </c>
      <c r="X65" s="30" t="str">
        <f>VLOOKUP(MONTH(G65),Key!$F$3:$G$14,2,0)</f>
        <v>Jun</v>
      </c>
      <c r="Y65" s="30" t="str">
        <f>IFERROR(IF(MATCH(F65,'Test 6'!C$5:C$9,0)&gt;0,"RP"),"NON-RP")</f>
        <v>NON-RP</v>
      </c>
    </row>
    <row r="66" spans="2:25" x14ac:dyDescent="0.5">
      <c r="B66" s="30">
        <v>62</v>
      </c>
      <c r="C66" s="30" t="s">
        <v>196</v>
      </c>
      <c r="D66" s="31">
        <v>202162</v>
      </c>
      <c r="E66" s="30" t="s">
        <v>197</v>
      </c>
      <c r="F66" s="53" t="s">
        <v>92</v>
      </c>
      <c r="G66" s="32">
        <v>44001</v>
      </c>
      <c r="H66" s="33">
        <v>0.66693689795095068</v>
      </c>
      <c r="I66" s="30" t="s">
        <v>163</v>
      </c>
      <c r="J66" s="34">
        <v>205720</v>
      </c>
      <c r="K66" s="35" t="s">
        <v>17</v>
      </c>
      <c r="L66" s="36">
        <v>37029.599999999999</v>
      </c>
      <c r="M66" s="30" t="s">
        <v>61</v>
      </c>
      <c r="N66" s="30" t="s">
        <v>24</v>
      </c>
      <c r="O66" s="30" t="s">
        <v>1542</v>
      </c>
      <c r="P66" s="30" t="s">
        <v>1542</v>
      </c>
      <c r="Q66" s="30" t="str">
        <f t="shared" si="0"/>
        <v>AM</v>
      </c>
      <c r="R66" s="30" t="str">
        <f t="shared" si="1"/>
        <v>DM</v>
      </c>
      <c r="S66" s="30" t="str">
        <f>VLOOKUP(M66,'Data - Employee Rights Master'!$C$3:$D$32,2,0)</f>
        <v>AM</v>
      </c>
      <c r="T66" s="30" t="str">
        <f>VLOOKUP(N66,'Data - Employee Rights Master'!$C$3:$D$32,2,0)</f>
        <v>DM</v>
      </c>
      <c r="U66" s="41" t="str">
        <f t="shared" si="2"/>
        <v>PASS</v>
      </c>
      <c r="V66" s="41" t="str">
        <f t="shared" si="3"/>
        <v>NA</v>
      </c>
      <c r="W66" s="30" t="str">
        <f t="shared" si="4"/>
        <v>2021</v>
      </c>
      <c r="X66" s="30" t="str">
        <f>VLOOKUP(MONTH(G66),Key!$F$3:$G$14,2,0)</f>
        <v>Jun</v>
      </c>
      <c r="Y66" s="30" t="str">
        <f>IFERROR(IF(MATCH(F66,'Test 6'!C$5:C$9,0)&gt;0,"RP"),"NON-RP")</f>
        <v>NON-RP</v>
      </c>
    </row>
    <row r="67" spans="2:25" x14ac:dyDescent="0.5">
      <c r="B67" s="30">
        <v>63</v>
      </c>
      <c r="C67" s="30" t="s">
        <v>198</v>
      </c>
      <c r="D67" s="31">
        <v>202163</v>
      </c>
      <c r="E67" s="30" t="s">
        <v>199</v>
      </c>
      <c r="F67" s="53" t="s">
        <v>27</v>
      </c>
      <c r="G67" s="32">
        <v>44005</v>
      </c>
      <c r="H67" s="33">
        <v>0.70631954287162413</v>
      </c>
      <c r="I67" s="30" t="s">
        <v>163</v>
      </c>
      <c r="J67" s="34">
        <v>31860</v>
      </c>
      <c r="K67" s="35" t="s">
        <v>17</v>
      </c>
      <c r="L67" s="36">
        <v>5734.8</v>
      </c>
      <c r="M67" s="30" t="s">
        <v>200</v>
      </c>
      <c r="N67" s="30" t="s">
        <v>18</v>
      </c>
      <c r="O67" s="30" t="s">
        <v>1542</v>
      </c>
      <c r="P67" s="30" t="s">
        <v>1542</v>
      </c>
      <c r="Q67" s="30" t="str">
        <f t="shared" si="0"/>
        <v>SE</v>
      </c>
      <c r="R67" s="30" t="str">
        <f t="shared" si="1"/>
        <v>AM</v>
      </c>
      <c r="S67" s="30" t="str">
        <f>VLOOKUP(M67,'Data - Employee Rights Master'!$C$3:$D$32,2,0)</f>
        <v>SE</v>
      </c>
      <c r="T67" s="30" t="str">
        <f>VLOOKUP(N67,'Data - Employee Rights Master'!$C$3:$D$32,2,0)</f>
        <v>AM</v>
      </c>
      <c r="U67" s="41" t="str">
        <f t="shared" si="2"/>
        <v>PASS</v>
      </c>
      <c r="V67" s="41" t="str">
        <f t="shared" si="3"/>
        <v>NA</v>
      </c>
      <c r="W67" s="30" t="str">
        <f t="shared" si="4"/>
        <v>2021</v>
      </c>
      <c r="X67" s="30" t="str">
        <f>VLOOKUP(MONTH(G67),Key!$F$3:$G$14,2,0)</f>
        <v>Jun</v>
      </c>
      <c r="Y67" s="30" t="str">
        <f>IFERROR(IF(MATCH(F67,'Test 6'!C$5:C$9,0)&gt;0,"RP"),"NON-RP")</f>
        <v>NON-RP</v>
      </c>
    </row>
    <row r="68" spans="2:25" x14ac:dyDescent="0.5">
      <c r="B68" s="30">
        <v>64</v>
      </c>
      <c r="C68" s="30" t="s">
        <v>201</v>
      </c>
      <c r="D68" s="31">
        <v>202164</v>
      </c>
      <c r="E68" s="30" t="s">
        <v>202</v>
      </c>
      <c r="F68" s="53" t="s">
        <v>203</v>
      </c>
      <c r="G68" s="32">
        <v>44005</v>
      </c>
      <c r="H68" s="33">
        <v>0.73688665675205534</v>
      </c>
      <c r="I68" s="30" t="s">
        <v>163</v>
      </c>
      <c r="J68" s="34">
        <v>258480</v>
      </c>
      <c r="K68" s="35" t="s">
        <v>17</v>
      </c>
      <c r="L68" s="36">
        <v>46526.400000000001</v>
      </c>
      <c r="M68" s="30" t="s">
        <v>28</v>
      </c>
      <c r="N68" s="30" t="s">
        <v>19</v>
      </c>
      <c r="O68" s="30" t="s">
        <v>1542</v>
      </c>
      <c r="P68" s="30" t="s">
        <v>1542</v>
      </c>
      <c r="Q68" s="30" t="str">
        <f t="shared" si="0"/>
        <v>AM</v>
      </c>
      <c r="R68" s="30" t="str">
        <f t="shared" si="1"/>
        <v>DM</v>
      </c>
      <c r="S68" s="30" t="str">
        <f>VLOOKUP(M68,'Data - Employee Rights Master'!$C$3:$D$32,2,0)</f>
        <v>AM</v>
      </c>
      <c r="T68" s="30" t="str">
        <f>VLOOKUP(N68,'Data - Employee Rights Master'!$C$3:$D$32,2,0)</f>
        <v>DM</v>
      </c>
      <c r="U68" s="41" t="str">
        <f t="shared" si="2"/>
        <v>PASS</v>
      </c>
      <c r="V68" s="41" t="str">
        <f t="shared" si="3"/>
        <v>NA</v>
      </c>
      <c r="W68" s="30" t="str">
        <f t="shared" si="4"/>
        <v>2021</v>
      </c>
      <c r="X68" s="30" t="str">
        <f>VLOOKUP(MONTH(G68),Key!$F$3:$G$14,2,0)</f>
        <v>Jun</v>
      </c>
      <c r="Y68" s="30" t="str">
        <f>IFERROR(IF(MATCH(F68,'Test 6'!C$5:C$9,0)&gt;0,"RP"),"NON-RP")</f>
        <v>NON-RP</v>
      </c>
    </row>
    <row r="69" spans="2:25" x14ac:dyDescent="0.5">
      <c r="B69" s="30">
        <v>65</v>
      </c>
      <c r="C69" s="30" t="s">
        <v>204</v>
      </c>
      <c r="D69" s="31">
        <v>202165</v>
      </c>
      <c r="E69" s="30" t="s">
        <v>205</v>
      </c>
      <c r="F69" s="53" t="s">
        <v>50</v>
      </c>
      <c r="G69" s="32">
        <v>44006</v>
      </c>
      <c r="H69" s="33">
        <v>0.50755774581997137</v>
      </c>
      <c r="I69" s="30" t="s">
        <v>163</v>
      </c>
      <c r="J69" s="34">
        <v>205220</v>
      </c>
      <c r="K69" s="35" t="s">
        <v>17</v>
      </c>
      <c r="L69" s="36">
        <v>36939.599999999999</v>
      </c>
      <c r="M69" s="30" t="s">
        <v>18</v>
      </c>
      <c r="N69" s="30" t="s">
        <v>47</v>
      </c>
      <c r="O69" s="30" t="s">
        <v>1542</v>
      </c>
      <c r="P69" s="30" t="s">
        <v>1542</v>
      </c>
      <c r="Q69" s="30" t="str">
        <f t="shared" si="0"/>
        <v>AM</v>
      </c>
      <c r="R69" s="30" t="str">
        <f t="shared" si="1"/>
        <v>DM</v>
      </c>
      <c r="S69" s="30" t="str">
        <f>VLOOKUP(M69,'Data - Employee Rights Master'!$C$3:$D$32,2,0)</f>
        <v>AM</v>
      </c>
      <c r="T69" s="30" t="str">
        <f>VLOOKUP(N69,'Data - Employee Rights Master'!$C$3:$D$32,2,0)</f>
        <v>DM</v>
      </c>
      <c r="U69" s="41" t="str">
        <f t="shared" si="2"/>
        <v>PASS</v>
      </c>
      <c r="V69" s="41" t="str">
        <f t="shared" si="3"/>
        <v>NA</v>
      </c>
      <c r="W69" s="30" t="str">
        <f t="shared" si="4"/>
        <v>2021</v>
      </c>
      <c r="X69" s="30" t="str">
        <f>VLOOKUP(MONTH(G69),Key!$F$3:$G$14,2,0)</f>
        <v>Jun</v>
      </c>
      <c r="Y69" s="30" t="str">
        <f>IFERROR(IF(MATCH(F69,'Test 6'!C$5:C$9,0)&gt;0,"RP"),"NON-RP")</f>
        <v>NON-RP</v>
      </c>
    </row>
    <row r="70" spans="2:25" x14ac:dyDescent="0.5">
      <c r="B70" s="30">
        <v>66</v>
      </c>
      <c r="C70" s="30" t="s">
        <v>206</v>
      </c>
      <c r="D70" s="31">
        <v>202166</v>
      </c>
      <c r="E70" s="30" t="s">
        <v>207</v>
      </c>
      <c r="F70" s="53" t="s">
        <v>50</v>
      </c>
      <c r="G70" s="32">
        <v>44009</v>
      </c>
      <c r="H70" s="33">
        <v>0.61449234763963401</v>
      </c>
      <c r="I70" s="30" t="s">
        <v>163</v>
      </c>
      <c r="J70" s="34">
        <v>434440</v>
      </c>
      <c r="K70" s="35" t="s">
        <v>17</v>
      </c>
      <c r="L70" s="36">
        <v>78199.199999999997</v>
      </c>
      <c r="M70" s="30" t="s">
        <v>37</v>
      </c>
      <c r="N70" s="30" t="s">
        <v>51</v>
      </c>
      <c r="O70" s="30" t="s">
        <v>1542</v>
      </c>
      <c r="P70" s="30" t="s">
        <v>1542</v>
      </c>
      <c r="Q70" s="30" t="str">
        <f t="shared" ref="Q70:Q133" si="5">IF(J70&lt;200000,"SE",IF(J70&lt;500000,"AM",IF(J70&lt;1000000,"DM",IF(J70&lt;4500000,"SM",IF(J70&gt;=4500000,"CM")))))</f>
        <v>AM</v>
      </c>
      <c r="R70" s="30" t="str">
        <f t="shared" ref="R70:R133" si="6">IF(Q70="SE","AM",IF(Q70="AM","DM",IF(Q70="DM","SM",IF(Q70="SM","CM",IF(Q70="CM","CFO")))))</f>
        <v>DM</v>
      </c>
      <c r="S70" s="30" t="str">
        <f>VLOOKUP(M70,'Data - Employee Rights Master'!$C$3:$D$32,2,0)</f>
        <v>AM</v>
      </c>
      <c r="T70" s="30" t="str">
        <f>VLOOKUP(N70,'Data - Employee Rights Master'!$C$3:$D$32,2,0)</f>
        <v>DM</v>
      </c>
      <c r="U70" s="41" t="str">
        <f t="shared" ref="U70:U133" si="7">IF(AND(S70=Q70,T70=R70),"PASS","DEVIATION")</f>
        <v>PASS</v>
      </c>
      <c r="V70" s="41" t="str">
        <f t="shared" ref="V70:V133" si="8">IF(J70&gt;5000000,IF(AND(O70="Approved",P70&lt;&gt;"NA"),"PASS","FLAG"),"NA")</f>
        <v>NA</v>
      </c>
      <c r="W70" s="30" t="str">
        <f t="shared" ref="W70:W133" si="9">LEFT(C70,4)</f>
        <v>2021</v>
      </c>
      <c r="X70" s="30" t="str">
        <f>VLOOKUP(MONTH(G70),Key!$F$3:$G$14,2,0)</f>
        <v>Jun</v>
      </c>
      <c r="Y70" s="30" t="str">
        <f>IFERROR(IF(MATCH(F70,'Test 6'!C$5:C$9,0)&gt;0,"RP"),"NON-RP")</f>
        <v>NON-RP</v>
      </c>
    </row>
    <row r="71" spans="2:25" x14ac:dyDescent="0.5">
      <c r="B71" s="30">
        <v>67</v>
      </c>
      <c r="C71" s="30" t="s">
        <v>208</v>
      </c>
      <c r="D71" s="31">
        <v>202167</v>
      </c>
      <c r="E71" s="30" t="s">
        <v>209</v>
      </c>
      <c r="F71" s="53" t="s">
        <v>195</v>
      </c>
      <c r="G71" s="32">
        <v>44011</v>
      </c>
      <c r="H71" s="33">
        <v>0.62220341064730822</v>
      </c>
      <c r="I71" s="30" t="s">
        <v>163</v>
      </c>
      <c r="J71" s="34">
        <v>433740</v>
      </c>
      <c r="K71" s="35" t="s">
        <v>17</v>
      </c>
      <c r="L71" s="36">
        <v>78073.2</v>
      </c>
      <c r="M71" s="30" t="s">
        <v>37</v>
      </c>
      <c r="N71" s="30" t="s">
        <v>19</v>
      </c>
      <c r="O71" s="30" t="s">
        <v>1542</v>
      </c>
      <c r="P71" s="30" t="s">
        <v>1542</v>
      </c>
      <c r="Q71" s="30" t="str">
        <f t="shared" si="5"/>
        <v>AM</v>
      </c>
      <c r="R71" s="30" t="str">
        <f t="shared" si="6"/>
        <v>DM</v>
      </c>
      <c r="S71" s="30" t="str">
        <f>VLOOKUP(M71,'Data - Employee Rights Master'!$C$3:$D$32,2,0)</f>
        <v>AM</v>
      </c>
      <c r="T71" s="30" t="str">
        <f>VLOOKUP(N71,'Data - Employee Rights Master'!$C$3:$D$32,2,0)</f>
        <v>DM</v>
      </c>
      <c r="U71" s="41" t="str">
        <f t="shared" si="7"/>
        <v>PASS</v>
      </c>
      <c r="V71" s="41" t="str">
        <f t="shared" si="8"/>
        <v>NA</v>
      </c>
      <c r="W71" s="30" t="str">
        <f t="shared" si="9"/>
        <v>2021</v>
      </c>
      <c r="X71" s="30" t="str">
        <f>VLOOKUP(MONTH(G71),Key!$F$3:$G$14,2,0)</f>
        <v>Jun</v>
      </c>
      <c r="Y71" s="30" t="str">
        <f>IFERROR(IF(MATCH(F71,'Test 6'!C$5:C$9,0)&gt;0,"RP"),"NON-RP")</f>
        <v>NON-RP</v>
      </c>
    </row>
    <row r="72" spans="2:25" x14ac:dyDescent="0.5">
      <c r="B72" s="30">
        <v>68</v>
      </c>
      <c r="C72" s="30" t="s">
        <v>210</v>
      </c>
      <c r="D72" s="31">
        <v>202168</v>
      </c>
      <c r="E72" s="30" t="s">
        <v>211</v>
      </c>
      <c r="F72" s="53" t="s">
        <v>203</v>
      </c>
      <c r="G72" s="32">
        <v>44012</v>
      </c>
      <c r="H72" s="33">
        <v>0.67186804909781528</v>
      </c>
      <c r="I72" s="30" t="s">
        <v>163</v>
      </c>
      <c r="J72" s="34">
        <v>484610</v>
      </c>
      <c r="K72" s="35" t="s">
        <v>17</v>
      </c>
      <c r="L72" s="36">
        <v>87229.8</v>
      </c>
      <c r="M72" s="30" t="s">
        <v>32</v>
      </c>
      <c r="N72" s="30" t="s">
        <v>19</v>
      </c>
      <c r="O72" s="30" t="s">
        <v>1542</v>
      </c>
      <c r="P72" s="30" t="s">
        <v>1542</v>
      </c>
      <c r="Q72" s="30" t="str">
        <f t="shared" si="5"/>
        <v>AM</v>
      </c>
      <c r="R72" s="30" t="str">
        <f t="shared" si="6"/>
        <v>DM</v>
      </c>
      <c r="S72" s="30" t="str">
        <f>VLOOKUP(M72,'Data - Employee Rights Master'!$C$3:$D$32,2,0)</f>
        <v>AM</v>
      </c>
      <c r="T72" s="30" t="str">
        <f>VLOOKUP(N72,'Data - Employee Rights Master'!$C$3:$D$32,2,0)</f>
        <v>DM</v>
      </c>
      <c r="U72" s="41" t="str">
        <f t="shared" si="7"/>
        <v>PASS</v>
      </c>
      <c r="V72" s="41" t="str">
        <f t="shared" si="8"/>
        <v>NA</v>
      </c>
      <c r="W72" s="30" t="str">
        <f t="shared" si="9"/>
        <v>2021</v>
      </c>
      <c r="X72" s="30" t="str">
        <f>VLOOKUP(MONTH(G72),Key!$F$3:$G$14,2,0)</f>
        <v>Jun</v>
      </c>
      <c r="Y72" s="30" t="str">
        <f>IFERROR(IF(MATCH(F72,'Test 6'!C$5:C$9,0)&gt;0,"RP"),"NON-RP")</f>
        <v>NON-RP</v>
      </c>
    </row>
    <row r="73" spans="2:25" x14ac:dyDescent="0.5">
      <c r="B73" s="30">
        <v>69</v>
      </c>
      <c r="C73" s="30" t="s">
        <v>212</v>
      </c>
      <c r="D73" s="31">
        <v>202169</v>
      </c>
      <c r="E73" s="30" t="s">
        <v>213</v>
      </c>
      <c r="F73" s="53" t="s">
        <v>103</v>
      </c>
      <c r="G73" s="32">
        <v>44012</v>
      </c>
      <c r="H73" s="33">
        <v>0.56537999115219506</v>
      </c>
      <c r="I73" s="30" t="s">
        <v>163</v>
      </c>
      <c r="J73" s="34">
        <v>309040</v>
      </c>
      <c r="K73" s="35" t="s">
        <v>17</v>
      </c>
      <c r="L73" s="36">
        <v>55627.199999999997</v>
      </c>
      <c r="M73" s="30" t="s">
        <v>18</v>
      </c>
      <c r="N73" s="30" t="s">
        <v>68</v>
      </c>
      <c r="O73" s="30" t="s">
        <v>1542</v>
      </c>
      <c r="P73" s="30" t="s">
        <v>1542</v>
      </c>
      <c r="Q73" s="30" t="str">
        <f t="shared" si="5"/>
        <v>AM</v>
      </c>
      <c r="R73" s="30" t="str">
        <f t="shared" si="6"/>
        <v>DM</v>
      </c>
      <c r="S73" s="30" t="str">
        <f>VLOOKUP(M73,'Data - Employee Rights Master'!$C$3:$D$32,2,0)</f>
        <v>AM</v>
      </c>
      <c r="T73" s="30" t="str">
        <f>VLOOKUP(N73,'Data - Employee Rights Master'!$C$3:$D$32,2,0)</f>
        <v>DM</v>
      </c>
      <c r="U73" s="41" t="str">
        <f t="shared" si="7"/>
        <v>PASS</v>
      </c>
      <c r="V73" s="41" t="str">
        <f t="shared" si="8"/>
        <v>NA</v>
      </c>
      <c r="W73" s="30" t="str">
        <f t="shared" si="9"/>
        <v>2021</v>
      </c>
      <c r="X73" s="30" t="str">
        <f>VLOOKUP(MONTH(G73),Key!$F$3:$G$14,2,0)</f>
        <v>Jun</v>
      </c>
      <c r="Y73" s="30" t="str">
        <f>IFERROR(IF(MATCH(F73,'Test 6'!C$5:C$9,0)&gt;0,"RP"),"NON-RP")</f>
        <v>NON-RP</v>
      </c>
    </row>
    <row r="74" spans="2:25" x14ac:dyDescent="0.5">
      <c r="B74" s="30">
        <v>70</v>
      </c>
      <c r="C74" s="30" t="s">
        <v>214</v>
      </c>
      <c r="D74" s="31">
        <v>202170</v>
      </c>
      <c r="E74" s="30" t="s">
        <v>215</v>
      </c>
      <c r="F74" s="53" t="s">
        <v>84</v>
      </c>
      <c r="G74" s="32">
        <v>44015</v>
      </c>
      <c r="H74" s="33">
        <v>0.71724035907092376</v>
      </c>
      <c r="I74" s="30" t="s">
        <v>216</v>
      </c>
      <c r="J74" s="34">
        <v>350710</v>
      </c>
      <c r="K74" s="35" t="s">
        <v>17</v>
      </c>
      <c r="L74" s="36">
        <v>63127.799999999996</v>
      </c>
      <c r="M74" s="30" t="s">
        <v>23</v>
      </c>
      <c r="N74" s="30" t="s">
        <v>24</v>
      </c>
      <c r="O74" s="30" t="s">
        <v>1542</v>
      </c>
      <c r="P74" s="30" t="s">
        <v>1542</v>
      </c>
      <c r="Q74" s="30" t="str">
        <f t="shared" si="5"/>
        <v>AM</v>
      </c>
      <c r="R74" s="30" t="str">
        <f t="shared" si="6"/>
        <v>DM</v>
      </c>
      <c r="S74" s="30" t="str">
        <f>VLOOKUP(M74,'Data - Employee Rights Master'!$C$3:$D$32,2,0)</f>
        <v>AM</v>
      </c>
      <c r="T74" s="30" t="str">
        <f>VLOOKUP(N74,'Data - Employee Rights Master'!$C$3:$D$32,2,0)</f>
        <v>DM</v>
      </c>
      <c r="U74" s="41" t="str">
        <f t="shared" si="7"/>
        <v>PASS</v>
      </c>
      <c r="V74" s="41" t="str">
        <f t="shared" si="8"/>
        <v>NA</v>
      </c>
      <c r="W74" s="30" t="str">
        <f t="shared" si="9"/>
        <v>2021</v>
      </c>
      <c r="X74" s="30" t="str">
        <f>VLOOKUP(MONTH(G74),Key!$F$3:$G$14,2,0)</f>
        <v>Jul</v>
      </c>
      <c r="Y74" s="30" t="str">
        <f>IFERROR(IF(MATCH(F74,'Test 6'!C$5:C$9,0)&gt;0,"RP"),"NON-RP")</f>
        <v>NON-RP</v>
      </c>
    </row>
    <row r="75" spans="2:25" x14ac:dyDescent="0.5">
      <c r="B75" s="30">
        <v>71</v>
      </c>
      <c r="C75" s="30" t="s">
        <v>217</v>
      </c>
      <c r="D75" s="31">
        <v>202171</v>
      </c>
      <c r="E75" s="30" t="s">
        <v>218</v>
      </c>
      <c r="F75" s="53" t="s">
        <v>72</v>
      </c>
      <c r="G75" s="32">
        <v>44018</v>
      </c>
      <c r="H75" s="33">
        <v>0.71159449541092279</v>
      </c>
      <c r="I75" s="30" t="s">
        <v>216</v>
      </c>
      <c r="J75" s="34">
        <v>317450</v>
      </c>
      <c r="K75" s="35" t="s">
        <v>17</v>
      </c>
      <c r="L75" s="36">
        <v>57141</v>
      </c>
      <c r="M75" s="30" t="s">
        <v>32</v>
      </c>
      <c r="N75" s="30" t="s">
        <v>51</v>
      </c>
      <c r="O75" s="30" t="s">
        <v>1542</v>
      </c>
      <c r="P75" s="30" t="s">
        <v>1542</v>
      </c>
      <c r="Q75" s="30" t="str">
        <f t="shared" si="5"/>
        <v>AM</v>
      </c>
      <c r="R75" s="30" t="str">
        <f t="shared" si="6"/>
        <v>DM</v>
      </c>
      <c r="S75" s="30" t="str">
        <f>VLOOKUP(M75,'Data - Employee Rights Master'!$C$3:$D$32,2,0)</f>
        <v>AM</v>
      </c>
      <c r="T75" s="30" t="str">
        <f>VLOOKUP(N75,'Data - Employee Rights Master'!$C$3:$D$32,2,0)</f>
        <v>DM</v>
      </c>
      <c r="U75" s="41" t="str">
        <f t="shared" si="7"/>
        <v>PASS</v>
      </c>
      <c r="V75" s="41" t="str">
        <f t="shared" si="8"/>
        <v>NA</v>
      </c>
      <c r="W75" s="30" t="str">
        <f t="shared" si="9"/>
        <v>2021</v>
      </c>
      <c r="X75" s="30" t="str">
        <f>VLOOKUP(MONTH(G75),Key!$F$3:$G$14,2,0)</f>
        <v>Jul</v>
      </c>
      <c r="Y75" s="30" t="str">
        <f>IFERROR(IF(MATCH(F75,'Test 6'!C$5:C$9,0)&gt;0,"RP"),"NON-RP")</f>
        <v>NON-RP</v>
      </c>
    </row>
    <row r="76" spans="2:25" x14ac:dyDescent="0.5">
      <c r="B76" s="30">
        <v>72</v>
      </c>
      <c r="C76" s="30" t="s">
        <v>219</v>
      </c>
      <c r="D76" s="31">
        <v>202172</v>
      </c>
      <c r="E76" s="30" t="s">
        <v>220</v>
      </c>
      <c r="F76" s="53" t="s">
        <v>57</v>
      </c>
      <c r="G76" s="32">
        <v>44019</v>
      </c>
      <c r="H76" s="33">
        <v>0.58892013221822692</v>
      </c>
      <c r="I76" s="30" t="s">
        <v>216</v>
      </c>
      <c r="J76" s="34">
        <v>4374900</v>
      </c>
      <c r="K76" s="35" t="s">
        <v>17</v>
      </c>
      <c r="L76" s="36">
        <v>787482</v>
      </c>
      <c r="M76" s="30" t="s">
        <v>69</v>
      </c>
      <c r="N76" s="30" t="s">
        <v>41</v>
      </c>
      <c r="O76" s="30" t="s">
        <v>1542</v>
      </c>
      <c r="P76" s="30" t="s">
        <v>1542</v>
      </c>
      <c r="Q76" s="30" t="str">
        <f t="shared" si="5"/>
        <v>SM</v>
      </c>
      <c r="R76" s="30" t="str">
        <f t="shared" si="6"/>
        <v>CM</v>
      </c>
      <c r="S76" s="30" t="str">
        <f>VLOOKUP(M76,'Data - Employee Rights Master'!$C$3:$D$32,2,0)</f>
        <v>SM</v>
      </c>
      <c r="T76" s="30" t="str">
        <f>VLOOKUP(N76,'Data - Employee Rights Master'!$C$3:$D$32,2,0)</f>
        <v>CM</v>
      </c>
      <c r="U76" s="41" t="str">
        <f t="shared" si="7"/>
        <v>PASS</v>
      </c>
      <c r="V76" s="41" t="str">
        <f t="shared" si="8"/>
        <v>NA</v>
      </c>
      <c r="W76" s="30" t="str">
        <f t="shared" si="9"/>
        <v>2021</v>
      </c>
      <c r="X76" s="30" t="str">
        <f>VLOOKUP(MONTH(G76),Key!$F$3:$G$14,2,0)</f>
        <v>Jul</v>
      </c>
      <c r="Y76" s="30" t="str">
        <f>IFERROR(IF(MATCH(F76,'Test 6'!C$5:C$9,0)&gt;0,"RP"),"NON-RP")</f>
        <v>NON-RP</v>
      </c>
    </row>
    <row r="77" spans="2:25" x14ac:dyDescent="0.5">
      <c r="B77" s="30">
        <v>73</v>
      </c>
      <c r="C77" s="30" t="s">
        <v>221</v>
      </c>
      <c r="D77" s="31">
        <v>202173</v>
      </c>
      <c r="E77" s="30" t="s">
        <v>222</v>
      </c>
      <c r="F77" s="53" t="s">
        <v>119</v>
      </c>
      <c r="G77" s="32">
        <v>44020</v>
      </c>
      <c r="H77" s="33">
        <v>0.5129439040238748</v>
      </c>
      <c r="I77" s="30" t="s">
        <v>216</v>
      </c>
      <c r="J77" s="34">
        <v>379870</v>
      </c>
      <c r="K77" s="35" t="s">
        <v>17</v>
      </c>
      <c r="L77" s="36">
        <v>68376.599999999991</v>
      </c>
      <c r="M77" s="30" t="s">
        <v>23</v>
      </c>
      <c r="N77" s="30" t="s">
        <v>51</v>
      </c>
      <c r="O77" s="30" t="s">
        <v>1542</v>
      </c>
      <c r="P77" s="30" t="s">
        <v>1542</v>
      </c>
      <c r="Q77" s="30" t="str">
        <f t="shared" si="5"/>
        <v>AM</v>
      </c>
      <c r="R77" s="30" t="str">
        <f t="shared" si="6"/>
        <v>DM</v>
      </c>
      <c r="S77" s="30" t="str">
        <f>VLOOKUP(M77,'Data - Employee Rights Master'!$C$3:$D$32,2,0)</f>
        <v>AM</v>
      </c>
      <c r="T77" s="30" t="str">
        <f>VLOOKUP(N77,'Data - Employee Rights Master'!$C$3:$D$32,2,0)</f>
        <v>DM</v>
      </c>
      <c r="U77" s="41" t="str">
        <f t="shared" si="7"/>
        <v>PASS</v>
      </c>
      <c r="V77" s="41" t="str">
        <f t="shared" si="8"/>
        <v>NA</v>
      </c>
      <c r="W77" s="30" t="str">
        <f t="shared" si="9"/>
        <v>2021</v>
      </c>
      <c r="X77" s="30" t="str">
        <f>VLOOKUP(MONTH(G77),Key!$F$3:$G$14,2,0)</f>
        <v>Jul</v>
      </c>
      <c r="Y77" s="30" t="str">
        <f>IFERROR(IF(MATCH(F77,'Test 6'!C$5:C$9,0)&gt;0,"RP"),"NON-RP")</f>
        <v>NON-RP</v>
      </c>
    </row>
    <row r="78" spans="2:25" x14ac:dyDescent="0.5">
      <c r="B78" s="30">
        <v>74</v>
      </c>
      <c r="C78" s="30" t="s">
        <v>223</v>
      </c>
      <c r="D78" s="31">
        <v>202174</v>
      </c>
      <c r="E78" s="30" t="s">
        <v>224</v>
      </c>
      <c r="F78" s="53" t="s">
        <v>57</v>
      </c>
      <c r="G78" s="32">
        <v>44020</v>
      </c>
      <c r="H78" s="33">
        <v>0.45897457727720498</v>
      </c>
      <c r="I78" s="30" t="s">
        <v>216</v>
      </c>
      <c r="J78" s="34">
        <v>415470</v>
      </c>
      <c r="K78" s="35" t="s">
        <v>17</v>
      </c>
      <c r="L78" s="36">
        <v>74784.599999999991</v>
      </c>
      <c r="M78" s="30" t="s">
        <v>18</v>
      </c>
      <c r="N78" s="30" t="s">
        <v>68</v>
      </c>
      <c r="O78" s="30" t="s">
        <v>1542</v>
      </c>
      <c r="P78" s="30" t="s">
        <v>1542</v>
      </c>
      <c r="Q78" s="30" t="str">
        <f t="shared" si="5"/>
        <v>AM</v>
      </c>
      <c r="R78" s="30" t="str">
        <f t="shared" si="6"/>
        <v>DM</v>
      </c>
      <c r="S78" s="30" t="str">
        <f>VLOOKUP(M78,'Data - Employee Rights Master'!$C$3:$D$32,2,0)</f>
        <v>AM</v>
      </c>
      <c r="T78" s="30" t="str">
        <f>VLOOKUP(N78,'Data - Employee Rights Master'!$C$3:$D$32,2,0)</f>
        <v>DM</v>
      </c>
      <c r="U78" s="41" t="str">
        <f t="shared" si="7"/>
        <v>PASS</v>
      </c>
      <c r="V78" s="41" t="str">
        <f t="shared" si="8"/>
        <v>NA</v>
      </c>
      <c r="W78" s="30" t="str">
        <f t="shared" si="9"/>
        <v>2021</v>
      </c>
      <c r="X78" s="30" t="str">
        <f>VLOOKUP(MONTH(G78),Key!$F$3:$G$14,2,0)</f>
        <v>Jul</v>
      </c>
      <c r="Y78" s="30" t="str">
        <f>IFERROR(IF(MATCH(F78,'Test 6'!C$5:C$9,0)&gt;0,"RP"),"NON-RP")</f>
        <v>NON-RP</v>
      </c>
    </row>
    <row r="79" spans="2:25" x14ac:dyDescent="0.5">
      <c r="B79" s="30">
        <v>75</v>
      </c>
      <c r="C79" s="30" t="s">
        <v>225</v>
      </c>
      <c r="D79" s="31">
        <v>202175</v>
      </c>
      <c r="E79" s="30" t="s">
        <v>226</v>
      </c>
      <c r="F79" s="53" t="s">
        <v>195</v>
      </c>
      <c r="G79" s="32">
        <v>44020</v>
      </c>
      <c r="H79" s="33">
        <v>0.63965713100688737</v>
      </c>
      <c r="I79" s="30" t="s">
        <v>216</v>
      </c>
      <c r="J79" s="34">
        <v>451520</v>
      </c>
      <c r="K79" s="35" t="s">
        <v>17</v>
      </c>
      <c r="L79" s="36">
        <v>81273.599999999991</v>
      </c>
      <c r="M79" s="30" t="s">
        <v>46</v>
      </c>
      <c r="N79" s="30" t="s">
        <v>24</v>
      </c>
      <c r="O79" s="30" t="s">
        <v>1542</v>
      </c>
      <c r="P79" s="30" t="s">
        <v>1542</v>
      </c>
      <c r="Q79" s="30" t="str">
        <f t="shared" si="5"/>
        <v>AM</v>
      </c>
      <c r="R79" s="30" t="str">
        <f t="shared" si="6"/>
        <v>DM</v>
      </c>
      <c r="S79" s="30" t="str">
        <f>VLOOKUP(M79,'Data - Employee Rights Master'!$C$3:$D$32,2,0)</f>
        <v>AM</v>
      </c>
      <c r="T79" s="30" t="str">
        <f>VLOOKUP(N79,'Data - Employee Rights Master'!$C$3:$D$32,2,0)</f>
        <v>DM</v>
      </c>
      <c r="U79" s="41" t="str">
        <f t="shared" si="7"/>
        <v>PASS</v>
      </c>
      <c r="V79" s="41" t="str">
        <f t="shared" si="8"/>
        <v>NA</v>
      </c>
      <c r="W79" s="30" t="str">
        <f t="shared" si="9"/>
        <v>2021</v>
      </c>
      <c r="X79" s="30" t="str">
        <f>VLOOKUP(MONTH(G79),Key!$F$3:$G$14,2,0)</f>
        <v>Jul</v>
      </c>
      <c r="Y79" s="30" t="str">
        <f>IFERROR(IF(MATCH(F79,'Test 6'!C$5:C$9,0)&gt;0,"RP"),"NON-RP")</f>
        <v>NON-RP</v>
      </c>
    </row>
    <row r="80" spans="2:25" x14ac:dyDescent="0.5">
      <c r="B80" s="30">
        <v>76</v>
      </c>
      <c r="C80" s="30" t="s">
        <v>227</v>
      </c>
      <c r="D80" s="31">
        <v>202176</v>
      </c>
      <c r="E80" s="30" t="s">
        <v>228</v>
      </c>
      <c r="F80" s="53" t="s">
        <v>229</v>
      </c>
      <c r="G80" s="32">
        <v>44021</v>
      </c>
      <c r="H80" s="33">
        <v>0.51071042238614028</v>
      </c>
      <c r="I80" s="30" t="s">
        <v>216</v>
      </c>
      <c r="J80" s="34">
        <v>453330</v>
      </c>
      <c r="K80" s="35" t="s">
        <v>17</v>
      </c>
      <c r="L80" s="36">
        <v>81599.399999999994</v>
      </c>
      <c r="M80" s="30" t="s">
        <v>18</v>
      </c>
      <c r="N80" s="30" t="s">
        <v>24</v>
      </c>
      <c r="O80" s="30" t="s">
        <v>1542</v>
      </c>
      <c r="P80" s="30" t="s">
        <v>1542</v>
      </c>
      <c r="Q80" s="30" t="str">
        <f t="shared" si="5"/>
        <v>AM</v>
      </c>
      <c r="R80" s="30" t="str">
        <f t="shared" si="6"/>
        <v>DM</v>
      </c>
      <c r="S80" s="30" t="str">
        <f>VLOOKUP(M80,'Data - Employee Rights Master'!$C$3:$D$32,2,0)</f>
        <v>AM</v>
      </c>
      <c r="T80" s="30" t="str">
        <f>VLOOKUP(N80,'Data - Employee Rights Master'!$C$3:$D$32,2,0)</f>
        <v>DM</v>
      </c>
      <c r="U80" s="41" t="str">
        <f t="shared" si="7"/>
        <v>PASS</v>
      </c>
      <c r="V80" s="41" t="str">
        <f t="shared" si="8"/>
        <v>NA</v>
      </c>
      <c r="W80" s="30" t="str">
        <f t="shared" si="9"/>
        <v>2021</v>
      </c>
      <c r="X80" s="30" t="str">
        <f>VLOOKUP(MONTH(G80),Key!$F$3:$G$14,2,0)</f>
        <v>Jul</v>
      </c>
      <c r="Y80" s="30" t="str">
        <f>IFERROR(IF(MATCH(F80,'Test 6'!C$5:C$9,0)&gt;0,"RP"),"NON-RP")</f>
        <v>NON-RP</v>
      </c>
    </row>
    <row r="81" spans="2:25" x14ac:dyDescent="0.5">
      <c r="B81" s="30">
        <v>77</v>
      </c>
      <c r="C81" s="30" t="s">
        <v>230</v>
      </c>
      <c r="D81" s="31">
        <v>202177</v>
      </c>
      <c r="E81" s="30" t="s">
        <v>231</v>
      </c>
      <c r="F81" s="53" t="s">
        <v>60</v>
      </c>
      <c r="G81" s="32">
        <v>44023</v>
      </c>
      <c r="H81" s="33">
        <v>0.56645579578520588</v>
      </c>
      <c r="I81" s="30" t="s">
        <v>216</v>
      </c>
      <c r="J81" s="34">
        <v>343940</v>
      </c>
      <c r="K81" s="35" t="s">
        <v>17</v>
      </c>
      <c r="L81" s="36">
        <v>61909.2</v>
      </c>
      <c r="M81" s="30" t="s">
        <v>28</v>
      </c>
      <c r="N81" s="30" t="s">
        <v>68</v>
      </c>
      <c r="O81" s="30" t="s">
        <v>1542</v>
      </c>
      <c r="P81" s="30" t="s">
        <v>1542</v>
      </c>
      <c r="Q81" s="30" t="str">
        <f t="shared" si="5"/>
        <v>AM</v>
      </c>
      <c r="R81" s="30" t="str">
        <f t="shared" si="6"/>
        <v>DM</v>
      </c>
      <c r="S81" s="30" t="str">
        <f>VLOOKUP(M81,'Data - Employee Rights Master'!$C$3:$D$32,2,0)</f>
        <v>AM</v>
      </c>
      <c r="T81" s="30" t="str">
        <f>VLOOKUP(N81,'Data - Employee Rights Master'!$C$3:$D$32,2,0)</f>
        <v>DM</v>
      </c>
      <c r="U81" s="41" t="str">
        <f t="shared" si="7"/>
        <v>PASS</v>
      </c>
      <c r="V81" s="41" t="str">
        <f t="shared" si="8"/>
        <v>NA</v>
      </c>
      <c r="W81" s="30" t="str">
        <f t="shared" si="9"/>
        <v>2021</v>
      </c>
      <c r="X81" s="30" t="str">
        <f>VLOOKUP(MONTH(G81),Key!$F$3:$G$14,2,0)</f>
        <v>Jul</v>
      </c>
      <c r="Y81" s="30" t="str">
        <f>IFERROR(IF(MATCH(F81,'Test 6'!C$5:C$9,0)&gt;0,"RP"),"NON-RP")</f>
        <v>NON-RP</v>
      </c>
    </row>
    <row r="82" spans="2:25" x14ac:dyDescent="0.5">
      <c r="B82" s="30">
        <v>78</v>
      </c>
      <c r="C82" s="30" t="s">
        <v>232</v>
      </c>
      <c r="D82" s="31">
        <v>202178</v>
      </c>
      <c r="E82" s="30" t="s">
        <v>233</v>
      </c>
      <c r="F82" s="53" t="s">
        <v>187</v>
      </c>
      <c r="G82" s="32">
        <v>44023</v>
      </c>
      <c r="H82" s="33">
        <v>0.50619619755304368</v>
      </c>
      <c r="I82" s="30" t="s">
        <v>216</v>
      </c>
      <c r="J82" s="34">
        <v>369380</v>
      </c>
      <c r="K82" s="35" t="s">
        <v>17</v>
      </c>
      <c r="L82" s="36">
        <v>66488.399999999994</v>
      </c>
      <c r="M82" s="30" t="s">
        <v>61</v>
      </c>
      <c r="N82" s="30" t="s">
        <v>68</v>
      </c>
      <c r="O82" s="30" t="s">
        <v>1542</v>
      </c>
      <c r="P82" s="30" t="s">
        <v>1542</v>
      </c>
      <c r="Q82" s="30" t="str">
        <f t="shared" si="5"/>
        <v>AM</v>
      </c>
      <c r="R82" s="30" t="str">
        <f t="shared" si="6"/>
        <v>DM</v>
      </c>
      <c r="S82" s="30" t="str">
        <f>VLOOKUP(M82,'Data - Employee Rights Master'!$C$3:$D$32,2,0)</f>
        <v>AM</v>
      </c>
      <c r="T82" s="30" t="str">
        <f>VLOOKUP(N82,'Data - Employee Rights Master'!$C$3:$D$32,2,0)</f>
        <v>DM</v>
      </c>
      <c r="U82" s="41" t="str">
        <f t="shared" si="7"/>
        <v>PASS</v>
      </c>
      <c r="V82" s="41" t="str">
        <f t="shared" si="8"/>
        <v>NA</v>
      </c>
      <c r="W82" s="30" t="str">
        <f t="shared" si="9"/>
        <v>2021</v>
      </c>
      <c r="X82" s="30" t="str">
        <f>VLOOKUP(MONTH(G82),Key!$F$3:$G$14,2,0)</f>
        <v>Jul</v>
      </c>
      <c r="Y82" s="30" t="str">
        <f>IFERROR(IF(MATCH(F82,'Test 6'!C$5:C$9,0)&gt;0,"RP"),"NON-RP")</f>
        <v>NON-RP</v>
      </c>
    </row>
    <row r="83" spans="2:25" x14ac:dyDescent="0.5">
      <c r="B83" s="30">
        <v>79</v>
      </c>
      <c r="C83" s="30" t="s">
        <v>234</v>
      </c>
      <c r="D83" s="31">
        <v>202179</v>
      </c>
      <c r="E83" s="30" t="s">
        <v>235</v>
      </c>
      <c r="F83" s="53" t="s">
        <v>22</v>
      </c>
      <c r="G83" s="32">
        <v>44025</v>
      </c>
      <c r="H83" s="33">
        <v>0.60707143096506011</v>
      </c>
      <c r="I83" s="30" t="s">
        <v>216</v>
      </c>
      <c r="J83" s="34">
        <v>242400</v>
      </c>
      <c r="K83" s="35" t="s">
        <v>17</v>
      </c>
      <c r="L83" s="36">
        <v>43632</v>
      </c>
      <c r="M83" s="30" t="s">
        <v>37</v>
      </c>
      <c r="N83" s="30" t="s">
        <v>47</v>
      </c>
      <c r="O83" s="30" t="s">
        <v>1542</v>
      </c>
      <c r="P83" s="30" t="s">
        <v>1542</v>
      </c>
      <c r="Q83" s="30" t="str">
        <f t="shared" si="5"/>
        <v>AM</v>
      </c>
      <c r="R83" s="30" t="str">
        <f t="shared" si="6"/>
        <v>DM</v>
      </c>
      <c r="S83" s="30" t="str">
        <f>VLOOKUP(M83,'Data - Employee Rights Master'!$C$3:$D$32,2,0)</f>
        <v>AM</v>
      </c>
      <c r="T83" s="30" t="str">
        <f>VLOOKUP(N83,'Data - Employee Rights Master'!$C$3:$D$32,2,0)</f>
        <v>DM</v>
      </c>
      <c r="U83" s="41" t="str">
        <f t="shared" si="7"/>
        <v>PASS</v>
      </c>
      <c r="V83" s="41" t="str">
        <f t="shared" si="8"/>
        <v>NA</v>
      </c>
      <c r="W83" s="30" t="str">
        <f t="shared" si="9"/>
        <v>2021</v>
      </c>
      <c r="X83" s="30" t="str">
        <f>VLOOKUP(MONTH(G83),Key!$F$3:$G$14,2,0)</f>
        <v>Jul</v>
      </c>
      <c r="Y83" s="30" t="str">
        <f>IFERROR(IF(MATCH(F83,'Test 6'!C$5:C$9,0)&gt;0,"RP"),"NON-RP")</f>
        <v>NON-RP</v>
      </c>
    </row>
    <row r="84" spans="2:25" x14ac:dyDescent="0.5">
      <c r="B84" s="30">
        <v>80</v>
      </c>
      <c r="C84" s="30" t="s">
        <v>236</v>
      </c>
      <c r="D84" s="31">
        <v>202180</v>
      </c>
      <c r="E84" s="30" t="s">
        <v>237</v>
      </c>
      <c r="F84" s="53" t="s">
        <v>238</v>
      </c>
      <c r="G84" s="32">
        <v>44025</v>
      </c>
      <c r="H84" s="33">
        <v>0.66565560466787532</v>
      </c>
      <c r="I84" s="30" t="s">
        <v>216</v>
      </c>
      <c r="J84" s="34">
        <v>343980</v>
      </c>
      <c r="K84" s="35" t="s">
        <v>17</v>
      </c>
      <c r="L84" s="36">
        <v>61916.399999999994</v>
      </c>
      <c r="M84" s="30" t="s">
        <v>46</v>
      </c>
      <c r="N84" s="30" t="s">
        <v>19</v>
      </c>
      <c r="O84" s="30" t="s">
        <v>1542</v>
      </c>
      <c r="P84" s="30" t="s">
        <v>1542</v>
      </c>
      <c r="Q84" s="30" t="str">
        <f t="shared" si="5"/>
        <v>AM</v>
      </c>
      <c r="R84" s="30" t="str">
        <f t="shared" si="6"/>
        <v>DM</v>
      </c>
      <c r="S84" s="30" t="str">
        <f>VLOOKUP(M84,'Data - Employee Rights Master'!$C$3:$D$32,2,0)</f>
        <v>AM</v>
      </c>
      <c r="T84" s="30" t="str">
        <f>VLOOKUP(N84,'Data - Employee Rights Master'!$C$3:$D$32,2,0)</f>
        <v>DM</v>
      </c>
      <c r="U84" s="41" t="str">
        <f t="shared" si="7"/>
        <v>PASS</v>
      </c>
      <c r="V84" s="41" t="str">
        <f t="shared" si="8"/>
        <v>NA</v>
      </c>
      <c r="W84" s="30" t="str">
        <f t="shared" si="9"/>
        <v>2021</v>
      </c>
      <c r="X84" s="30" t="str">
        <f>VLOOKUP(MONTH(G84),Key!$F$3:$G$14,2,0)</f>
        <v>Jul</v>
      </c>
      <c r="Y84" s="30" t="str">
        <f>IFERROR(IF(MATCH(F84,'Test 6'!C$5:C$9,0)&gt;0,"RP"),"NON-RP")</f>
        <v>NON-RP</v>
      </c>
    </row>
    <row r="85" spans="2:25" x14ac:dyDescent="0.5">
      <c r="B85" s="30">
        <v>81</v>
      </c>
      <c r="C85" s="30" t="s">
        <v>239</v>
      </c>
      <c r="D85" s="31">
        <v>202181</v>
      </c>
      <c r="E85" s="30" t="s">
        <v>240</v>
      </c>
      <c r="F85" s="53" t="s">
        <v>241</v>
      </c>
      <c r="G85" s="32">
        <v>44027</v>
      </c>
      <c r="H85" s="33">
        <v>0.5423339745192951</v>
      </c>
      <c r="I85" s="30" t="s">
        <v>163</v>
      </c>
      <c r="J85" s="34">
        <v>337370</v>
      </c>
      <c r="K85" s="35" t="s">
        <v>17</v>
      </c>
      <c r="L85" s="36">
        <v>60726.6</v>
      </c>
      <c r="M85" s="30" t="s">
        <v>46</v>
      </c>
      <c r="N85" s="30" t="s">
        <v>47</v>
      </c>
      <c r="O85" s="30" t="s">
        <v>1542</v>
      </c>
      <c r="P85" s="30" t="s">
        <v>1542</v>
      </c>
      <c r="Q85" s="30" t="str">
        <f t="shared" si="5"/>
        <v>AM</v>
      </c>
      <c r="R85" s="30" t="str">
        <f t="shared" si="6"/>
        <v>DM</v>
      </c>
      <c r="S85" s="30" t="str">
        <f>VLOOKUP(M85,'Data - Employee Rights Master'!$C$3:$D$32,2,0)</f>
        <v>AM</v>
      </c>
      <c r="T85" s="30" t="str">
        <f>VLOOKUP(N85,'Data - Employee Rights Master'!$C$3:$D$32,2,0)</f>
        <v>DM</v>
      </c>
      <c r="U85" s="41" t="str">
        <f t="shared" si="7"/>
        <v>PASS</v>
      </c>
      <c r="V85" s="41" t="str">
        <f t="shared" si="8"/>
        <v>NA</v>
      </c>
      <c r="W85" s="30" t="str">
        <f t="shared" si="9"/>
        <v>2021</v>
      </c>
      <c r="X85" s="30" t="str">
        <f>VLOOKUP(MONTH(G85),Key!$F$3:$G$14,2,0)</f>
        <v>Jul</v>
      </c>
      <c r="Y85" s="30" t="str">
        <f>IFERROR(IF(MATCH(F85,'Test 6'!C$5:C$9,0)&gt;0,"RP"),"NON-RP")</f>
        <v>RP</v>
      </c>
    </row>
    <row r="86" spans="2:25" x14ac:dyDescent="0.5">
      <c r="B86" s="30">
        <v>82</v>
      </c>
      <c r="C86" s="30" t="s">
        <v>242</v>
      </c>
      <c r="D86" s="31">
        <v>202182</v>
      </c>
      <c r="E86" s="30" t="s">
        <v>243</v>
      </c>
      <c r="F86" s="53" t="s">
        <v>119</v>
      </c>
      <c r="G86" s="32">
        <v>44027</v>
      </c>
      <c r="H86" s="33">
        <v>0.5136375719116445</v>
      </c>
      <c r="I86" s="30" t="s">
        <v>216</v>
      </c>
      <c r="J86" s="34">
        <v>393430</v>
      </c>
      <c r="K86" s="35" t="s">
        <v>17</v>
      </c>
      <c r="L86" s="36">
        <v>70817.399999999994</v>
      </c>
      <c r="M86" s="30" t="s">
        <v>61</v>
      </c>
      <c r="N86" s="30" t="s">
        <v>68</v>
      </c>
      <c r="O86" s="30" t="s">
        <v>1542</v>
      </c>
      <c r="P86" s="30" t="s">
        <v>1542</v>
      </c>
      <c r="Q86" s="30" t="str">
        <f t="shared" si="5"/>
        <v>AM</v>
      </c>
      <c r="R86" s="30" t="str">
        <f t="shared" si="6"/>
        <v>DM</v>
      </c>
      <c r="S86" s="30" t="str">
        <f>VLOOKUP(M86,'Data - Employee Rights Master'!$C$3:$D$32,2,0)</f>
        <v>AM</v>
      </c>
      <c r="T86" s="30" t="str">
        <f>VLOOKUP(N86,'Data - Employee Rights Master'!$C$3:$D$32,2,0)</f>
        <v>DM</v>
      </c>
      <c r="U86" s="41" t="str">
        <f t="shared" si="7"/>
        <v>PASS</v>
      </c>
      <c r="V86" s="41" t="str">
        <f t="shared" si="8"/>
        <v>NA</v>
      </c>
      <c r="W86" s="30" t="str">
        <f t="shared" si="9"/>
        <v>2021</v>
      </c>
      <c r="X86" s="30" t="str">
        <f>VLOOKUP(MONTH(G86),Key!$F$3:$G$14,2,0)</f>
        <v>Jul</v>
      </c>
      <c r="Y86" s="30" t="str">
        <f>IFERROR(IF(MATCH(F86,'Test 6'!C$5:C$9,0)&gt;0,"RP"),"NON-RP")</f>
        <v>NON-RP</v>
      </c>
    </row>
    <row r="87" spans="2:25" x14ac:dyDescent="0.5">
      <c r="B87" s="30">
        <v>83</v>
      </c>
      <c r="C87" s="30" t="s">
        <v>244</v>
      </c>
      <c r="D87" s="31">
        <v>202183</v>
      </c>
      <c r="E87" s="30" t="s">
        <v>245</v>
      </c>
      <c r="F87" s="53" t="s">
        <v>229</v>
      </c>
      <c r="G87" s="32">
        <v>44027</v>
      </c>
      <c r="H87" s="33">
        <v>0.55531448890929869</v>
      </c>
      <c r="I87" s="30" t="s">
        <v>216</v>
      </c>
      <c r="J87" s="34">
        <v>404010</v>
      </c>
      <c r="K87" s="35" t="s">
        <v>17</v>
      </c>
      <c r="L87" s="36">
        <v>72721.8</v>
      </c>
      <c r="M87" s="30" t="s">
        <v>37</v>
      </c>
      <c r="N87" s="30" t="s">
        <v>19</v>
      </c>
      <c r="O87" s="30" t="s">
        <v>1542</v>
      </c>
      <c r="P87" s="30" t="s">
        <v>1542</v>
      </c>
      <c r="Q87" s="30" t="str">
        <f t="shared" si="5"/>
        <v>AM</v>
      </c>
      <c r="R87" s="30" t="str">
        <f t="shared" si="6"/>
        <v>DM</v>
      </c>
      <c r="S87" s="30" t="str">
        <f>VLOOKUP(M87,'Data - Employee Rights Master'!$C$3:$D$32,2,0)</f>
        <v>AM</v>
      </c>
      <c r="T87" s="30" t="str">
        <f>VLOOKUP(N87,'Data - Employee Rights Master'!$C$3:$D$32,2,0)</f>
        <v>DM</v>
      </c>
      <c r="U87" s="41" t="str">
        <f t="shared" si="7"/>
        <v>PASS</v>
      </c>
      <c r="V87" s="41" t="str">
        <f t="shared" si="8"/>
        <v>NA</v>
      </c>
      <c r="W87" s="30" t="str">
        <f t="shared" si="9"/>
        <v>2021</v>
      </c>
      <c r="X87" s="30" t="str">
        <f>VLOOKUP(MONTH(G87),Key!$F$3:$G$14,2,0)</f>
        <v>Jul</v>
      </c>
      <c r="Y87" s="30" t="str">
        <f>IFERROR(IF(MATCH(F87,'Test 6'!C$5:C$9,0)&gt;0,"RP"),"NON-RP")</f>
        <v>NON-RP</v>
      </c>
    </row>
    <row r="88" spans="2:25" x14ac:dyDescent="0.5">
      <c r="B88" s="30">
        <v>84</v>
      </c>
      <c r="C88" s="30" t="s">
        <v>246</v>
      </c>
      <c r="D88" s="31">
        <v>202184</v>
      </c>
      <c r="E88" s="30" t="s">
        <v>247</v>
      </c>
      <c r="F88" s="53" t="s">
        <v>103</v>
      </c>
      <c r="G88" s="32">
        <v>44028</v>
      </c>
      <c r="H88" s="33">
        <v>0.47257336988604254</v>
      </c>
      <c r="I88" s="30" t="s">
        <v>216</v>
      </c>
      <c r="J88" s="34">
        <v>448370</v>
      </c>
      <c r="K88" s="35" t="s">
        <v>17</v>
      </c>
      <c r="L88" s="36">
        <v>80706.599999999991</v>
      </c>
      <c r="M88" s="30" t="s">
        <v>46</v>
      </c>
      <c r="N88" s="30" t="s">
        <v>47</v>
      </c>
      <c r="O88" s="30" t="s">
        <v>1542</v>
      </c>
      <c r="P88" s="30" t="s">
        <v>1542</v>
      </c>
      <c r="Q88" s="30" t="str">
        <f t="shared" si="5"/>
        <v>AM</v>
      </c>
      <c r="R88" s="30" t="str">
        <f t="shared" si="6"/>
        <v>DM</v>
      </c>
      <c r="S88" s="30" t="str">
        <f>VLOOKUP(M88,'Data - Employee Rights Master'!$C$3:$D$32,2,0)</f>
        <v>AM</v>
      </c>
      <c r="T88" s="30" t="str">
        <f>VLOOKUP(N88,'Data - Employee Rights Master'!$C$3:$D$32,2,0)</f>
        <v>DM</v>
      </c>
      <c r="U88" s="41" t="str">
        <f t="shared" si="7"/>
        <v>PASS</v>
      </c>
      <c r="V88" s="41" t="str">
        <f t="shared" si="8"/>
        <v>NA</v>
      </c>
      <c r="W88" s="30" t="str">
        <f t="shared" si="9"/>
        <v>2021</v>
      </c>
      <c r="X88" s="30" t="str">
        <f>VLOOKUP(MONTH(G88),Key!$F$3:$G$14,2,0)</f>
        <v>Jul</v>
      </c>
      <c r="Y88" s="30" t="str">
        <f>IFERROR(IF(MATCH(F88,'Test 6'!C$5:C$9,0)&gt;0,"RP"),"NON-RP")</f>
        <v>NON-RP</v>
      </c>
    </row>
    <row r="89" spans="2:25" x14ac:dyDescent="0.5">
      <c r="B89" s="30">
        <v>85</v>
      </c>
      <c r="C89" s="30" t="s">
        <v>248</v>
      </c>
      <c r="D89" s="31">
        <v>202185</v>
      </c>
      <c r="E89" s="30" t="s">
        <v>249</v>
      </c>
      <c r="F89" s="53" t="s">
        <v>131</v>
      </c>
      <c r="G89" s="32">
        <v>44028</v>
      </c>
      <c r="H89" s="33">
        <v>0.64134888310133986</v>
      </c>
      <c r="I89" s="30" t="s">
        <v>216</v>
      </c>
      <c r="J89" s="34">
        <v>426610</v>
      </c>
      <c r="K89" s="35" t="s">
        <v>17</v>
      </c>
      <c r="L89" s="36">
        <v>76789.8</v>
      </c>
      <c r="M89" s="30" t="s">
        <v>28</v>
      </c>
      <c r="N89" s="30" t="s">
        <v>68</v>
      </c>
      <c r="O89" s="30" t="s">
        <v>1542</v>
      </c>
      <c r="P89" s="30" t="s">
        <v>1542</v>
      </c>
      <c r="Q89" s="30" t="str">
        <f t="shared" si="5"/>
        <v>AM</v>
      </c>
      <c r="R89" s="30" t="str">
        <f t="shared" si="6"/>
        <v>DM</v>
      </c>
      <c r="S89" s="30" t="str">
        <f>VLOOKUP(M89,'Data - Employee Rights Master'!$C$3:$D$32,2,0)</f>
        <v>AM</v>
      </c>
      <c r="T89" s="30" t="str">
        <f>VLOOKUP(N89,'Data - Employee Rights Master'!$C$3:$D$32,2,0)</f>
        <v>DM</v>
      </c>
      <c r="U89" s="41" t="str">
        <f t="shared" si="7"/>
        <v>PASS</v>
      </c>
      <c r="V89" s="41" t="str">
        <f t="shared" si="8"/>
        <v>NA</v>
      </c>
      <c r="W89" s="30" t="str">
        <f t="shared" si="9"/>
        <v>2021</v>
      </c>
      <c r="X89" s="30" t="str">
        <f>VLOOKUP(MONTH(G89),Key!$F$3:$G$14,2,0)</f>
        <v>Jul</v>
      </c>
      <c r="Y89" s="30" t="str">
        <f>IFERROR(IF(MATCH(F89,'Test 6'!C$5:C$9,0)&gt;0,"RP"),"NON-RP")</f>
        <v>NON-RP</v>
      </c>
    </row>
    <row r="90" spans="2:25" x14ac:dyDescent="0.5">
      <c r="B90" s="30">
        <v>86</v>
      </c>
      <c r="C90" s="30" t="s">
        <v>250</v>
      </c>
      <c r="D90" s="31">
        <v>202186</v>
      </c>
      <c r="E90" s="30" t="s">
        <v>251</v>
      </c>
      <c r="F90" s="53" t="s">
        <v>143</v>
      </c>
      <c r="G90" s="32">
        <v>44029</v>
      </c>
      <c r="H90" s="33">
        <v>0.61940616379692626</v>
      </c>
      <c r="I90" s="30" t="s">
        <v>216</v>
      </c>
      <c r="J90" s="34">
        <v>400810</v>
      </c>
      <c r="K90" s="35" t="s">
        <v>17</v>
      </c>
      <c r="L90" s="36">
        <v>72145.8</v>
      </c>
      <c r="M90" s="30" t="s">
        <v>32</v>
      </c>
      <c r="N90" s="30" t="s">
        <v>47</v>
      </c>
      <c r="O90" s="30" t="s">
        <v>1542</v>
      </c>
      <c r="P90" s="30" t="s">
        <v>1542</v>
      </c>
      <c r="Q90" s="30" t="str">
        <f t="shared" si="5"/>
        <v>AM</v>
      </c>
      <c r="R90" s="30" t="str">
        <f t="shared" si="6"/>
        <v>DM</v>
      </c>
      <c r="S90" s="30" t="str">
        <f>VLOOKUP(M90,'Data - Employee Rights Master'!$C$3:$D$32,2,0)</f>
        <v>AM</v>
      </c>
      <c r="T90" s="30" t="str">
        <f>VLOOKUP(N90,'Data - Employee Rights Master'!$C$3:$D$32,2,0)</f>
        <v>DM</v>
      </c>
      <c r="U90" s="41" t="str">
        <f t="shared" si="7"/>
        <v>PASS</v>
      </c>
      <c r="V90" s="41" t="str">
        <f t="shared" si="8"/>
        <v>NA</v>
      </c>
      <c r="W90" s="30" t="str">
        <f t="shared" si="9"/>
        <v>2021</v>
      </c>
      <c r="X90" s="30" t="str">
        <f>VLOOKUP(MONTH(G90),Key!$F$3:$G$14,2,0)</f>
        <v>Jul</v>
      </c>
      <c r="Y90" s="30" t="str">
        <f>IFERROR(IF(MATCH(F90,'Test 6'!C$5:C$9,0)&gt;0,"RP"),"NON-RP")</f>
        <v>NON-RP</v>
      </c>
    </row>
    <row r="91" spans="2:25" x14ac:dyDescent="0.5">
      <c r="B91" s="30">
        <v>87</v>
      </c>
      <c r="C91" s="30" t="s">
        <v>252</v>
      </c>
      <c r="D91" s="31">
        <v>202187</v>
      </c>
      <c r="E91" s="30" t="s">
        <v>253</v>
      </c>
      <c r="F91" s="53" t="s">
        <v>103</v>
      </c>
      <c r="G91" s="32">
        <v>44030</v>
      </c>
      <c r="H91" s="33">
        <v>0.63575809398003957</v>
      </c>
      <c r="I91" s="30" t="s">
        <v>216</v>
      </c>
      <c r="J91" s="34">
        <v>234150</v>
      </c>
      <c r="K91" s="35" t="s">
        <v>17</v>
      </c>
      <c r="L91" s="36">
        <v>42147</v>
      </c>
      <c r="M91" s="30" t="s">
        <v>28</v>
      </c>
      <c r="N91" s="30" t="s">
        <v>19</v>
      </c>
      <c r="O91" s="30" t="s">
        <v>1542</v>
      </c>
      <c r="P91" s="30" t="s">
        <v>1542</v>
      </c>
      <c r="Q91" s="30" t="str">
        <f t="shared" si="5"/>
        <v>AM</v>
      </c>
      <c r="R91" s="30" t="str">
        <f t="shared" si="6"/>
        <v>DM</v>
      </c>
      <c r="S91" s="30" t="str">
        <f>VLOOKUP(M91,'Data - Employee Rights Master'!$C$3:$D$32,2,0)</f>
        <v>AM</v>
      </c>
      <c r="T91" s="30" t="str">
        <f>VLOOKUP(N91,'Data - Employee Rights Master'!$C$3:$D$32,2,0)</f>
        <v>DM</v>
      </c>
      <c r="U91" s="41" t="str">
        <f t="shared" si="7"/>
        <v>PASS</v>
      </c>
      <c r="V91" s="41" t="str">
        <f t="shared" si="8"/>
        <v>NA</v>
      </c>
      <c r="W91" s="30" t="str">
        <f t="shared" si="9"/>
        <v>2021</v>
      </c>
      <c r="X91" s="30" t="str">
        <f>VLOOKUP(MONTH(G91),Key!$F$3:$G$14,2,0)</f>
        <v>Jul</v>
      </c>
      <c r="Y91" s="30" t="str">
        <f>IFERROR(IF(MATCH(F91,'Test 6'!C$5:C$9,0)&gt;0,"RP"),"NON-RP")</f>
        <v>NON-RP</v>
      </c>
    </row>
    <row r="92" spans="2:25" x14ac:dyDescent="0.5">
      <c r="B92" s="30">
        <v>88</v>
      </c>
      <c r="C92" s="30" t="s">
        <v>254</v>
      </c>
      <c r="D92" s="31">
        <v>202188</v>
      </c>
      <c r="E92" s="30" t="s">
        <v>255</v>
      </c>
      <c r="F92" s="53" t="s">
        <v>50</v>
      </c>
      <c r="G92" s="32">
        <v>44030</v>
      </c>
      <c r="H92" s="33">
        <v>0.41684756694169328</v>
      </c>
      <c r="I92" s="30" t="s">
        <v>216</v>
      </c>
      <c r="J92" s="34">
        <v>402860</v>
      </c>
      <c r="K92" s="35" t="s">
        <v>17</v>
      </c>
      <c r="L92" s="36">
        <v>72514.8</v>
      </c>
      <c r="M92" s="30" t="s">
        <v>23</v>
      </c>
      <c r="N92" s="30" t="s">
        <v>19</v>
      </c>
      <c r="O92" s="30" t="s">
        <v>1542</v>
      </c>
      <c r="P92" s="30" t="s">
        <v>1542</v>
      </c>
      <c r="Q92" s="30" t="str">
        <f t="shared" si="5"/>
        <v>AM</v>
      </c>
      <c r="R92" s="30" t="str">
        <f t="shared" si="6"/>
        <v>DM</v>
      </c>
      <c r="S92" s="30" t="str">
        <f>VLOOKUP(M92,'Data - Employee Rights Master'!$C$3:$D$32,2,0)</f>
        <v>AM</v>
      </c>
      <c r="T92" s="30" t="str">
        <f>VLOOKUP(N92,'Data - Employee Rights Master'!$C$3:$D$32,2,0)</f>
        <v>DM</v>
      </c>
      <c r="U92" s="41" t="str">
        <f t="shared" si="7"/>
        <v>PASS</v>
      </c>
      <c r="V92" s="41" t="str">
        <f t="shared" si="8"/>
        <v>NA</v>
      </c>
      <c r="W92" s="30" t="str">
        <f t="shared" si="9"/>
        <v>2021</v>
      </c>
      <c r="X92" s="30" t="str">
        <f>VLOOKUP(MONTH(G92),Key!$F$3:$G$14,2,0)</f>
        <v>Jul</v>
      </c>
      <c r="Y92" s="30" t="str">
        <f>IFERROR(IF(MATCH(F92,'Test 6'!C$5:C$9,0)&gt;0,"RP"),"NON-RP")</f>
        <v>NON-RP</v>
      </c>
    </row>
    <row r="93" spans="2:25" x14ac:dyDescent="0.5">
      <c r="B93" s="30">
        <v>89</v>
      </c>
      <c r="C93" s="30" t="s">
        <v>256</v>
      </c>
      <c r="D93" s="31">
        <v>202189</v>
      </c>
      <c r="E93" s="30" t="s">
        <v>257</v>
      </c>
      <c r="F93" s="53" t="s">
        <v>143</v>
      </c>
      <c r="G93" s="32">
        <v>44032</v>
      </c>
      <c r="H93" s="33">
        <v>0.50936059331500627</v>
      </c>
      <c r="I93" s="30" t="s">
        <v>216</v>
      </c>
      <c r="J93" s="34">
        <v>408480</v>
      </c>
      <c r="K93" s="35" t="s">
        <v>17</v>
      </c>
      <c r="L93" s="36">
        <v>73526.399999999994</v>
      </c>
      <c r="M93" s="30" t="s">
        <v>28</v>
      </c>
      <c r="N93" s="30" t="s">
        <v>47</v>
      </c>
      <c r="O93" s="30" t="s">
        <v>1542</v>
      </c>
      <c r="P93" s="30" t="s">
        <v>1542</v>
      </c>
      <c r="Q93" s="30" t="str">
        <f t="shared" si="5"/>
        <v>AM</v>
      </c>
      <c r="R93" s="30" t="str">
        <f t="shared" si="6"/>
        <v>DM</v>
      </c>
      <c r="S93" s="30" t="str">
        <f>VLOOKUP(M93,'Data - Employee Rights Master'!$C$3:$D$32,2,0)</f>
        <v>AM</v>
      </c>
      <c r="T93" s="30" t="str">
        <f>VLOOKUP(N93,'Data - Employee Rights Master'!$C$3:$D$32,2,0)</f>
        <v>DM</v>
      </c>
      <c r="U93" s="41" t="str">
        <f t="shared" si="7"/>
        <v>PASS</v>
      </c>
      <c r="V93" s="41" t="str">
        <f t="shared" si="8"/>
        <v>NA</v>
      </c>
      <c r="W93" s="30" t="str">
        <f t="shared" si="9"/>
        <v>2021</v>
      </c>
      <c r="X93" s="30" t="str">
        <f>VLOOKUP(MONTH(G93),Key!$F$3:$G$14,2,0)</f>
        <v>Jul</v>
      </c>
      <c r="Y93" s="30" t="str">
        <f>IFERROR(IF(MATCH(F93,'Test 6'!C$5:C$9,0)&gt;0,"RP"),"NON-RP")</f>
        <v>NON-RP</v>
      </c>
    </row>
    <row r="94" spans="2:25" x14ac:dyDescent="0.5">
      <c r="B94" s="30">
        <v>90</v>
      </c>
      <c r="C94" s="30" t="s">
        <v>258</v>
      </c>
      <c r="D94" s="31">
        <v>202190</v>
      </c>
      <c r="E94" s="30" t="s">
        <v>259</v>
      </c>
      <c r="F94" s="53" t="s">
        <v>81</v>
      </c>
      <c r="G94" s="32">
        <v>44032</v>
      </c>
      <c r="H94" s="33">
        <v>0.48354254941465752</v>
      </c>
      <c r="I94" s="30" t="s">
        <v>216</v>
      </c>
      <c r="J94" s="34">
        <v>6075310</v>
      </c>
      <c r="K94" s="35" t="s">
        <v>17</v>
      </c>
      <c r="L94" s="36">
        <v>1093555.8</v>
      </c>
      <c r="M94" s="30" t="s">
        <v>41</v>
      </c>
      <c r="N94" s="30" t="s">
        <v>42</v>
      </c>
      <c r="O94" s="30" t="s">
        <v>1575</v>
      </c>
      <c r="P94" s="30" t="s">
        <v>1578</v>
      </c>
      <c r="Q94" s="30" t="str">
        <f t="shared" si="5"/>
        <v>CM</v>
      </c>
      <c r="R94" s="30" t="str">
        <f t="shared" si="6"/>
        <v>CFO</v>
      </c>
      <c r="S94" s="30" t="str">
        <f>VLOOKUP(M94,'Data - Employee Rights Master'!$C$3:$D$32,2,0)</f>
        <v>CM</v>
      </c>
      <c r="T94" s="30" t="str">
        <f>VLOOKUP(N94,'Data - Employee Rights Master'!$C$3:$D$32,2,0)</f>
        <v>CFO</v>
      </c>
      <c r="U94" s="41" t="str">
        <f t="shared" si="7"/>
        <v>PASS</v>
      </c>
      <c r="V94" s="41" t="str">
        <f t="shared" si="8"/>
        <v>PASS</v>
      </c>
      <c r="W94" s="30" t="str">
        <f t="shared" si="9"/>
        <v>2021</v>
      </c>
      <c r="X94" s="30" t="str">
        <f>VLOOKUP(MONTH(G94),Key!$F$3:$G$14,2,0)</f>
        <v>Jul</v>
      </c>
      <c r="Y94" s="30" t="str">
        <f>IFERROR(IF(MATCH(F94,'Test 6'!C$5:C$9,0)&gt;0,"RP"),"NON-RP")</f>
        <v>NON-RP</v>
      </c>
    </row>
    <row r="95" spans="2:25" x14ac:dyDescent="0.5">
      <c r="B95" s="30">
        <v>91</v>
      </c>
      <c r="C95" s="30" t="s">
        <v>260</v>
      </c>
      <c r="D95" s="31">
        <v>202191</v>
      </c>
      <c r="E95" s="30" t="s">
        <v>261</v>
      </c>
      <c r="F95" s="53" t="s">
        <v>262</v>
      </c>
      <c r="G95" s="32">
        <v>44032</v>
      </c>
      <c r="H95" s="33">
        <v>0.58673078924772792</v>
      </c>
      <c r="I95" s="30" t="s">
        <v>216</v>
      </c>
      <c r="J95" s="34">
        <v>448330</v>
      </c>
      <c r="K95" s="35" t="s">
        <v>17</v>
      </c>
      <c r="L95" s="36">
        <v>80699.399999999994</v>
      </c>
      <c r="M95" s="30" t="s">
        <v>37</v>
      </c>
      <c r="N95" s="30" t="s">
        <v>19</v>
      </c>
      <c r="O95" s="30" t="s">
        <v>1542</v>
      </c>
      <c r="P95" s="30" t="s">
        <v>1542</v>
      </c>
      <c r="Q95" s="30" t="str">
        <f t="shared" si="5"/>
        <v>AM</v>
      </c>
      <c r="R95" s="30" t="str">
        <f t="shared" si="6"/>
        <v>DM</v>
      </c>
      <c r="S95" s="30" t="str">
        <f>VLOOKUP(M95,'Data - Employee Rights Master'!$C$3:$D$32,2,0)</f>
        <v>AM</v>
      </c>
      <c r="T95" s="30" t="str">
        <f>VLOOKUP(N95,'Data - Employee Rights Master'!$C$3:$D$32,2,0)</f>
        <v>DM</v>
      </c>
      <c r="U95" s="41" t="str">
        <f t="shared" si="7"/>
        <v>PASS</v>
      </c>
      <c r="V95" s="41" t="str">
        <f t="shared" si="8"/>
        <v>NA</v>
      </c>
      <c r="W95" s="30" t="str">
        <f t="shared" si="9"/>
        <v>2021</v>
      </c>
      <c r="X95" s="30" t="str">
        <f>VLOOKUP(MONTH(G95),Key!$F$3:$G$14,2,0)</f>
        <v>Jul</v>
      </c>
      <c r="Y95" s="30" t="str">
        <f>IFERROR(IF(MATCH(F95,'Test 6'!C$5:C$9,0)&gt;0,"RP"),"NON-RP")</f>
        <v>NON-RP</v>
      </c>
    </row>
    <row r="96" spans="2:25" x14ac:dyDescent="0.5">
      <c r="B96" s="30">
        <v>92</v>
      </c>
      <c r="C96" s="30" t="s">
        <v>263</v>
      </c>
      <c r="D96" s="31">
        <v>202192</v>
      </c>
      <c r="E96" s="30" t="s">
        <v>264</v>
      </c>
      <c r="F96" s="53" t="s">
        <v>143</v>
      </c>
      <c r="G96" s="32">
        <v>44034</v>
      </c>
      <c r="H96" s="33">
        <v>0.54831473226597405</v>
      </c>
      <c r="I96" s="30" t="s">
        <v>216</v>
      </c>
      <c r="J96" s="34">
        <v>381310</v>
      </c>
      <c r="K96" s="35" t="s">
        <v>17</v>
      </c>
      <c r="L96" s="36">
        <v>68635.8</v>
      </c>
      <c r="M96" s="30" t="s">
        <v>61</v>
      </c>
      <c r="N96" s="30" t="s">
        <v>68</v>
      </c>
      <c r="O96" s="30" t="s">
        <v>1542</v>
      </c>
      <c r="P96" s="30" t="s">
        <v>1542</v>
      </c>
      <c r="Q96" s="30" t="str">
        <f t="shared" si="5"/>
        <v>AM</v>
      </c>
      <c r="R96" s="30" t="str">
        <f t="shared" si="6"/>
        <v>DM</v>
      </c>
      <c r="S96" s="30" t="str">
        <f>VLOOKUP(M96,'Data - Employee Rights Master'!$C$3:$D$32,2,0)</f>
        <v>AM</v>
      </c>
      <c r="T96" s="30" t="str">
        <f>VLOOKUP(N96,'Data - Employee Rights Master'!$C$3:$D$32,2,0)</f>
        <v>DM</v>
      </c>
      <c r="U96" s="41" t="str">
        <f t="shared" si="7"/>
        <v>PASS</v>
      </c>
      <c r="V96" s="41" t="str">
        <f t="shared" si="8"/>
        <v>NA</v>
      </c>
      <c r="W96" s="30" t="str">
        <f t="shared" si="9"/>
        <v>2021</v>
      </c>
      <c r="X96" s="30" t="str">
        <f>VLOOKUP(MONTH(G96),Key!$F$3:$G$14,2,0)</f>
        <v>Jul</v>
      </c>
      <c r="Y96" s="30" t="str">
        <f>IFERROR(IF(MATCH(F96,'Test 6'!C$5:C$9,0)&gt;0,"RP"),"NON-RP")</f>
        <v>NON-RP</v>
      </c>
    </row>
    <row r="97" spans="2:25" x14ac:dyDescent="0.5">
      <c r="B97" s="30">
        <v>93</v>
      </c>
      <c r="C97" s="30" t="s">
        <v>265</v>
      </c>
      <c r="D97" s="31">
        <v>202193</v>
      </c>
      <c r="E97" s="30" t="s">
        <v>266</v>
      </c>
      <c r="F97" s="53" t="s">
        <v>175</v>
      </c>
      <c r="G97" s="32">
        <v>44035</v>
      </c>
      <c r="H97" s="33">
        <v>0.66850326172122032</v>
      </c>
      <c r="I97" s="30" t="s">
        <v>216</v>
      </c>
      <c r="J97" s="34">
        <v>35360</v>
      </c>
      <c r="K97" s="35" t="s">
        <v>17</v>
      </c>
      <c r="L97" s="36">
        <v>6364.8</v>
      </c>
      <c r="M97" s="30" t="s">
        <v>31</v>
      </c>
      <c r="N97" s="30" t="s">
        <v>32</v>
      </c>
      <c r="O97" s="30" t="s">
        <v>1542</v>
      </c>
      <c r="P97" s="30" t="s">
        <v>1542</v>
      </c>
      <c r="Q97" s="30" t="str">
        <f t="shared" si="5"/>
        <v>SE</v>
      </c>
      <c r="R97" s="30" t="str">
        <f t="shared" si="6"/>
        <v>AM</v>
      </c>
      <c r="S97" s="30" t="str">
        <f>VLOOKUP(M97,'Data - Employee Rights Master'!$C$3:$D$32,2,0)</f>
        <v>SE</v>
      </c>
      <c r="T97" s="30" t="str">
        <f>VLOOKUP(N97,'Data - Employee Rights Master'!$C$3:$D$32,2,0)</f>
        <v>AM</v>
      </c>
      <c r="U97" s="41" t="str">
        <f t="shared" si="7"/>
        <v>PASS</v>
      </c>
      <c r="V97" s="41" t="str">
        <f t="shared" si="8"/>
        <v>NA</v>
      </c>
      <c r="W97" s="30" t="str">
        <f t="shared" si="9"/>
        <v>2021</v>
      </c>
      <c r="X97" s="30" t="str">
        <f>VLOOKUP(MONTH(G97),Key!$F$3:$G$14,2,0)</f>
        <v>Jul</v>
      </c>
      <c r="Y97" s="30" t="str">
        <f>IFERROR(IF(MATCH(F97,'Test 6'!C$5:C$9,0)&gt;0,"RP"),"NON-RP")</f>
        <v>NON-RP</v>
      </c>
    </row>
    <row r="98" spans="2:25" x14ac:dyDescent="0.5">
      <c r="B98" s="30">
        <v>94</v>
      </c>
      <c r="C98" s="30" t="s">
        <v>267</v>
      </c>
      <c r="D98" s="31">
        <v>202194</v>
      </c>
      <c r="E98" s="30" t="s">
        <v>268</v>
      </c>
      <c r="F98" s="53" t="s">
        <v>269</v>
      </c>
      <c r="G98" s="32">
        <v>44039</v>
      </c>
      <c r="H98" s="33">
        <v>0.52577043318069383</v>
      </c>
      <c r="I98" s="30" t="s">
        <v>216</v>
      </c>
      <c r="J98" s="34">
        <v>336830</v>
      </c>
      <c r="K98" s="35" t="s">
        <v>17</v>
      </c>
      <c r="L98" s="36">
        <v>60629.399999999994</v>
      </c>
      <c r="M98" s="30" t="s">
        <v>61</v>
      </c>
      <c r="N98" s="30" t="s">
        <v>68</v>
      </c>
      <c r="O98" s="30" t="s">
        <v>1542</v>
      </c>
      <c r="P98" s="30" t="s">
        <v>1542</v>
      </c>
      <c r="Q98" s="30" t="str">
        <f t="shared" si="5"/>
        <v>AM</v>
      </c>
      <c r="R98" s="30" t="str">
        <f t="shared" si="6"/>
        <v>DM</v>
      </c>
      <c r="S98" s="30" t="str">
        <f>VLOOKUP(M98,'Data - Employee Rights Master'!$C$3:$D$32,2,0)</f>
        <v>AM</v>
      </c>
      <c r="T98" s="30" t="str">
        <f>VLOOKUP(N98,'Data - Employee Rights Master'!$C$3:$D$32,2,0)</f>
        <v>DM</v>
      </c>
      <c r="U98" s="41" t="str">
        <f t="shared" si="7"/>
        <v>PASS</v>
      </c>
      <c r="V98" s="41" t="str">
        <f t="shared" si="8"/>
        <v>NA</v>
      </c>
      <c r="W98" s="30" t="str">
        <f t="shared" si="9"/>
        <v>2021</v>
      </c>
      <c r="X98" s="30" t="str">
        <f>VLOOKUP(MONTH(G98),Key!$F$3:$G$14,2,0)</f>
        <v>Jul</v>
      </c>
      <c r="Y98" s="30" t="str">
        <f>IFERROR(IF(MATCH(F98,'Test 6'!C$5:C$9,0)&gt;0,"RP"),"NON-RP")</f>
        <v>NON-RP</v>
      </c>
    </row>
    <row r="99" spans="2:25" x14ac:dyDescent="0.5">
      <c r="B99" s="30">
        <v>95</v>
      </c>
      <c r="C99" s="30" t="s">
        <v>270</v>
      </c>
      <c r="D99" s="31">
        <v>202195</v>
      </c>
      <c r="E99" s="30" t="s">
        <v>271</v>
      </c>
      <c r="F99" s="53" t="s">
        <v>272</v>
      </c>
      <c r="G99" s="32">
        <v>44040</v>
      </c>
      <c r="H99" s="33">
        <v>0.52475885769356267</v>
      </c>
      <c r="I99" s="30" t="s">
        <v>216</v>
      </c>
      <c r="J99" s="34">
        <v>452640</v>
      </c>
      <c r="K99" s="35" t="s">
        <v>17</v>
      </c>
      <c r="L99" s="36">
        <v>81475.199999999997</v>
      </c>
      <c r="M99" s="30" t="s">
        <v>46</v>
      </c>
      <c r="N99" s="30" t="s">
        <v>51</v>
      </c>
      <c r="O99" s="30" t="s">
        <v>1542</v>
      </c>
      <c r="P99" s="30" t="s">
        <v>1542</v>
      </c>
      <c r="Q99" s="30" t="str">
        <f t="shared" si="5"/>
        <v>AM</v>
      </c>
      <c r="R99" s="30" t="str">
        <f t="shared" si="6"/>
        <v>DM</v>
      </c>
      <c r="S99" s="30" t="str">
        <f>VLOOKUP(M99,'Data - Employee Rights Master'!$C$3:$D$32,2,0)</f>
        <v>AM</v>
      </c>
      <c r="T99" s="30" t="str">
        <f>VLOOKUP(N99,'Data - Employee Rights Master'!$C$3:$D$32,2,0)</f>
        <v>DM</v>
      </c>
      <c r="U99" s="41" t="str">
        <f t="shared" si="7"/>
        <v>PASS</v>
      </c>
      <c r="V99" s="41" t="str">
        <f t="shared" si="8"/>
        <v>NA</v>
      </c>
      <c r="W99" s="30" t="str">
        <f t="shared" si="9"/>
        <v>2021</v>
      </c>
      <c r="X99" s="30" t="str">
        <f>VLOOKUP(MONTH(G99),Key!$F$3:$G$14,2,0)</f>
        <v>Jul</v>
      </c>
      <c r="Y99" s="30" t="str">
        <f>IFERROR(IF(MATCH(F99,'Test 6'!C$5:C$9,0)&gt;0,"RP"),"NON-RP")</f>
        <v>NON-RP</v>
      </c>
    </row>
    <row r="100" spans="2:25" x14ac:dyDescent="0.5">
      <c r="B100" s="30">
        <v>96</v>
      </c>
      <c r="C100" s="30" t="s">
        <v>273</v>
      </c>
      <c r="D100" s="31">
        <v>202196</v>
      </c>
      <c r="E100" s="30" t="s">
        <v>274</v>
      </c>
      <c r="F100" s="53" t="s">
        <v>81</v>
      </c>
      <c r="G100" s="32">
        <v>44041</v>
      </c>
      <c r="H100" s="33">
        <v>0.42209357047579232</v>
      </c>
      <c r="I100" s="30" t="s">
        <v>216</v>
      </c>
      <c r="J100" s="34">
        <v>363210</v>
      </c>
      <c r="K100" s="35" t="s">
        <v>17</v>
      </c>
      <c r="L100" s="36">
        <v>65377.799999999996</v>
      </c>
      <c r="M100" s="30" t="s">
        <v>18</v>
      </c>
      <c r="N100" s="30" t="s">
        <v>51</v>
      </c>
      <c r="O100" s="30" t="s">
        <v>1542</v>
      </c>
      <c r="P100" s="30" t="s">
        <v>1542</v>
      </c>
      <c r="Q100" s="30" t="str">
        <f t="shared" si="5"/>
        <v>AM</v>
      </c>
      <c r="R100" s="30" t="str">
        <f t="shared" si="6"/>
        <v>DM</v>
      </c>
      <c r="S100" s="30" t="str">
        <f>VLOOKUP(M100,'Data - Employee Rights Master'!$C$3:$D$32,2,0)</f>
        <v>AM</v>
      </c>
      <c r="T100" s="30" t="str">
        <f>VLOOKUP(N100,'Data - Employee Rights Master'!$C$3:$D$32,2,0)</f>
        <v>DM</v>
      </c>
      <c r="U100" s="41" t="str">
        <f t="shared" si="7"/>
        <v>PASS</v>
      </c>
      <c r="V100" s="41" t="str">
        <f t="shared" si="8"/>
        <v>NA</v>
      </c>
      <c r="W100" s="30" t="str">
        <f t="shared" si="9"/>
        <v>2021</v>
      </c>
      <c r="X100" s="30" t="str">
        <f>VLOOKUP(MONTH(G100),Key!$F$3:$G$14,2,0)</f>
        <v>Jul</v>
      </c>
      <c r="Y100" s="30" t="str">
        <f>IFERROR(IF(MATCH(F100,'Test 6'!C$5:C$9,0)&gt;0,"RP"),"NON-RP")</f>
        <v>NON-RP</v>
      </c>
    </row>
    <row r="101" spans="2:25" x14ac:dyDescent="0.5">
      <c r="B101" s="30">
        <v>97</v>
      </c>
      <c r="C101" s="30" t="s">
        <v>275</v>
      </c>
      <c r="D101" s="31">
        <v>202197</v>
      </c>
      <c r="E101" s="30" t="s">
        <v>276</v>
      </c>
      <c r="F101" s="53" t="s">
        <v>95</v>
      </c>
      <c r="G101" s="32">
        <v>44044</v>
      </c>
      <c r="H101" s="33">
        <v>0.71820706020096714</v>
      </c>
      <c r="I101" s="30" t="s">
        <v>277</v>
      </c>
      <c r="J101" s="34">
        <v>459610</v>
      </c>
      <c r="K101" s="35" t="s">
        <v>17</v>
      </c>
      <c r="L101" s="36">
        <v>82729.8</v>
      </c>
      <c r="M101" s="30" t="s">
        <v>61</v>
      </c>
      <c r="N101" s="30" t="s">
        <v>19</v>
      </c>
      <c r="O101" s="30" t="s">
        <v>1542</v>
      </c>
      <c r="P101" s="30" t="s">
        <v>1542</v>
      </c>
      <c r="Q101" s="30" t="str">
        <f t="shared" si="5"/>
        <v>AM</v>
      </c>
      <c r="R101" s="30" t="str">
        <f t="shared" si="6"/>
        <v>DM</v>
      </c>
      <c r="S101" s="30" t="str">
        <f>VLOOKUP(M101,'Data - Employee Rights Master'!$C$3:$D$32,2,0)</f>
        <v>AM</v>
      </c>
      <c r="T101" s="30" t="str">
        <f>VLOOKUP(N101,'Data - Employee Rights Master'!$C$3:$D$32,2,0)</f>
        <v>DM</v>
      </c>
      <c r="U101" s="41" t="str">
        <f t="shared" si="7"/>
        <v>PASS</v>
      </c>
      <c r="V101" s="41" t="str">
        <f t="shared" si="8"/>
        <v>NA</v>
      </c>
      <c r="W101" s="30" t="str">
        <f t="shared" si="9"/>
        <v>2021</v>
      </c>
      <c r="X101" s="30" t="str">
        <f>VLOOKUP(MONTH(G101),Key!$F$3:$G$14,2,0)</f>
        <v>Aug</v>
      </c>
      <c r="Y101" s="30" t="str">
        <f>IFERROR(IF(MATCH(F101,'Test 6'!C$5:C$9,0)&gt;0,"RP"),"NON-RP")</f>
        <v>NON-RP</v>
      </c>
    </row>
    <row r="102" spans="2:25" x14ac:dyDescent="0.5">
      <c r="B102" s="30">
        <v>98</v>
      </c>
      <c r="C102" s="30" t="s">
        <v>278</v>
      </c>
      <c r="D102" s="31">
        <v>202198</v>
      </c>
      <c r="E102" s="30" t="s">
        <v>279</v>
      </c>
      <c r="F102" s="53" t="s">
        <v>195</v>
      </c>
      <c r="G102" s="32">
        <v>44046</v>
      </c>
      <c r="H102" s="33">
        <v>0.56031328012783377</v>
      </c>
      <c r="I102" s="30" t="s">
        <v>277</v>
      </c>
      <c r="J102" s="34">
        <v>468940</v>
      </c>
      <c r="K102" s="35" t="s">
        <v>17</v>
      </c>
      <c r="L102" s="36">
        <v>84409.2</v>
      </c>
      <c r="M102" s="30" t="s">
        <v>28</v>
      </c>
      <c r="N102" s="30" t="s">
        <v>24</v>
      </c>
      <c r="O102" s="30" t="s">
        <v>1542</v>
      </c>
      <c r="P102" s="30" t="s">
        <v>1542</v>
      </c>
      <c r="Q102" s="30" t="str">
        <f t="shared" si="5"/>
        <v>AM</v>
      </c>
      <c r="R102" s="30" t="str">
        <f t="shared" si="6"/>
        <v>DM</v>
      </c>
      <c r="S102" s="30" t="str">
        <f>VLOOKUP(M102,'Data - Employee Rights Master'!$C$3:$D$32,2,0)</f>
        <v>AM</v>
      </c>
      <c r="T102" s="30" t="str">
        <f>VLOOKUP(N102,'Data - Employee Rights Master'!$C$3:$D$32,2,0)</f>
        <v>DM</v>
      </c>
      <c r="U102" s="41" t="str">
        <f t="shared" si="7"/>
        <v>PASS</v>
      </c>
      <c r="V102" s="41" t="str">
        <f t="shared" si="8"/>
        <v>NA</v>
      </c>
      <c r="W102" s="30" t="str">
        <f t="shared" si="9"/>
        <v>2021</v>
      </c>
      <c r="X102" s="30" t="str">
        <f>VLOOKUP(MONTH(G102),Key!$F$3:$G$14,2,0)</f>
        <v>Aug</v>
      </c>
      <c r="Y102" s="30" t="str">
        <f>IFERROR(IF(MATCH(F102,'Test 6'!C$5:C$9,0)&gt;0,"RP"),"NON-RP")</f>
        <v>NON-RP</v>
      </c>
    </row>
    <row r="103" spans="2:25" x14ac:dyDescent="0.5">
      <c r="B103" s="30">
        <v>99</v>
      </c>
      <c r="C103" s="30" t="s">
        <v>280</v>
      </c>
      <c r="D103" s="31">
        <v>202199</v>
      </c>
      <c r="E103" s="30" t="s">
        <v>281</v>
      </c>
      <c r="F103" s="53" t="s">
        <v>87</v>
      </c>
      <c r="G103" s="32">
        <v>44046</v>
      </c>
      <c r="H103" s="33">
        <v>0.56127550017079753</v>
      </c>
      <c r="I103" s="30" t="s">
        <v>277</v>
      </c>
      <c r="J103" s="34">
        <v>386980</v>
      </c>
      <c r="K103" s="35" t="s">
        <v>17</v>
      </c>
      <c r="L103" s="36">
        <v>69656.399999999994</v>
      </c>
      <c r="M103" s="30" t="s">
        <v>18</v>
      </c>
      <c r="N103" s="30" t="s">
        <v>24</v>
      </c>
      <c r="O103" s="30" t="s">
        <v>1542</v>
      </c>
      <c r="P103" s="30" t="s">
        <v>1542</v>
      </c>
      <c r="Q103" s="30" t="str">
        <f t="shared" si="5"/>
        <v>AM</v>
      </c>
      <c r="R103" s="30" t="str">
        <f t="shared" si="6"/>
        <v>DM</v>
      </c>
      <c r="S103" s="30" t="str">
        <f>VLOOKUP(M103,'Data - Employee Rights Master'!$C$3:$D$32,2,0)</f>
        <v>AM</v>
      </c>
      <c r="T103" s="30" t="str">
        <f>VLOOKUP(N103,'Data - Employee Rights Master'!$C$3:$D$32,2,0)</f>
        <v>DM</v>
      </c>
      <c r="U103" s="41" t="str">
        <f t="shared" si="7"/>
        <v>PASS</v>
      </c>
      <c r="V103" s="41" t="str">
        <f t="shared" si="8"/>
        <v>NA</v>
      </c>
      <c r="W103" s="30" t="str">
        <f t="shared" si="9"/>
        <v>2021</v>
      </c>
      <c r="X103" s="30" t="str">
        <f>VLOOKUP(MONTH(G103),Key!$F$3:$G$14,2,0)</f>
        <v>Aug</v>
      </c>
      <c r="Y103" s="30" t="str">
        <f>IFERROR(IF(MATCH(F103,'Test 6'!C$5:C$9,0)&gt;0,"RP"),"NON-RP")</f>
        <v>NON-RP</v>
      </c>
    </row>
    <row r="104" spans="2:25" x14ac:dyDescent="0.5">
      <c r="B104" s="30">
        <v>100</v>
      </c>
      <c r="C104" s="30" t="s">
        <v>282</v>
      </c>
      <c r="D104" s="31">
        <v>2021100</v>
      </c>
      <c r="E104" s="30" t="s">
        <v>283</v>
      </c>
      <c r="F104" s="53" t="s">
        <v>269</v>
      </c>
      <c r="G104" s="32">
        <v>44048</v>
      </c>
      <c r="H104" s="33">
        <v>0.49357746392167567</v>
      </c>
      <c r="I104" s="30" t="s">
        <v>277</v>
      </c>
      <c r="J104" s="34">
        <v>384860</v>
      </c>
      <c r="K104" s="35" t="s">
        <v>17</v>
      </c>
      <c r="L104" s="36">
        <v>69274.8</v>
      </c>
      <c r="M104" s="30" t="s">
        <v>28</v>
      </c>
      <c r="N104" s="30" t="s">
        <v>19</v>
      </c>
      <c r="O104" s="30" t="s">
        <v>1542</v>
      </c>
      <c r="P104" s="30" t="s">
        <v>1542</v>
      </c>
      <c r="Q104" s="30" t="str">
        <f t="shared" si="5"/>
        <v>AM</v>
      </c>
      <c r="R104" s="30" t="str">
        <f t="shared" si="6"/>
        <v>DM</v>
      </c>
      <c r="S104" s="30" t="str">
        <f>VLOOKUP(M104,'Data - Employee Rights Master'!$C$3:$D$32,2,0)</f>
        <v>AM</v>
      </c>
      <c r="T104" s="30" t="str">
        <f>VLOOKUP(N104,'Data - Employee Rights Master'!$C$3:$D$32,2,0)</f>
        <v>DM</v>
      </c>
      <c r="U104" s="41" t="str">
        <f t="shared" si="7"/>
        <v>PASS</v>
      </c>
      <c r="V104" s="41" t="str">
        <f t="shared" si="8"/>
        <v>NA</v>
      </c>
      <c r="W104" s="30" t="str">
        <f t="shared" si="9"/>
        <v>2021</v>
      </c>
      <c r="X104" s="30" t="str">
        <f>VLOOKUP(MONTH(G104),Key!$F$3:$G$14,2,0)</f>
        <v>Aug</v>
      </c>
      <c r="Y104" s="30" t="str">
        <f>IFERROR(IF(MATCH(F104,'Test 6'!C$5:C$9,0)&gt;0,"RP"),"NON-RP")</f>
        <v>NON-RP</v>
      </c>
    </row>
    <row r="105" spans="2:25" x14ac:dyDescent="0.5">
      <c r="B105" s="30">
        <v>101</v>
      </c>
      <c r="C105" s="30" t="s">
        <v>284</v>
      </c>
      <c r="D105" s="31">
        <v>2021101</v>
      </c>
      <c r="E105" s="30" t="s">
        <v>285</v>
      </c>
      <c r="F105" s="53" t="s">
        <v>238</v>
      </c>
      <c r="G105" s="32">
        <v>44050</v>
      </c>
      <c r="H105" s="33">
        <v>0.54819077880189737</v>
      </c>
      <c r="I105" s="30" t="s">
        <v>216</v>
      </c>
      <c r="J105" s="34">
        <v>476490</v>
      </c>
      <c r="K105" s="35" t="s">
        <v>17</v>
      </c>
      <c r="L105" s="36">
        <v>85768.2</v>
      </c>
      <c r="M105" s="30" t="s">
        <v>46</v>
      </c>
      <c r="N105" s="30" t="s">
        <v>24</v>
      </c>
      <c r="O105" s="30" t="s">
        <v>1542</v>
      </c>
      <c r="P105" s="30" t="s">
        <v>1542</v>
      </c>
      <c r="Q105" s="30" t="str">
        <f t="shared" si="5"/>
        <v>AM</v>
      </c>
      <c r="R105" s="30" t="str">
        <f t="shared" si="6"/>
        <v>DM</v>
      </c>
      <c r="S105" s="30" t="str">
        <f>VLOOKUP(M105,'Data - Employee Rights Master'!$C$3:$D$32,2,0)</f>
        <v>AM</v>
      </c>
      <c r="T105" s="30" t="str">
        <f>VLOOKUP(N105,'Data - Employee Rights Master'!$C$3:$D$32,2,0)</f>
        <v>DM</v>
      </c>
      <c r="U105" s="41" t="str">
        <f t="shared" si="7"/>
        <v>PASS</v>
      </c>
      <c r="V105" s="41" t="str">
        <f t="shared" si="8"/>
        <v>NA</v>
      </c>
      <c r="W105" s="30" t="str">
        <f t="shared" si="9"/>
        <v>2021</v>
      </c>
      <c r="X105" s="30" t="str">
        <f>VLOOKUP(MONTH(G105),Key!$F$3:$G$14,2,0)</f>
        <v>Aug</v>
      </c>
      <c r="Y105" s="30" t="str">
        <f>IFERROR(IF(MATCH(F105,'Test 6'!C$5:C$9,0)&gt;0,"RP"),"NON-RP")</f>
        <v>NON-RP</v>
      </c>
    </row>
    <row r="106" spans="2:25" x14ac:dyDescent="0.5">
      <c r="B106" s="30">
        <v>102</v>
      </c>
      <c r="C106" s="30" t="s">
        <v>286</v>
      </c>
      <c r="D106" s="31">
        <v>2021102</v>
      </c>
      <c r="E106" s="30" t="s">
        <v>287</v>
      </c>
      <c r="F106" s="53" t="s">
        <v>111</v>
      </c>
      <c r="G106" s="32">
        <v>44055</v>
      </c>
      <c r="H106" s="33">
        <v>0.58740410289886125</v>
      </c>
      <c r="I106" s="30" t="s">
        <v>277</v>
      </c>
      <c r="J106" s="34">
        <v>221320</v>
      </c>
      <c r="K106" s="35" t="s">
        <v>17</v>
      </c>
      <c r="L106" s="36">
        <v>39837.599999999999</v>
      </c>
      <c r="M106" s="30" t="s">
        <v>23</v>
      </c>
      <c r="N106" s="30" t="s">
        <v>47</v>
      </c>
      <c r="O106" s="30" t="s">
        <v>1542</v>
      </c>
      <c r="P106" s="30" t="s">
        <v>1542</v>
      </c>
      <c r="Q106" s="30" t="str">
        <f t="shared" si="5"/>
        <v>AM</v>
      </c>
      <c r="R106" s="30" t="str">
        <f t="shared" si="6"/>
        <v>DM</v>
      </c>
      <c r="S106" s="30" t="str">
        <f>VLOOKUP(M106,'Data - Employee Rights Master'!$C$3:$D$32,2,0)</f>
        <v>AM</v>
      </c>
      <c r="T106" s="30" t="str">
        <f>VLOOKUP(N106,'Data - Employee Rights Master'!$C$3:$D$32,2,0)</f>
        <v>DM</v>
      </c>
      <c r="U106" s="41" t="str">
        <f t="shared" si="7"/>
        <v>PASS</v>
      </c>
      <c r="V106" s="41" t="str">
        <f t="shared" si="8"/>
        <v>NA</v>
      </c>
      <c r="W106" s="30" t="str">
        <f t="shared" si="9"/>
        <v>2021</v>
      </c>
      <c r="X106" s="30" t="str">
        <f>VLOOKUP(MONTH(G106),Key!$F$3:$G$14,2,0)</f>
        <v>Aug</v>
      </c>
      <c r="Y106" s="30" t="str">
        <f>IFERROR(IF(MATCH(F106,'Test 6'!C$5:C$9,0)&gt;0,"RP"),"NON-RP")</f>
        <v>RP</v>
      </c>
    </row>
    <row r="107" spans="2:25" x14ac:dyDescent="0.5">
      <c r="B107" s="30">
        <v>103</v>
      </c>
      <c r="C107" s="30" t="s">
        <v>288</v>
      </c>
      <c r="D107" s="31">
        <v>2021103</v>
      </c>
      <c r="E107" s="30" t="s">
        <v>289</v>
      </c>
      <c r="F107" s="53" t="s">
        <v>290</v>
      </c>
      <c r="G107" s="32">
        <v>44057</v>
      </c>
      <c r="H107" s="33">
        <v>0.44845496494898696</v>
      </c>
      <c r="I107" s="30" t="s">
        <v>277</v>
      </c>
      <c r="J107" s="34">
        <v>361170</v>
      </c>
      <c r="K107" s="35" t="s">
        <v>17</v>
      </c>
      <c r="L107" s="36">
        <v>65010.6</v>
      </c>
      <c r="M107" s="30" t="s">
        <v>23</v>
      </c>
      <c r="N107" s="30" t="s">
        <v>19</v>
      </c>
      <c r="O107" s="30" t="s">
        <v>1542</v>
      </c>
      <c r="P107" s="30" t="s">
        <v>1542</v>
      </c>
      <c r="Q107" s="30" t="str">
        <f t="shared" si="5"/>
        <v>AM</v>
      </c>
      <c r="R107" s="30" t="str">
        <f t="shared" si="6"/>
        <v>DM</v>
      </c>
      <c r="S107" s="30" t="str">
        <f>VLOOKUP(M107,'Data - Employee Rights Master'!$C$3:$D$32,2,0)</f>
        <v>AM</v>
      </c>
      <c r="T107" s="30" t="str">
        <f>VLOOKUP(N107,'Data - Employee Rights Master'!$C$3:$D$32,2,0)</f>
        <v>DM</v>
      </c>
      <c r="U107" s="41" t="str">
        <f t="shared" si="7"/>
        <v>PASS</v>
      </c>
      <c r="V107" s="41" t="str">
        <f t="shared" si="8"/>
        <v>NA</v>
      </c>
      <c r="W107" s="30" t="str">
        <f t="shared" si="9"/>
        <v>2021</v>
      </c>
      <c r="X107" s="30" t="str">
        <f>VLOOKUP(MONTH(G107),Key!$F$3:$G$14,2,0)</f>
        <v>Aug</v>
      </c>
      <c r="Y107" s="30" t="str">
        <f>IFERROR(IF(MATCH(F107,'Test 6'!C$5:C$9,0)&gt;0,"RP"),"NON-RP")</f>
        <v>NON-RP</v>
      </c>
    </row>
    <row r="108" spans="2:25" x14ac:dyDescent="0.5">
      <c r="B108" s="30">
        <v>104</v>
      </c>
      <c r="C108" s="30" t="s">
        <v>291</v>
      </c>
      <c r="D108" s="31">
        <v>2021104</v>
      </c>
      <c r="E108" s="30" t="s">
        <v>292</v>
      </c>
      <c r="F108" s="53" t="s">
        <v>293</v>
      </c>
      <c r="G108" s="32">
        <v>44060</v>
      </c>
      <c r="H108" s="33">
        <v>0.60438121987122684</v>
      </c>
      <c r="I108" s="30" t="s">
        <v>277</v>
      </c>
      <c r="J108" s="34">
        <v>468930</v>
      </c>
      <c r="K108" s="35" t="s">
        <v>17</v>
      </c>
      <c r="L108" s="36">
        <v>84407.4</v>
      </c>
      <c r="M108" s="30" t="s">
        <v>23</v>
      </c>
      <c r="N108" s="30" t="s">
        <v>51</v>
      </c>
      <c r="O108" s="30" t="s">
        <v>1542</v>
      </c>
      <c r="P108" s="30" t="s">
        <v>1542</v>
      </c>
      <c r="Q108" s="30" t="str">
        <f t="shared" si="5"/>
        <v>AM</v>
      </c>
      <c r="R108" s="30" t="str">
        <f t="shared" si="6"/>
        <v>DM</v>
      </c>
      <c r="S108" s="30" t="str">
        <f>VLOOKUP(M108,'Data - Employee Rights Master'!$C$3:$D$32,2,0)</f>
        <v>AM</v>
      </c>
      <c r="T108" s="30" t="str">
        <f>VLOOKUP(N108,'Data - Employee Rights Master'!$C$3:$D$32,2,0)</f>
        <v>DM</v>
      </c>
      <c r="U108" s="41" t="str">
        <f t="shared" si="7"/>
        <v>PASS</v>
      </c>
      <c r="V108" s="41" t="str">
        <f t="shared" si="8"/>
        <v>NA</v>
      </c>
      <c r="W108" s="30" t="str">
        <f t="shared" si="9"/>
        <v>2021</v>
      </c>
      <c r="X108" s="30" t="str">
        <f>VLOOKUP(MONTH(G108),Key!$F$3:$G$14,2,0)</f>
        <v>Aug</v>
      </c>
      <c r="Y108" s="30" t="str">
        <f>IFERROR(IF(MATCH(F108,'Test 6'!C$5:C$9,0)&gt;0,"RP"),"NON-RP")</f>
        <v>NON-RP</v>
      </c>
    </row>
    <row r="109" spans="2:25" x14ac:dyDescent="0.5">
      <c r="B109" s="30">
        <v>105</v>
      </c>
      <c r="C109" s="30" t="s">
        <v>294</v>
      </c>
      <c r="D109" s="31">
        <v>2021105</v>
      </c>
      <c r="E109" s="30" t="s">
        <v>295</v>
      </c>
      <c r="F109" s="53" t="s">
        <v>45</v>
      </c>
      <c r="G109" s="32">
        <v>44061</v>
      </c>
      <c r="H109" s="33">
        <v>0.60582536385022423</v>
      </c>
      <c r="I109" s="30" t="s">
        <v>277</v>
      </c>
      <c r="J109" s="34">
        <v>425960</v>
      </c>
      <c r="K109" s="35" t="s">
        <v>17</v>
      </c>
      <c r="L109" s="36">
        <v>76672.800000000003</v>
      </c>
      <c r="M109" s="30" t="s">
        <v>37</v>
      </c>
      <c r="N109" s="30" t="s">
        <v>51</v>
      </c>
      <c r="O109" s="30" t="s">
        <v>1542</v>
      </c>
      <c r="P109" s="30" t="s">
        <v>1542</v>
      </c>
      <c r="Q109" s="30" t="str">
        <f t="shared" si="5"/>
        <v>AM</v>
      </c>
      <c r="R109" s="30" t="str">
        <f t="shared" si="6"/>
        <v>DM</v>
      </c>
      <c r="S109" s="30" t="str">
        <f>VLOOKUP(M109,'Data - Employee Rights Master'!$C$3:$D$32,2,0)</f>
        <v>AM</v>
      </c>
      <c r="T109" s="30" t="str">
        <f>VLOOKUP(N109,'Data - Employee Rights Master'!$C$3:$D$32,2,0)</f>
        <v>DM</v>
      </c>
      <c r="U109" s="41" t="str">
        <f t="shared" si="7"/>
        <v>PASS</v>
      </c>
      <c r="V109" s="41" t="str">
        <f t="shared" si="8"/>
        <v>NA</v>
      </c>
      <c r="W109" s="30" t="str">
        <f t="shared" si="9"/>
        <v>2021</v>
      </c>
      <c r="X109" s="30" t="str">
        <f>VLOOKUP(MONTH(G109),Key!$F$3:$G$14,2,0)</f>
        <v>Aug</v>
      </c>
      <c r="Y109" s="30" t="str">
        <f>IFERROR(IF(MATCH(F109,'Test 6'!C$5:C$9,0)&gt;0,"RP"),"NON-RP")</f>
        <v>NON-RP</v>
      </c>
    </row>
    <row r="110" spans="2:25" x14ac:dyDescent="0.5">
      <c r="B110" s="30">
        <v>106</v>
      </c>
      <c r="C110" s="30" t="s">
        <v>296</v>
      </c>
      <c r="D110" s="31">
        <v>2021106</v>
      </c>
      <c r="E110" s="30" t="s">
        <v>297</v>
      </c>
      <c r="F110" s="53" t="s">
        <v>184</v>
      </c>
      <c r="G110" s="32">
        <v>44061</v>
      </c>
      <c r="H110" s="33">
        <v>0.64914195409403019</v>
      </c>
      <c r="I110" s="30" t="s">
        <v>277</v>
      </c>
      <c r="J110" s="34">
        <v>489420</v>
      </c>
      <c r="K110" s="35" t="s">
        <v>17</v>
      </c>
      <c r="L110" s="36">
        <v>88095.599999999991</v>
      </c>
      <c r="M110" s="30" t="s">
        <v>61</v>
      </c>
      <c r="N110" s="30" t="s">
        <v>24</v>
      </c>
      <c r="O110" s="30" t="s">
        <v>1542</v>
      </c>
      <c r="P110" s="30" t="s">
        <v>1542</v>
      </c>
      <c r="Q110" s="30" t="str">
        <f t="shared" si="5"/>
        <v>AM</v>
      </c>
      <c r="R110" s="30" t="str">
        <f t="shared" si="6"/>
        <v>DM</v>
      </c>
      <c r="S110" s="30" t="str">
        <f>VLOOKUP(M110,'Data - Employee Rights Master'!$C$3:$D$32,2,0)</f>
        <v>AM</v>
      </c>
      <c r="T110" s="30" t="str">
        <f>VLOOKUP(N110,'Data - Employee Rights Master'!$C$3:$D$32,2,0)</f>
        <v>DM</v>
      </c>
      <c r="U110" s="41" t="str">
        <f t="shared" si="7"/>
        <v>PASS</v>
      </c>
      <c r="V110" s="41" t="str">
        <f t="shared" si="8"/>
        <v>NA</v>
      </c>
      <c r="W110" s="30" t="str">
        <f t="shared" si="9"/>
        <v>2021</v>
      </c>
      <c r="X110" s="30" t="str">
        <f>VLOOKUP(MONTH(G110),Key!$F$3:$G$14,2,0)</f>
        <v>Aug</v>
      </c>
      <c r="Y110" s="30" t="str">
        <f>IFERROR(IF(MATCH(F110,'Test 6'!C$5:C$9,0)&gt;0,"RP"),"NON-RP")</f>
        <v>NON-RP</v>
      </c>
    </row>
    <row r="111" spans="2:25" x14ac:dyDescent="0.5">
      <c r="B111" s="30">
        <v>107</v>
      </c>
      <c r="C111" s="30" t="s">
        <v>298</v>
      </c>
      <c r="D111" s="31">
        <v>2021107</v>
      </c>
      <c r="E111" s="30" t="s">
        <v>299</v>
      </c>
      <c r="F111" s="53" t="s">
        <v>111</v>
      </c>
      <c r="G111" s="32">
        <v>44061</v>
      </c>
      <c r="H111" s="33">
        <v>0.420332776298945</v>
      </c>
      <c r="I111" s="30" t="s">
        <v>277</v>
      </c>
      <c r="J111" s="34">
        <v>487730</v>
      </c>
      <c r="K111" s="35" t="s">
        <v>17</v>
      </c>
      <c r="L111" s="36">
        <v>87791.4</v>
      </c>
      <c r="M111" s="30" t="s">
        <v>46</v>
      </c>
      <c r="N111" s="30" t="s">
        <v>47</v>
      </c>
      <c r="O111" s="30" t="s">
        <v>1542</v>
      </c>
      <c r="P111" s="30" t="s">
        <v>1542</v>
      </c>
      <c r="Q111" s="30" t="str">
        <f t="shared" si="5"/>
        <v>AM</v>
      </c>
      <c r="R111" s="30" t="str">
        <f t="shared" si="6"/>
        <v>DM</v>
      </c>
      <c r="S111" s="30" t="str">
        <f>VLOOKUP(M111,'Data - Employee Rights Master'!$C$3:$D$32,2,0)</f>
        <v>AM</v>
      </c>
      <c r="T111" s="30" t="str">
        <f>VLOOKUP(N111,'Data - Employee Rights Master'!$C$3:$D$32,2,0)</f>
        <v>DM</v>
      </c>
      <c r="U111" s="41" t="str">
        <f t="shared" si="7"/>
        <v>PASS</v>
      </c>
      <c r="V111" s="41" t="str">
        <f t="shared" si="8"/>
        <v>NA</v>
      </c>
      <c r="W111" s="30" t="str">
        <f t="shared" si="9"/>
        <v>2021</v>
      </c>
      <c r="X111" s="30" t="str">
        <f>VLOOKUP(MONTH(G111),Key!$F$3:$G$14,2,0)</f>
        <v>Aug</v>
      </c>
      <c r="Y111" s="30" t="str">
        <f>IFERROR(IF(MATCH(F111,'Test 6'!C$5:C$9,0)&gt;0,"RP"),"NON-RP")</f>
        <v>RP</v>
      </c>
    </row>
    <row r="112" spans="2:25" x14ac:dyDescent="0.5">
      <c r="B112" s="30">
        <v>108</v>
      </c>
      <c r="C112" s="30" t="s">
        <v>300</v>
      </c>
      <c r="D112" s="31">
        <v>2021108</v>
      </c>
      <c r="E112" s="30" t="s">
        <v>301</v>
      </c>
      <c r="F112" s="53" t="s">
        <v>143</v>
      </c>
      <c r="G112" s="32">
        <v>44062</v>
      </c>
      <c r="H112" s="33">
        <v>0.46780215341103354</v>
      </c>
      <c r="I112" s="30" t="s">
        <v>277</v>
      </c>
      <c r="J112" s="34">
        <v>5435440</v>
      </c>
      <c r="K112" s="35" t="s">
        <v>17</v>
      </c>
      <c r="L112" s="36">
        <v>978379.2</v>
      </c>
      <c r="M112" s="30" t="s">
        <v>41</v>
      </c>
      <c r="N112" s="30" t="s">
        <v>42</v>
      </c>
      <c r="O112" s="30" t="s">
        <v>1575</v>
      </c>
      <c r="P112" s="30" t="s">
        <v>1579</v>
      </c>
      <c r="Q112" s="30" t="str">
        <f t="shared" si="5"/>
        <v>CM</v>
      </c>
      <c r="R112" s="30" t="str">
        <f t="shared" si="6"/>
        <v>CFO</v>
      </c>
      <c r="S112" s="30" t="str">
        <f>VLOOKUP(M112,'Data - Employee Rights Master'!$C$3:$D$32,2,0)</f>
        <v>CM</v>
      </c>
      <c r="T112" s="30" t="str">
        <f>VLOOKUP(N112,'Data - Employee Rights Master'!$C$3:$D$32,2,0)</f>
        <v>CFO</v>
      </c>
      <c r="U112" s="41" t="str">
        <f t="shared" si="7"/>
        <v>PASS</v>
      </c>
      <c r="V112" s="41" t="str">
        <f t="shared" si="8"/>
        <v>PASS</v>
      </c>
      <c r="W112" s="30" t="str">
        <f t="shared" si="9"/>
        <v>2021</v>
      </c>
      <c r="X112" s="30" t="str">
        <f>VLOOKUP(MONTH(G112),Key!$F$3:$G$14,2,0)</f>
        <v>Aug</v>
      </c>
      <c r="Y112" s="30" t="str">
        <f>IFERROR(IF(MATCH(F112,'Test 6'!C$5:C$9,0)&gt;0,"RP"),"NON-RP")</f>
        <v>NON-RP</v>
      </c>
    </row>
    <row r="113" spans="2:25" x14ac:dyDescent="0.5">
      <c r="B113" s="30">
        <v>109</v>
      </c>
      <c r="C113" s="30" t="s">
        <v>302</v>
      </c>
      <c r="D113" s="31">
        <v>2021109</v>
      </c>
      <c r="E113" s="30" t="s">
        <v>303</v>
      </c>
      <c r="F113" s="53" t="s">
        <v>195</v>
      </c>
      <c r="G113" s="32">
        <v>44063</v>
      </c>
      <c r="H113" s="33">
        <v>0.58307596859039701</v>
      </c>
      <c r="I113" s="30" t="s">
        <v>277</v>
      </c>
      <c r="J113" s="34">
        <v>228310</v>
      </c>
      <c r="K113" s="35" t="s">
        <v>17</v>
      </c>
      <c r="L113" s="36">
        <v>41095.799999999996</v>
      </c>
      <c r="M113" s="30" t="s">
        <v>37</v>
      </c>
      <c r="N113" s="30" t="s">
        <v>51</v>
      </c>
      <c r="O113" s="30" t="s">
        <v>1542</v>
      </c>
      <c r="P113" s="30" t="s">
        <v>1542</v>
      </c>
      <c r="Q113" s="30" t="str">
        <f t="shared" si="5"/>
        <v>AM</v>
      </c>
      <c r="R113" s="30" t="str">
        <f t="shared" si="6"/>
        <v>DM</v>
      </c>
      <c r="S113" s="30" t="str">
        <f>VLOOKUP(M113,'Data - Employee Rights Master'!$C$3:$D$32,2,0)</f>
        <v>AM</v>
      </c>
      <c r="T113" s="30" t="str">
        <f>VLOOKUP(N113,'Data - Employee Rights Master'!$C$3:$D$32,2,0)</f>
        <v>DM</v>
      </c>
      <c r="U113" s="41" t="str">
        <f t="shared" si="7"/>
        <v>PASS</v>
      </c>
      <c r="V113" s="41" t="str">
        <f t="shared" si="8"/>
        <v>NA</v>
      </c>
      <c r="W113" s="30" t="str">
        <f t="shared" si="9"/>
        <v>2021</v>
      </c>
      <c r="X113" s="30" t="str">
        <f>VLOOKUP(MONTH(G113),Key!$F$3:$G$14,2,0)</f>
        <v>Aug</v>
      </c>
      <c r="Y113" s="30" t="str">
        <f>IFERROR(IF(MATCH(F113,'Test 6'!C$5:C$9,0)&gt;0,"RP"),"NON-RP")</f>
        <v>NON-RP</v>
      </c>
    </row>
    <row r="114" spans="2:25" x14ac:dyDescent="0.5">
      <c r="B114" s="30">
        <v>110</v>
      </c>
      <c r="C114" s="30" t="s">
        <v>304</v>
      </c>
      <c r="D114" s="31">
        <v>2021110</v>
      </c>
      <c r="E114" s="30" t="s">
        <v>305</v>
      </c>
      <c r="F114" s="53" t="s">
        <v>125</v>
      </c>
      <c r="G114" s="32">
        <v>44063</v>
      </c>
      <c r="H114" s="33">
        <v>0.5952661133261008</v>
      </c>
      <c r="I114" s="30" t="s">
        <v>277</v>
      </c>
      <c r="J114" s="34">
        <v>231130</v>
      </c>
      <c r="K114" s="35" t="s">
        <v>17</v>
      </c>
      <c r="L114" s="36">
        <v>41603.4</v>
      </c>
      <c r="M114" s="30" t="s">
        <v>61</v>
      </c>
      <c r="N114" s="30" t="s">
        <v>51</v>
      </c>
      <c r="O114" s="30" t="s">
        <v>1542</v>
      </c>
      <c r="P114" s="30" t="s">
        <v>1542</v>
      </c>
      <c r="Q114" s="30" t="str">
        <f t="shared" si="5"/>
        <v>AM</v>
      </c>
      <c r="R114" s="30" t="str">
        <f t="shared" si="6"/>
        <v>DM</v>
      </c>
      <c r="S114" s="30" t="str">
        <f>VLOOKUP(M114,'Data - Employee Rights Master'!$C$3:$D$32,2,0)</f>
        <v>AM</v>
      </c>
      <c r="T114" s="30" t="str">
        <f>VLOOKUP(N114,'Data - Employee Rights Master'!$C$3:$D$32,2,0)</f>
        <v>DM</v>
      </c>
      <c r="U114" s="41" t="str">
        <f t="shared" si="7"/>
        <v>PASS</v>
      </c>
      <c r="V114" s="41" t="str">
        <f t="shared" si="8"/>
        <v>NA</v>
      </c>
      <c r="W114" s="30" t="str">
        <f t="shared" si="9"/>
        <v>2021</v>
      </c>
      <c r="X114" s="30" t="str">
        <f>VLOOKUP(MONTH(G114),Key!$F$3:$G$14,2,0)</f>
        <v>Aug</v>
      </c>
      <c r="Y114" s="30" t="str">
        <f>IFERROR(IF(MATCH(F114,'Test 6'!C$5:C$9,0)&gt;0,"RP"),"NON-RP")</f>
        <v>NON-RP</v>
      </c>
    </row>
    <row r="115" spans="2:25" x14ac:dyDescent="0.5">
      <c r="B115" s="30">
        <v>111</v>
      </c>
      <c r="C115" s="30" t="s">
        <v>306</v>
      </c>
      <c r="D115" s="31">
        <v>2021111</v>
      </c>
      <c r="E115" s="30" t="s">
        <v>307</v>
      </c>
      <c r="F115" s="53" t="s">
        <v>308</v>
      </c>
      <c r="G115" s="32">
        <v>44063</v>
      </c>
      <c r="H115" s="33">
        <v>0.65348159963052099</v>
      </c>
      <c r="I115" s="30" t="s">
        <v>277</v>
      </c>
      <c r="J115" s="34">
        <v>309860</v>
      </c>
      <c r="K115" s="35" t="s">
        <v>17</v>
      </c>
      <c r="L115" s="36">
        <v>55774.799999999996</v>
      </c>
      <c r="M115" s="30" t="s">
        <v>28</v>
      </c>
      <c r="N115" s="30" t="s">
        <v>19</v>
      </c>
      <c r="O115" s="30" t="s">
        <v>1542</v>
      </c>
      <c r="P115" s="30" t="s">
        <v>1542</v>
      </c>
      <c r="Q115" s="30" t="str">
        <f t="shared" si="5"/>
        <v>AM</v>
      </c>
      <c r="R115" s="30" t="str">
        <f t="shared" si="6"/>
        <v>DM</v>
      </c>
      <c r="S115" s="30" t="str">
        <f>VLOOKUP(M115,'Data - Employee Rights Master'!$C$3:$D$32,2,0)</f>
        <v>AM</v>
      </c>
      <c r="T115" s="30" t="str">
        <f>VLOOKUP(N115,'Data - Employee Rights Master'!$C$3:$D$32,2,0)</f>
        <v>DM</v>
      </c>
      <c r="U115" s="41" t="str">
        <f t="shared" si="7"/>
        <v>PASS</v>
      </c>
      <c r="V115" s="41" t="str">
        <f t="shared" si="8"/>
        <v>NA</v>
      </c>
      <c r="W115" s="30" t="str">
        <f t="shared" si="9"/>
        <v>2021</v>
      </c>
      <c r="X115" s="30" t="str">
        <f>VLOOKUP(MONTH(G115),Key!$F$3:$G$14,2,0)</f>
        <v>Aug</v>
      </c>
      <c r="Y115" s="30" t="str">
        <f>IFERROR(IF(MATCH(F115,'Test 6'!C$5:C$9,0)&gt;0,"RP"),"NON-RP")</f>
        <v>RP</v>
      </c>
    </row>
    <row r="116" spans="2:25" x14ac:dyDescent="0.5">
      <c r="B116" s="30">
        <v>112</v>
      </c>
      <c r="C116" s="30" t="s">
        <v>309</v>
      </c>
      <c r="D116" s="31">
        <v>2021112</v>
      </c>
      <c r="E116" s="30" t="s">
        <v>310</v>
      </c>
      <c r="F116" s="53" t="s">
        <v>45</v>
      </c>
      <c r="G116" s="32">
        <v>44069</v>
      </c>
      <c r="H116" s="33">
        <v>0.51823771819696396</v>
      </c>
      <c r="I116" s="30" t="s">
        <v>277</v>
      </c>
      <c r="J116" s="34">
        <v>469290</v>
      </c>
      <c r="K116" s="35" t="s">
        <v>17</v>
      </c>
      <c r="L116" s="36">
        <v>84472.2</v>
      </c>
      <c r="M116" s="30" t="s">
        <v>32</v>
      </c>
      <c r="N116" s="30" t="s">
        <v>68</v>
      </c>
      <c r="O116" s="30" t="s">
        <v>1542</v>
      </c>
      <c r="P116" s="30" t="s">
        <v>1542</v>
      </c>
      <c r="Q116" s="30" t="str">
        <f t="shared" si="5"/>
        <v>AM</v>
      </c>
      <c r="R116" s="30" t="str">
        <f t="shared" si="6"/>
        <v>DM</v>
      </c>
      <c r="S116" s="30" t="str">
        <f>VLOOKUP(M116,'Data - Employee Rights Master'!$C$3:$D$32,2,0)</f>
        <v>AM</v>
      </c>
      <c r="T116" s="30" t="str">
        <f>VLOOKUP(N116,'Data - Employee Rights Master'!$C$3:$D$32,2,0)</f>
        <v>DM</v>
      </c>
      <c r="U116" s="41" t="str">
        <f t="shared" si="7"/>
        <v>PASS</v>
      </c>
      <c r="V116" s="41" t="str">
        <f t="shared" si="8"/>
        <v>NA</v>
      </c>
      <c r="W116" s="30" t="str">
        <f t="shared" si="9"/>
        <v>2021</v>
      </c>
      <c r="X116" s="30" t="str">
        <f>VLOOKUP(MONTH(G116),Key!$F$3:$G$14,2,0)</f>
        <v>Aug</v>
      </c>
      <c r="Y116" s="30" t="str">
        <f>IFERROR(IF(MATCH(F116,'Test 6'!C$5:C$9,0)&gt;0,"RP"),"NON-RP")</f>
        <v>NON-RP</v>
      </c>
    </row>
    <row r="117" spans="2:25" x14ac:dyDescent="0.5">
      <c r="B117" s="30">
        <v>113</v>
      </c>
      <c r="C117" s="30" t="s">
        <v>311</v>
      </c>
      <c r="D117" s="31">
        <v>2021113</v>
      </c>
      <c r="E117" s="30" t="s">
        <v>312</v>
      </c>
      <c r="F117" s="53" t="s">
        <v>122</v>
      </c>
      <c r="G117" s="32">
        <v>44069</v>
      </c>
      <c r="H117" s="33">
        <v>0.7025837973067679</v>
      </c>
      <c r="I117" s="30" t="s">
        <v>277</v>
      </c>
      <c r="J117" s="34">
        <v>485210</v>
      </c>
      <c r="K117" s="35" t="s">
        <v>17</v>
      </c>
      <c r="L117" s="36">
        <v>87337.8</v>
      </c>
      <c r="M117" s="30" t="s">
        <v>32</v>
      </c>
      <c r="N117" s="30" t="s">
        <v>51</v>
      </c>
      <c r="O117" s="30" t="s">
        <v>1542</v>
      </c>
      <c r="P117" s="30" t="s">
        <v>1542</v>
      </c>
      <c r="Q117" s="30" t="str">
        <f t="shared" si="5"/>
        <v>AM</v>
      </c>
      <c r="R117" s="30" t="str">
        <f t="shared" si="6"/>
        <v>DM</v>
      </c>
      <c r="S117" s="30" t="str">
        <f>VLOOKUP(M117,'Data - Employee Rights Master'!$C$3:$D$32,2,0)</f>
        <v>AM</v>
      </c>
      <c r="T117" s="30" t="str">
        <f>VLOOKUP(N117,'Data - Employee Rights Master'!$C$3:$D$32,2,0)</f>
        <v>DM</v>
      </c>
      <c r="U117" s="41" t="str">
        <f t="shared" si="7"/>
        <v>PASS</v>
      </c>
      <c r="V117" s="41" t="str">
        <f t="shared" si="8"/>
        <v>NA</v>
      </c>
      <c r="W117" s="30" t="str">
        <f t="shared" si="9"/>
        <v>2021</v>
      </c>
      <c r="X117" s="30" t="str">
        <f>VLOOKUP(MONTH(G117),Key!$F$3:$G$14,2,0)</f>
        <v>Aug</v>
      </c>
      <c r="Y117" s="30" t="str">
        <f>IFERROR(IF(MATCH(F117,'Test 6'!C$5:C$9,0)&gt;0,"RP"),"NON-RP")</f>
        <v>NON-RP</v>
      </c>
    </row>
    <row r="118" spans="2:25" x14ac:dyDescent="0.5">
      <c r="B118" s="30">
        <v>114</v>
      </c>
      <c r="C118" s="30" t="s">
        <v>313</v>
      </c>
      <c r="D118" s="31">
        <v>2021114</v>
      </c>
      <c r="E118" s="30" t="s">
        <v>314</v>
      </c>
      <c r="F118" s="53" t="s">
        <v>103</v>
      </c>
      <c r="G118" s="32">
        <v>44070</v>
      </c>
      <c r="H118" s="33">
        <v>0.68559788593357152</v>
      </c>
      <c r="I118" s="30" t="s">
        <v>277</v>
      </c>
      <c r="J118" s="34">
        <v>336440</v>
      </c>
      <c r="K118" s="35" t="s">
        <v>17</v>
      </c>
      <c r="L118" s="36">
        <v>60559.199999999997</v>
      </c>
      <c r="M118" s="30" t="s">
        <v>32</v>
      </c>
      <c r="N118" s="30" t="s">
        <v>24</v>
      </c>
      <c r="O118" s="30" t="s">
        <v>1542</v>
      </c>
      <c r="P118" s="30" t="s">
        <v>1542</v>
      </c>
      <c r="Q118" s="30" t="str">
        <f t="shared" si="5"/>
        <v>AM</v>
      </c>
      <c r="R118" s="30" t="str">
        <f t="shared" si="6"/>
        <v>DM</v>
      </c>
      <c r="S118" s="30" t="str">
        <f>VLOOKUP(M118,'Data - Employee Rights Master'!$C$3:$D$32,2,0)</f>
        <v>AM</v>
      </c>
      <c r="T118" s="30" t="str">
        <f>VLOOKUP(N118,'Data - Employee Rights Master'!$C$3:$D$32,2,0)</f>
        <v>DM</v>
      </c>
      <c r="U118" s="41" t="str">
        <f t="shared" si="7"/>
        <v>PASS</v>
      </c>
      <c r="V118" s="41" t="str">
        <f t="shared" si="8"/>
        <v>NA</v>
      </c>
      <c r="W118" s="30" t="str">
        <f t="shared" si="9"/>
        <v>2021</v>
      </c>
      <c r="X118" s="30" t="str">
        <f>VLOOKUP(MONTH(G118),Key!$F$3:$G$14,2,0)</f>
        <v>Aug</v>
      </c>
      <c r="Y118" s="30" t="str">
        <f>IFERROR(IF(MATCH(F118,'Test 6'!C$5:C$9,0)&gt;0,"RP"),"NON-RP")</f>
        <v>NON-RP</v>
      </c>
    </row>
    <row r="119" spans="2:25" x14ac:dyDescent="0.5">
      <c r="B119" s="30">
        <v>115</v>
      </c>
      <c r="C119" s="30" t="s">
        <v>315</v>
      </c>
      <c r="D119" s="31">
        <v>2021115</v>
      </c>
      <c r="E119" s="30" t="s">
        <v>316</v>
      </c>
      <c r="F119" s="53" t="s">
        <v>81</v>
      </c>
      <c r="G119" s="32">
        <v>44074</v>
      </c>
      <c r="H119" s="33">
        <v>0.47166563410270057</v>
      </c>
      <c r="I119" s="30" t="s">
        <v>277</v>
      </c>
      <c r="J119" s="34">
        <v>230600</v>
      </c>
      <c r="K119" s="35" t="s">
        <v>17</v>
      </c>
      <c r="L119" s="36">
        <v>41508</v>
      </c>
      <c r="M119" s="30" t="s">
        <v>28</v>
      </c>
      <c r="N119" s="30" t="s">
        <v>51</v>
      </c>
      <c r="O119" s="30" t="s">
        <v>1542</v>
      </c>
      <c r="P119" s="30" t="s">
        <v>1542</v>
      </c>
      <c r="Q119" s="30" t="str">
        <f t="shared" si="5"/>
        <v>AM</v>
      </c>
      <c r="R119" s="30" t="str">
        <f t="shared" si="6"/>
        <v>DM</v>
      </c>
      <c r="S119" s="30" t="str">
        <f>VLOOKUP(M119,'Data - Employee Rights Master'!$C$3:$D$32,2,0)</f>
        <v>AM</v>
      </c>
      <c r="T119" s="30" t="str">
        <f>VLOOKUP(N119,'Data - Employee Rights Master'!$C$3:$D$32,2,0)</f>
        <v>DM</v>
      </c>
      <c r="U119" s="41" t="str">
        <f t="shared" si="7"/>
        <v>PASS</v>
      </c>
      <c r="V119" s="41" t="str">
        <f t="shared" si="8"/>
        <v>NA</v>
      </c>
      <c r="W119" s="30" t="str">
        <f t="shared" si="9"/>
        <v>2021</v>
      </c>
      <c r="X119" s="30" t="str">
        <f>VLOOKUP(MONTH(G119),Key!$F$3:$G$14,2,0)</f>
        <v>Aug</v>
      </c>
      <c r="Y119" s="30" t="str">
        <f>IFERROR(IF(MATCH(F119,'Test 6'!C$5:C$9,0)&gt;0,"RP"),"NON-RP")</f>
        <v>NON-RP</v>
      </c>
    </row>
    <row r="120" spans="2:25" x14ac:dyDescent="0.5">
      <c r="B120" s="30">
        <v>116</v>
      </c>
      <c r="C120" s="30" t="s">
        <v>317</v>
      </c>
      <c r="D120" s="31">
        <v>2021116</v>
      </c>
      <c r="E120" s="30" t="s">
        <v>318</v>
      </c>
      <c r="F120" s="53" t="s">
        <v>122</v>
      </c>
      <c r="G120" s="32">
        <v>44074</v>
      </c>
      <c r="H120" s="33">
        <v>0.57545491957598116</v>
      </c>
      <c r="I120" s="30" t="s">
        <v>277</v>
      </c>
      <c r="J120" s="34">
        <v>442130</v>
      </c>
      <c r="K120" s="35" t="s">
        <v>17</v>
      </c>
      <c r="L120" s="36">
        <v>79583.399999999994</v>
      </c>
      <c r="M120" s="30" t="s">
        <v>61</v>
      </c>
      <c r="N120" s="30" t="s">
        <v>19</v>
      </c>
      <c r="O120" s="30" t="s">
        <v>1542</v>
      </c>
      <c r="P120" s="30" t="s">
        <v>1542</v>
      </c>
      <c r="Q120" s="30" t="str">
        <f t="shared" si="5"/>
        <v>AM</v>
      </c>
      <c r="R120" s="30" t="str">
        <f t="shared" si="6"/>
        <v>DM</v>
      </c>
      <c r="S120" s="30" t="str">
        <f>VLOOKUP(M120,'Data - Employee Rights Master'!$C$3:$D$32,2,0)</f>
        <v>AM</v>
      </c>
      <c r="T120" s="30" t="str">
        <f>VLOOKUP(N120,'Data - Employee Rights Master'!$C$3:$D$32,2,0)</f>
        <v>DM</v>
      </c>
      <c r="U120" s="41" t="str">
        <f t="shared" si="7"/>
        <v>PASS</v>
      </c>
      <c r="V120" s="41" t="str">
        <f t="shared" si="8"/>
        <v>NA</v>
      </c>
      <c r="W120" s="30" t="str">
        <f t="shared" si="9"/>
        <v>2021</v>
      </c>
      <c r="X120" s="30" t="str">
        <f>VLOOKUP(MONTH(G120),Key!$F$3:$G$14,2,0)</f>
        <v>Aug</v>
      </c>
      <c r="Y120" s="30" t="str">
        <f>IFERROR(IF(MATCH(F120,'Test 6'!C$5:C$9,0)&gt;0,"RP"),"NON-RP")</f>
        <v>NON-RP</v>
      </c>
    </row>
    <row r="121" spans="2:25" x14ac:dyDescent="0.5">
      <c r="B121" s="30">
        <v>117</v>
      </c>
      <c r="C121" s="30" t="s">
        <v>319</v>
      </c>
      <c r="D121" s="31">
        <v>2021117</v>
      </c>
      <c r="E121" s="30" t="s">
        <v>320</v>
      </c>
      <c r="F121" s="53" t="s">
        <v>128</v>
      </c>
      <c r="G121" s="32">
        <v>44075</v>
      </c>
      <c r="H121" s="33">
        <v>0.71366246999667426</v>
      </c>
      <c r="I121" s="30" t="s">
        <v>321</v>
      </c>
      <c r="J121" s="34">
        <v>347590</v>
      </c>
      <c r="K121" s="35" t="s">
        <v>17</v>
      </c>
      <c r="L121" s="36">
        <v>62566.2</v>
      </c>
      <c r="M121" s="30" t="s">
        <v>61</v>
      </c>
      <c r="N121" s="30" t="s">
        <v>47</v>
      </c>
      <c r="O121" s="30" t="s">
        <v>1542</v>
      </c>
      <c r="P121" s="30" t="s">
        <v>1542</v>
      </c>
      <c r="Q121" s="30" t="str">
        <f t="shared" si="5"/>
        <v>AM</v>
      </c>
      <c r="R121" s="30" t="str">
        <f t="shared" si="6"/>
        <v>DM</v>
      </c>
      <c r="S121" s="30" t="str">
        <f>VLOOKUP(M121,'Data - Employee Rights Master'!$C$3:$D$32,2,0)</f>
        <v>AM</v>
      </c>
      <c r="T121" s="30" t="str">
        <f>VLOOKUP(N121,'Data - Employee Rights Master'!$C$3:$D$32,2,0)</f>
        <v>DM</v>
      </c>
      <c r="U121" s="41" t="str">
        <f t="shared" si="7"/>
        <v>PASS</v>
      </c>
      <c r="V121" s="41" t="str">
        <f t="shared" si="8"/>
        <v>NA</v>
      </c>
      <c r="W121" s="30" t="str">
        <f t="shared" si="9"/>
        <v>2021</v>
      </c>
      <c r="X121" s="30" t="str">
        <f>VLOOKUP(MONTH(G121),Key!$F$3:$G$14,2,0)</f>
        <v>Sep</v>
      </c>
      <c r="Y121" s="30" t="str">
        <f>IFERROR(IF(MATCH(F121,'Test 6'!C$5:C$9,0)&gt;0,"RP"),"NON-RP")</f>
        <v>NON-RP</v>
      </c>
    </row>
    <row r="122" spans="2:25" x14ac:dyDescent="0.5">
      <c r="B122" s="30">
        <v>118</v>
      </c>
      <c r="C122" s="30" t="s">
        <v>322</v>
      </c>
      <c r="D122" s="31">
        <v>2021118</v>
      </c>
      <c r="E122" s="30" t="s">
        <v>323</v>
      </c>
      <c r="F122" s="53" t="s">
        <v>190</v>
      </c>
      <c r="G122" s="32">
        <v>44075</v>
      </c>
      <c r="H122" s="33">
        <v>0.68114458404659006</v>
      </c>
      <c r="I122" s="30" t="s">
        <v>321</v>
      </c>
      <c r="J122" s="34">
        <v>484270</v>
      </c>
      <c r="K122" s="35" t="s">
        <v>17</v>
      </c>
      <c r="L122" s="36">
        <v>87168.599999999991</v>
      </c>
      <c r="M122" s="30" t="s">
        <v>46</v>
      </c>
      <c r="N122" s="30" t="s">
        <v>47</v>
      </c>
      <c r="O122" s="30" t="s">
        <v>1542</v>
      </c>
      <c r="P122" s="30" t="s">
        <v>1542</v>
      </c>
      <c r="Q122" s="30" t="str">
        <f t="shared" si="5"/>
        <v>AM</v>
      </c>
      <c r="R122" s="30" t="str">
        <f t="shared" si="6"/>
        <v>DM</v>
      </c>
      <c r="S122" s="30" t="str">
        <f>VLOOKUP(M122,'Data - Employee Rights Master'!$C$3:$D$32,2,0)</f>
        <v>AM</v>
      </c>
      <c r="T122" s="30" t="str">
        <f>VLOOKUP(N122,'Data - Employee Rights Master'!$C$3:$D$32,2,0)</f>
        <v>DM</v>
      </c>
      <c r="U122" s="41" t="str">
        <f t="shared" si="7"/>
        <v>PASS</v>
      </c>
      <c r="V122" s="41" t="str">
        <f t="shared" si="8"/>
        <v>NA</v>
      </c>
      <c r="W122" s="30" t="str">
        <f t="shared" si="9"/>
        <v>2021</v>
      </c>
      <c r="X122" s="30" t="str">
        <f>VLOOKUP(MONTH(G122),Key!$F$3:$G$14,2,0)</f>
        <v>Sep</v>
      </c>
      <c r="Y122" s="30" t="str">
        <f>IFERROR(IF(MATCH(F122,'Test 6'!C$5:C$9,0)&gt;0,"RP"),"NON-RP")</f>
        <v>NON-RP</v>
      </c>
    </row>
    <row r="123" spans="2:25" x14ac:dyDescent="0.5">
      <c r="B123" s="30">
        <v>119</v>
      </c>
      <c r="C123" s="30" t="s">
        <v>324</v>
      </c>
      <c r="D123" s="31">
        <v>2021119</v>
      </c>
      <c r="E123" s="30" t="s">
        <v>325</v>
      </c>
      <c r="F123" s="53" t="s">
        <v>40</v>
      </c>
      <c r="G123" s="32">
        <v>44075</v>
      </c>
      <c r="H123" s="33">
        <v>0.52439693526670805</v>
      </c>
      <c r="I123" s="30" t="s">
        <v>321</v>
      </c>
      <c r="J123" s="34">
        <v>371400</v>
      </c>
      <c r="K123" s="35" t="s">
        <v>17</v>
      </c>
      <c r="L123" s="36">
        <v>66852</v>
      </c>
      <c r="M123" s="30" t="s">
        <v>37</v>
      </c>
      <c r="N123" s="30" t="s">
        <v>19</v>
      </c>
      <c r="O123" s="30" t="s">
        <v>1542</v>
      </c>
      <c r="P123" s="30" t="s">
        <v>1542</v>
      </c>
      <c r="Q123" s="30" t="str">
        <f t="shared" si="5"/>
        <v>AM</v>
      </c>
      <c r="R123" s="30" t="str">
        <f t="shared" si="6"/>
        <v>DM</v>
      </c>
      <c r="S123" s="30" t="str">
        <f>VLOOKUP(M123,'Data - Employee Rights Master'!$C$3:$D$32,2,0)</f>
        <v>AM</v>
      </c>
      <c r="T123" s="30" t="str">
        <f>VLOOKUP(N123,'Data - Employee Rights Master'!$C$3:$D$32,2,0)</f>
        <v>DM</v>
      </c>
      <c r="U123" s="41" t="str">
        <f t="shared" si="7"/>
        <v>PASS</v>
      </c>
      <c r="V123" s="41" t="str">
        <f t="shared" si="8"/>
        <v>NA</v>
      </c>
      <c r="W123" s="30" t="str">
        <f t="shared" si="9"/>
        <v>2021</v>
      </c>
      <c r="X123" s="30" t="str">
        <f>VLOOKUP(MONTH(G123),Key!$F$3:$G$14,2,0)</f>
        <v>Sep</v>
      </c>
      <c r="Y123" s="30" t="str">
        <f>IFERROR(IF(MATCH(F123,'Test 6'!C$5:C$9,0)&gt;0,"RP"),"NON-RP")</f>
        <v>NON-RP</v>
      </c>
    </row>
    <row r="124" spans="2:25" x14ac:dyDescent="0.5">
      <c r="B124" s="30">
        <v>120</v>
      </c>
      <c r="C124" s="30" t="s">
        <v>326</v>
      </c>
      <c r="D124" s="31">
        <v>2021120</v>
      </c>
      <c r="E124" s="30" t="s">
        <v>327</v>
      </c>
      <c r="F124" s="53" t="s">
        <v>64</v>
      </c>
      <c r="G124" s="32">
        <v>44078</v>
      </c>
      <c r="H124" s="33">
        <v>0.61418672242552075</v>
      </c>
      <c r="I124" s="30" t="s">
        <v>321</v>
      </c>
      <c r="J124" s="34">
        <v>413860</v>
      </c>
      <c r="K124" s="35" t="s">
        <v>17</v>
      </c>
      <c r="L124" s="36">
        <v>74494.8</v>
      </c>
      <c r="M124" s="30" t="s">
        <v>61</v>
      </c>
      <c r="N124" s="30" t="s">
        <v>19</v>
      </c>
      <c r="O124" s="30" t="s">
        <v>1542</v>
      </c>
      <c r="P124" s="30" t="s">
        <v>1542</v>
      </c>
      <c r="Q124" s="30" t="str">
        <f t="shared" si="5"/>
        <v>AM</v>
      </c>
      <c r="R124" s="30" t="str">
        <f t="shared" si="6"/>
        <v>DM</v>
      </c>
      <c r="S124" s="30" t="str">
        <f>VLOOKUP(M124,'Data - Employee Rights Master'!$C$3:$D$32,2,0)</f>
        <v>AM</v>
      </c>
      <c r="T124" s="30" t="str">
        <f>VLOOKUP(N124,'Data - Employee Rights Master'!$C$3:$D$32,2,0)</f>
        <v>DM</v>
      </c>
      <c r="U124" s="41" t="str">
        <f t="shared" si="7"/>
        <v>PASS</v>
      </c>
      <c r="V124" s="41" t="str">
        <f t="shared" si="8"/>
        <v>NA</v>
      </c>
      <c r="W124" s="30" t="str">
        <f t="shared" si="9"/>
        <v>2021</v>
      </c>
      <c r="X124" s="30" t="str">
        <f>VLOOKUP(MONTH(G124),Key!$F$3:$G$14,2,0)</f>
        <v>Sep</v>
      </c>
      <c r="Y124" s="30" t="str">
        <f>IFERROR(IF(MATCH(F124,'Test 6'!C$5:C$9,0)&gt;0,"RP"),"NON-RP")</f>
        <v>NON-RP</v>
      </c>
    </row>
    <row r="125" spans="2:25" x14ac:dyDescent="0.5">
      <c r="B125" s="30">
        <v>121</v>
      </c>
      <c r="C125" s="30" t="s">
        <v>328</v>
      </c>
      <c r="D125" s="31">
        <v>2021121</v>
      </c>
      <c r="E125" s="30" t="s">
        <v>329</v>
      </c>
      <c r="F125" s="53" t="s">
        <v>87</v>
      </c>
      <c r="G125" s="32">
        <v>44081</v>
      </c>
      <c r="H125" s="33">
        <v>0.46102581616919019</v>
      </c>
      <c r="I125" s="30" t="s">
        <v>321</v>
      </c>
      <c r="J125" s="34">
        <v>496390</v>
      </c>
      <c r="K125" s="35" t="s">
        <v>17</v>
      </c>
      <c r="L125" s="36">
        <v>89350.2</v>
      </c>
      <c r="M125" s="30" t="s">
        <v>46</v>
      </c>
      <c r="N125" s="30" t="s">
        <v>24</v>
      </c>
      <c r="O125" s="30" t="s">
        <v>1542</v>
      </c>
      <c r="P125" s="30" t="s">
        <v>1542</v>
      </c>
      <c r="Q125" s="30" t="str">
        <f t="shared" si="5"/>
        <v>AM</v>
      </c>
      <c r="R125" s="30" t="str">
        <f t="shared" si="6"/>
        <v>DM</v>
      </c>
      <c r="S125" s="30" t="str">
        <f>VLOOKUP(M125,'Data - Employee Rights Master'!$C$3:$D$32,2,0)</f>
        <v>AM</v>
      </c>
      <c r="T125" s="30" t="str">
        <f>VLOOKUP(N125,'Data - Employee Rights Master'!$C$3:$D$32,2,0)</f>
        <v>DM</v>
      </c>
      <c r="U125" s="41" t="str">
        <f t="shared" si="7"/>
        <v>PASS</v>
      </c>
      <c r="V125" s="41" t="str">
        <f t="shared" si="8"/>
        <v>NA</v>
      </c>
      <c r="W125" s="30" t="str">
        <f t="shared" si="9"/>
        <v>2021</v>
      </c>
      <c r="X125" s="30" t="str">
        <f>VLOOKUP(MONTH(G125),Key!$F$3:$G$14,2,0)</f>
        <v>Sep</v>
      </c>
      <c r="Y125" s="30" t="str">
        <f>IFERROR(IF(MATCH(F125,'Test 6'!C$5:C$9,0)&gt;0,"RP"),"NON-RP")</f>
        <v>NON-RP</v>
      </c>
    </row>
    <row r="126" spans="2:25" x14ac:dyDescent="0.5">
      <c r="B126" s="30">
        <v>122</v>
      </c>
      <c r="C126" s="30" t="s">
        <v>330</v>
      </c>
      <c r="D126" s="31">
        <v>2021122</v>
      </c>
      <c r="E126" s="30" t="s">
        <v>331</v>
      </c>
      <c r="F126" s="53" t="s">
        <v>332</v>
      </c>
      <c r="G126" s="32">
        <v>44081</v>
      </c>
      <c r="H126" s="33">
        <v>0.74916130553839955</v>
      </c>
      <c r="I126" s="30" t="s">
        <v>321</v>
      </c>
      <c r="J126" s="34">
        <v>265640</v>
      </c>
      <c r="K126" s="35" t="s">
        <v>17</v>
      </c>
      <c r="L126" s="36">
        <v>47815.199999999997</v>
      </c>
      <c r="M126" s="30" t="s">
        <v>23</v>
      </c>
      <c r="N126" s="30" t="s">
        <v>68</v>
      </c>
      <c r="O126" s="30" t="s">
        <v>1542</v>
      </c>
      <c r="P126" s="30" t="s">
        <v>1542</v>
      </c>
      <c r="Q126" s="30" t="str">
        <f t="shared" si="5"/>
        <v>AM</v>
      </c>
      <c r="R126" s="30" t="str">
        <f t="shared" si="6"/>
        <v>DM</v>
      </c>
      <c r="S126" s="30" t="str">
        <f>VLOOKUP(M126,'Data - Employee Rights Master'!$C$3:$D$32,2,0)</f>
        <v>AM</v>
      </c>
      <c r="T126" s="30" t="str">
        <f>VLOOKUP(N126,'Data - Employee Rights Master'!$C$3:$D$32,2,0)</f>
        <v>DM</v>
      </c>
      <c r="U126" s="41" t="str">
        <f t="shared" si="7"/>
        <v>PASS</v>
      </c>
      <c r="V126" s="41" t="str">
        <f t="shared" si="8"/>
        <v>NA</v>
      </c>
      <c r="W126" s="30" t="str">
        <f t="shared" si="9"/>
        <v>2021</v>
      </c>
      <c r="X126" s="30" t="str">
        <f>VLOOKUP(MONTH(G126),Key!$F$3:$G$14,2,0)</f>
        <v>Sep</v>
      </c>
      <c r="Y126" s="30" t="str">
        <f>IFERROR(IF(MATCH(F126,'Test 6'!C$5:C$9,0)&gt;0,"RP"),"NON-RP")</f>
        <v>NON-RP</v>
      </c>
    </row>
    <row r="127" spans="2:25" x14ac:dyDescent="0.5">
      <c r="B127" s="30">
        <v>123</v>
      </c>
      <c r="C127" s="30" t="s">
        <v>333</v>
      </c>
      <c r="D127" s="31">
        <v>2021123</v>
      </c>
      <c r="E127" s="30" t="s">
        <v>334</v>
      </c>
      <c r="F127" s="53" t="s">
        <v>195</v>
      </c>
      <c r="G127" s="32">
        <v>44082</v>
      </c>
      <c r="H127" s="33">
        <v>0.43567348781649917</v>
      </c>
      <c r="I127" s="30" t="s">
        <v>277</v>
      </c>
      <c r="J127" s="34">
        <v>287540</v>
      </c>
      <c r="K127" s="35" t="s">
        <v>17</v>
      </c>
      <c r="L127" s="36">
        <v>51757.2</v>
      </c>
      <c r="M127" s="30" t="s">
        <v>23</v>
      </c>
      <c r="N127" s="30" t="s">
        <v>51</v>
      </c>
      <c r="O127" s="30" t="s">
        <v>1542</v>
      </c>
      <c r="P127" s="30" t="s">
        <v>1542</v>
      </c>
      <c r="Q127" s="30" t="str">
        <f t="shared" si="5"/>
        <v>AM</v>
      </c>
      <c r="R127" s="30" t="str">
        <f t="shared" si="6"/>
        <v>DM</v>
      </c>
      <c r="S127" s="30" t="str">
        <f>VLOOKUP(M127,'Data - Employee Rights Master'!$C$3:$D$32,2,0)</f>
        <v>AM</v>
      </c>
      <c r="T127" s="30" t="str">
        <f>VLOOKUP(N127,'Data - Employee Rights Master'!$C$3:$D$32,2,0)</f>
        <v>DM</v>
      </c>
      <c r="U127" s="41" t="str">
        <f t="shared" si="7"/>
        <v>PASS</v>
      </c>
      <c r="V127" s="41" t="str">
        <f t="shared" si="8"/>
        <v>NA</v>
      </c>
      <c r="W127" s="30" t="str">
        <f t="shared" si="9"/>
        <v>2021</v>
      </c>
      <c r="X127" s="30" t="str">
        <f>VLOOKUP(MONTH(G127),Key!$F$3:$G$14,2,0)</f>
        <v>Sep</v>
      </c>
      <c r="Y127" s="30" t="str">
        <f>IFERROR(IF(MATCH(F127,'Test 6'!C$5:C$9,0)&gt;0,"RP"),"NON-RP")</f>
        <v>NON-RP</v>
      </c>
    </row>
    <row r="128" spans="2:25" x14ac:dyDescent="0.5">
      <c r="B128" s="30">
        <v>124</v>
      </c>
      <c r="C128" s="30" t="s">
        <v>335</v>
      </c>
      <c r="D128" s="31">
        <v>2021124</v>
      </c>
      <c r="E128" s="30" t="s">
        <v>336</v>
      </c>
      <c r="F128" s="53" t="s">
        <v>60</v>
      </c>
      <c r="G128" s="32">
        <v>44083</v>
      </c>
      <c r="H128" s="33">
        <v>0.59071342138994543</v>
      </c>
      <c r="I128" s="30" t="s">
        <v>321</v>
      </c>
      <c r="J128" s="34">
        <v>320190</v>
      </c>
      <c r="K128" s="35" t="s">
        <v>17</v>
      </c>
      <c r="L128" s="36">
        <v>57634.2</v>
      </c>
      <c r="M128" s="30" t="s">
        <v>18</v>
      </c>
      <c r="N128" s="30" t="s">
        <v>19</v>
      </c>
      <c r="O128" s="30" t="s">
        <v>1542</v>
      </c>
      <c r="P128" s="30" t="s">
        <v>1542</v>
      </c>
      <c r="Q128" s="30" t="str">
        <f t="shared" si="5"/>
        <v>AM</v>
      </c>
      <c r="R128" s="30" t="str">
        <f t="shared" si="6"/>
        <v>DM</v>
      </c>
      <c r="S128" s="30" t="str">
        <f>VLOOKUP(M128,'Data - Employee Rights Master'!$C$3:$D$32,2,0)</f>
        <v>AM</v>
      </c>
      <c r="T128" s="30" t="str">
        <f>VLOOKUP(N128,'Data - Employee Rights Master'!$C$3:$D$32,2,0)</f>
        <v>DM</v>
      </c>
      <c r="U128" s="41" t="str">
        <f t="shared" si="7"/>
        <v>PASS</v>
      </c>
      <c r="V128" s="41" t="str">
        <f t="shared" si="8"/>
        <v>NA</v>
      </c>
      <c r="W128" s="30" t="str">
        <f t="shared" si="9"/>
        <v>2021</v>
      </c>
      <c r="X128" s="30" t="str">
        <f>VLOOKUP(MONTH(G128),Key!$F$3:$G$14,2,0)</f>
        <v>Sep</v>
      </c>
      <c r="Y128" s="30" t="str">
        <f>IFERROR(IF(MATCH(F128,'Test 6'!C$5:C$9,0)&gt;0,"RP"),"NON-RP")</f>
        <v>NON-RP</v>
      </c>
    </row>
    <row r="129" spans="2:25" x14ac:dyDescent="0.5">
      <c r="B129" s="30">
        <v>125</v>
      </c>
      <c r="C129" s="30" t="s">
        <v>337</v>
      </c>
      <c r="D129" s="31">
        <v>2021125</v>
      </c>
      <c r="E129" s="30" t="s">
        <v>338</v>
      </c>
      <c r="F129" s="53" t="s">
        <v>195</v>
      </c>
      <c r="G129" s="32">
        <v>44085</v>
      </c>
      <c r="H129" s="33">
        <v>0.46715862242549183</v>
      </c>
      <c r="I129" s="30" t="s">
        <v>321</v>
      </c>
      <c r="J129" s="34">
        <v>31200</v>
      </c>
      <c r="K129" s="35" t="s">
        <v>17</v>
      </c>
      <c r="L129" s="36">
        <v>5616</v>
      </c>
      <c r="M129" s="30" t="s">
        <v>78</v>
      </c>
      <c r="N129" s="30" t="s">
        <v>18</v>
      </c>
      <c r="O129" s="30" t="s">
        <v>1542</v>
      </c>
      <c r="P129" s="30" t="s">
        <v>1542</v>
      </c>
      <c r="Q129" s="30" t="str">
        <f t="shared" si="5"/>
        <v>SE</v>
      </c>
      <c r="R129" s="30" t="str">
        <f t="shared" si="6"/>
        <v>AM</v>
      </c>
      <c r="S129" s="30" t="str">
        <f>VLOOKUP(M129,'Data - Employee Rights Master'!$C$3:$D$32,2,0)</f>
        <v>SE</v>
      </c>
      <c r="T129" s="30" t="str">
        <f>VLOOKUP(N129,'Data - Employee Rights Master'!$C$3:$D$32,2,0)</f>
        <v>AM</v>
      </c>
      <c r="U129" s="41" t="str">
        <f t="shared" si="7"/>
        <v>PASS</v>
      </c>
      <c r="V129" s="41" t="str">
        <f t="shared" si="8"/>
        <v>NA</v>
      </c>
      <c r="W129" s="30" t="str">
        <f t="shared" si="9"/>
        <v>2021</v>
      </c>
      <c r="X129" s="30" t="str">
        <f>VLOOKUP(MONTH(G129),Key!$F$3:$G$14,2,0)</f>
        <v>Sep</v>
      </c>
      <c r="Y129" s="30" t="str">
        <f>IFERROR(IF(MATCH(F129,'Test 6'!C$5:C$9,0)&gt;0,"RP"),"NON-RP")</f>
        <v>NON-RP</v>
      </c>
    </row>
    <row r="130" spans="2:25" x14ac:dyDescent="0.5">
      <c r="B130" s="30">
        <v>126</v>
      </c>
      <c r="C130" s="30" t="s">
        <v>339</v>
      </c>
      <c r="D130" s="31">
        <v>2021126</v>
      </c>
      <c r="E130" s="30" t="s">
        <v>340</v>
      </c>
      <c r="F130" s="53" t="s">
        <v>22</v>
      </c>
      <c r="G130" s="32">
        <v>44085</v>
      </c>
      <c r="H130" s="33">
        <v>0.58616351373642073</v>
      </c>
      <c r="I130" s="30" t="s">
        <v>321</v>
      </c>
      <c r="J130" s="34">
        <v>261830</v>
      </c>
      <c r="K130" s="35" t="s">
        <v>17</v>
      </c>
      <c r="L130" s="36">
        <v>47129.4</v>
      </c>
      <c r="M130" s="30" t="s">
        <v>46</v>
      </c>
      <c r="N130" s="30" t="s">
        <v>24</v>
      </c>
      <c r="O130" s="30" t="s">
        <v>1542</v>
      </c>
      <c r="P130" s="30" t="s">
        <v>1542</v>
      </c>
      <c r="Q130" s="30" t="str">
        <f t="shared" si="5"/>
        <v>AM</v>
      </c>
      <c r="R130" s="30" t="str">
        <f t="shared" si="6"/>
        <v>DM</v>
      </c>
      <c r="S130" s="30" t="str">
        <f>VLOOKUP(M130,'Data - Employee Rights Master'!$C$3:$D$32,2,0)</f>
        <v>AM</v>
      </c>
      <c r="T130" s="30" t="str">
        <f>VLOOKUP(N130,'Data - Employee Rights Master'!$C$3:$D$32,2,0)</f>
        <v>DM</v>
      </c>
      <c r="U130" s="41" t="str">
        <f t="shared" si="7"/>
        <v>PASS</v>
      </c>
      <c r="V130" s="41" t="str">
        <f t="shared" si="8"/>
        <v>NA</v>
      </c>
      <c r="W130" s="30" t="str">
        <f t="shared" si="9"/>
        <v>2021</v>
      </c>
      <c r="X130" s="30" t="str">
        <f>VLOOKUP(MONTH(G130),Key!$F$3:$G$14,2,0)</f>
        <v>Sep</v>
      </c>
      <c r="Y130" s="30" t="str">
        <f>IFERROR(IF(MATCH(F130,'Test 6'!C$5:C$9,0)&gt;0,"RP"),"NON-RP")</f>
        <v>NON-RP</v>
      </c>
    </row>
    <row r="131" spans="2:25" x14ac:dyDescent="0.5">
      <c r="B131" s="30">
        <v>127</v>
      </c>
      <c r="C131" s="30" t="s">
        <v>341</v>
      </c>
      <c r="D131" s="31">
        <v>2021127</v>
      </c>
      <c r="E131" s="30" t="s">
        <v>342</v>
      </c>
      <c r="F131" s="53" t="s">
        <v>54</v>
      </c>
      <c r="G131" s="32">
        <v>44090</v>
      </c>
      <c r="H131" s="33">
        <v>0.7185760145494805</v>
      </c>
      <c r="I131" s="30" t="s">
        <v>321</v>
      </c>
      <c r="J131" s="34">
        <v>409610</v>
      </c>
      <c r="K131" s="35" t="s">
        <v>17</v>
      </c>
      <c r="L131" s="36">
        <v>73729.8</v>
      </c>
      <c r="M131" s="30" t="s">
        <v>23</v>
      </c>
      <c r="N131" s="30" t="s">
        <v>24</v>
      </c>
      <c r="O131" s="30" t="s">
        <v>1542</v>
      </c>
      <c r="P131" s="30" t="s">
        <v>1542</v>
      </c>
      <c r="Q131" s="30" t="str">
        <f t="shared" si="5"/>
        <v>AM</v>
      </c>
      <c r="R131" s="30" t="str">
        <f t="shared" si="6"/>
        <v>DM</v>
      </c>
      <c r="S131" s="30" t="str">
        <f>VLOOKUP(M131,'Data - Employee Rights Master'!$C$3:$D$32,2,0)</f>
        <v>AM</v>
      </c>
      <c r="T131" s="30" t="str">
        <f>VLOOKUP(N131,'Data - Employee Rights Master'!$C$3:$D$32,2,0)</f>
        <v>DM</v>
      </c>
      <c r="U131" s="41" t="str">
        <f t="shared" si="7"/>
        <v>PASS</v>
      </c>
      <c r="V131" s="41" t="str">
        <f t="shared" si="8"/>
        <v>NA</v>
      </c>
      <c r="W131" s="30" t="str">
        <f t="shared" si="9"/>
        <v>2021</v>
      </c>
      <c r="X131" s="30" t="str">
        <f>VLOOKUP(MONTH(G131),Key!$F$3:$G$14,2,0)</f>
        <v>Sep</v>
      </c>
      <c r="Y131" s="30" t="str">
        <f>IFERROR(IF(MATCH(F131,'Test 6'!C$5:C$9,0)&gt;0,"RP"),"NON-RP")</f>
        <v>NON-RP</v>
      </c>
    </row>
    <row r="132" spans="2:25" x14ac:dyDescent="0.5">
      <c r="B132" s="30">
        <v>128</v>
      </c>
      <c r="C132" s="30" t="s">
        <v>343</v>
      </c>
      <c r="D132" s="31">
        <v>2021128</v>
      </c>
      <c r="E132" s="30" t="s">
        <v>344</v>
      </c>
      <c r="F132" s="53" t="s">
        <v>262</v>
      </c>
      <c r="G132" s="32">
        <v>44090</v>
      </c>
      <c r="H132" s="33">
        <v>0.43322083506790365</v>
      </c>
      <c r="I132" s="30" t="s">
        <v>321</v>
      </c>
      <c r="J132" s="34">
        <v>436450</v>
      </c>
      <c r="K132" s="35" t="s">
        <v>17</v>
      </c>
      <c r="L132" s="36">
        <v>78561</v>
      </c>
      <c r="M132" s="30" t="s">
        <v>28</v>
      </c>
      <c r="N132" s="30" t="s">
        <v>19</v>
      </c>
      <c r="O132" s="30" t="s">
        <v>1542</v>
      </c>
      <c r="P132" s="30" t="s">
        <v>1542</v>
      </c>
      <c r="Q132" s="30" t="str">
        <f t="shared" si="5"/>
        <v>AM</v>
      </c>
      <c r="R132" s="30" t="str">
        <f t="shared" si="6"/>
        <v>DM</v>
      </c>
      <c r="S132" s="30" t="str">
        <f>VLOOKUP(M132,'Data - Employee Rights Master'!$C$3:$D$32,2,0)</f>
        <v>AM</v>
      </c>
      <c r="T132" s="30" t="str">
        <f>VLOOKUP(N132,'Data - Employee Rights Master'!$C$3:$D$32,2,0)</f>
        <v>DM</v>
      </c>
      <c r="U132" s="41" t="str">
        <f t="shared" si="7"/>
        <v>PASS</v>
      </c>
      <c r="V132" s="41" t="str">
        <f t="shared" si="8"/>
        <v>NA</v>
      </c>
      <c r="W132" s="30" t="str">
        <f t="shared" si="9"/>
        <v>2021</v>
      </c>
      <c r="X132" s="30" t="str">
        <f>VLOOKUP(MONTH(G132),Key!$F$3:$G$14,2,0)</f>
        <v>Sep</v>
      </c>
      <c r="Y132" s="30" t="str">
        <f>IFERROR(IF(MATCH(F132,'Test 6'!C$5:C$9,0)&gt;0,"RP"),"NON-RP")</f>
        <v>NON-RP</v>
      </c>
    </row>
    <row r="133" spans="2:25" x14ac:dyDescent="0.5">
      <c r="B133" s="30">
        <v>129</v>
      </c>
      <c r="C133" s="30" t="s">
        <v>345</v>
      </c>
      <c r="D133" s="31">
        <v>2021129</v>
      </c>
      <c r="E133" s="30" t="s">
        <v>346</v>
      </c>
      <c r="F133" s="53" t="s">
        <v>35</v>
      </c>
      <c r="G133" s="32">
        <v>44092</v>
      </c>
      <c r="H133" s="33">
        <v>0.45096189320067825</v>
      </c>
      <c r="I133" s="30" t="s">
        <v>321</v>
      </c>
      <c r="J133" s="34">
        <v>396810</v>
      </c>
      <c r="K133" s="35" t="s">
        <v>17</v>
      </c>
      <c r="L133" s="36">
        <v>71425.8</v>
      </c>
      <c r="M133" s="30" t="s">
        <v>32</v>
      </c>
      <c r="N133" s="30" t="s">
        <v>47</v>
      </c>
      <c r="O133" s="30" t="s">
        <v>1542</v>
      </c>
      <c r="P133" s="30" t="s">
        <v>1542</v>
      </c>
      <c r="Q133" s="30" t="str">
        <f t="shared" si="5"/>
        <v>AM</v>
      </c>
      <c r="R133" s="30" t="str">
        <f t="shared" si="6"/>
        <v>DM</v>
      </c>
      <c r="S133" s="30" t="str">
        <f>VLOOKUP(M133,'Data - Employee Rights Master'!$C$3:$D$32,2,0)</f>
        <v>AM</v>
      </c>
      <c r="T133" s="30" t="str">
        <f>VLOOKUP(N133,'Data - Employee Rights Master'!$C$3:$D$32,2,0)</f>
        <v>DM</v>
      </c>
      <c r="U133" s="41" t="str">
        <f t="shared" si="7"/>
        <v>PASS</v>
      </c>
      <c r="V133" s="41" t="str">
        <f t="shared" si="8"/>
        <v>NA</v>
      </c>
      <c r="W133" s="30" t="str">
        <f t="shared" si="9"/>
        <v>2021</v>
      </c>
      <c r="X133" s="30" t="str">
        <f>VLOOKUP(MONTH(G133),Key!$F$3:$G$14,2,0)</f>
        <v>Sep</v>
      </c>
      <c r="Y133" s="30" t="str">
        <f>IFERROR(IF(MATCH(F133,'Test 6'!C$5:C$9,0)&gt;0,"RP"),"NON-RP")</f>
        <v>NON-RP</v>
      </c>
    </row>
    <row r="134" spans="2:25" x14ac:dyDescent="0.5">
      <c r="B134" s="30">
        <v>130</v>
      </c>
      <c r="C134" s="30" t="s">
        <v>347</v>
      </c>
      <c r="D134" s="31">
        <v>2021130</v>
      </c>
      <c r="E134" s="30" t="s">
        <v>348</v>
      </c>
      <c r="F134" s="53" t="s">
        <v>95</v>
      </c>
      <c r="G134" s="32">
        <v>44093</v>
      </c>
      <c r="H134" s="33">
        <v>0.59402657027656769</v>
      </c>
      <c r="I134" s="30" t="s">
        <v>321</v>
      </c>
      <c r="J134" s="34">
        <v>357630</v>
      </c>
      <c r="K134" s="35" t="s">
        <v>17</v>
      </c>
      <c r="L134" s="36">
        <v>64373.399999999994</v>
      </c>
      <c r="M134" s="30" t="s">
        <v>32</v>
      </c>
      <c r="N134" s="30" t="s">
        <v>51</v>
      </c>
      <c r="O134" s="30" t="s">
        <v>1542</v>
      </c>
      <c r="P134" s="30" t="s">
        <v>1542</v>
      </c>
      <c r="Q134" s="30" t="str">
        <f t="shared" ref="Q134:Q197" si="10">IF(J134&lt;200000,"SE",IF(J134&lt;500000,"AM",IF(J134&lt;1000000,"DM",IF(J134&lt;4500000,"SM",IF(J134&gt;=4500000,"CM")))))</f>
        <v>AM</v>
      </c>
      <c r="R134" s="30" t="str">
        <f t="shared" ref="R134:R197" si="11">IF(Q134="SE","AM",IF(Q134="AM","DM",IF(Q134="DM","SM",IF(Q134="SM","CM",IF(Q134="CM","CFO")))))</f>
        <v>DM</v>
      </c>
      <c r="S134" s="30" t="str">
        <f>VLOOKUP(M134,'Data - Employee Rights Master'!$C$3:$D$32,2,0)</f>
        <v>AM</v>
      </c>
      <c r="T134" s="30" t="str">
        <f>VLOOKUP(N134,'Data - Employee Rights Master'!$C$3:$D$32,2,0)</f>
        <v>DM</v>
      </c>
      <c r="U134" s="41" t="str">
        <f t="shared" ref="U134:U197" si="12">IF(AND(S134=Q134,T134=R134),"PASS","DEVIATION")</f>
        <v>PASS</v>
      </c>
      <c r="V134" s="41" t="str">
        <f t="shared" ref="V134:V197" si="13">IF(J134&gt;5000000,IF(AND(O134="Approved",P134&lt;&gt;"NA"),"PASS","FLAG"),"NA")</f>
        <v>NA</v>
      </c>
      <c r="W134" s="30" t="str">
        <f t="shared" ref="W134:W197" si="14">LEFT(C134,4)</f>
        <v>2021</v>
      </c>
      <c r="X134" s="30" t="str">
        <f>VLOOKUP(MONTH(G134),Key!$F$3:$G$14,2,0)</f>
        <v>Sep</v>
      </c>
      <c r="Y134" s="30" t="str">
        <f>IFERROR(IF(MATCH(F134,'Test 6'!C$5:C$9,0)&gt;0,"RP"),"NON-RP")</f>
        <v>NON-RP</v>
      </c>
    </row>
    <row r="135" spans="2:25" x14ac:dyDescent="0.5">
      <c r="B135" s="30">
        <v>131</v>
      </c>
      <c r="C135" s="30" t="s">
        <v>349</v>
      </c>
      <c r="D135" s="31">
        <v>2021131</v>
      </c>
      <c r="E135" s="30" t="s">
        <v>350</v>
      </c>
      <c r="F135" s="53" t="s">
        <v>27</v>
      </c>
      <c r="G135" s="32">
        <v>44095</v>
      </c>
      <c r="H135" s="33">
        <v>0.53784986714483562</v>
      </c>
      <c r="I135" s="30" t="s">
        <v>321</v>
      </c>
      <c r="J135" s="34">
        <v>257380</v>
      </c>
      <c r="K135" s="35" t="s">
        <v>17</v>
      </c>
      <c r="L135" s="36">
        <v>46328.4</v>
      </c>
      <c r="M135" s="30" t="s">
        <v>32</v>
      </c>
      <c r="N135" s="30" t="s">
        <v>47</v>
      </c>
      <c r="O135" s="30" t="s">
        <v>1542</v>
      </c>
      <c r="P135" s="30" t="s">
        <v>1542</v>
      </c>
      <c r="Q135" s="30" t="str">
        <f t="shared" si="10"/>
        <v>AM</v>
      </c>
      <c r="R135" s="30" t="str">
        <f t="shared" si="11"/>
        <v>DM</v>
      </c>
      <c r="S135" s="30" t="str">
        <f>VLOOKUP(M135,'Data - Employee Rights Master'!$C$3:$D$32,2,0)</f>
        <v>AM</v>
      </c>
      <c r="T135" s="30" t="str">
        <f>VLOOKUP(N135,'Data - Employee Rights Master'!$C$3:$D$32,2,0)</f>
        <v>DM</v>
      </c>
      <c r="U135" s="41" t="str">
        <f t="shared" si="12"/>
        <v>PASS</v>
      </c>
      <c r="V135" s="41" t="str">
        <f t="shared" si="13"/>
        <v>NA</v>
      </c>
      <c r="W135" s="30" t="str">
        <f t="shared" si="14"/>
        <v>2021</v>
      </c>
      <c r="X135" s="30" t="str">
        <f>VLOOKUP(MONTH(G135),Key!$F$3:$G$14,2,0)</f>
        <v>Sep</v>
      </c>
      <c r="Y135" s="30" t="str">
        <f>IFERROR(IF(MATCH(F135,'Test 6'!C$5:C$9,0)&gt;0,"RP"),"NON-RP")</f>
        <v>NON-RP</v>
      </c>
    </row>
    <row r="136" spans="2:25" x14ac:dyDescent="0.5">
      <c r="B136" s="30">
        <v>132</v>
      </c>
      <c r="C136" s="30" t="s">
        <v>351</v>
      </c>
      <c r="D136" s="31">
        <v>2021132</v>
      </c>
      <c r="E136" s="30" t="s">
        <v>352</v>
      </c>
      <c r="F136" s="53" t="s">
        <v>103</v>
      </c>
      <c r="G136" s="32">
        <v>44095</v>
      </c>
      <c r="H136" s="33">
        <v>0.63346522275283124</v>
      </c>
      <c r="I136" s="30" t="s">
        <v>321</v>
      </c>
      <c r="J136" s="34">
        <v>260190</v>
      </c>
      <c r="K136" s="35" t="s">
        <v>17</v>
      </c>
      <c r="L136" s="36">
        <v>46834.2</v>
      </c>
      <c r="M136" s="30" t="s">
        <v>32</v>
      </c>
      <c r="N136" s="30" t="s">
        <v>51</v>
      </c>
      <c r="O136" s="30" t="s">
        <v>1542</v>
      </c>
      <c r="P136" s="30" t="s">
        <v>1542</v>
      </c>
      <c r="Q136" s="30" t="str">
        <f t="shared" si="10"/>
        <v>AM</v>
      </c>
      <c r="R136" s="30" t="str">
        <f t="shared" si="11"/>
        <v>DM</v>
      </c>
      <c r="S136" s="30" t="str">
        <f>VLOOKUP(M136,'Data - Employee Rights Master'!$C$3:$D$32,2,0)</f>
        <v>AM</v>
      </c>
      <c r="T136" s="30" t="str">
        <f>VLOOKUP(N136,'Data - Employee Rights Master'!$C$3:$D$32,2,0)</f>
        <v>DM</v>
      </c>
      <c r="U136" s="41" t="str">
        <f t="shared" si="12"/>
        <v>PASS</v>
      </c>
      <c r="V136" s="41" t="str">
        <f t="shared" si="13"/>
        <v>NA</v>
      </c>
      <c r="W136" s="30" t="str">
        <f t="shared" si="14"/>
        <v>2021</v>
      </c>
      <c r="X136" s="30" t="str">
        <f>VLOOKUP(MONTH(G136),Key!$F$3:$G$14,2,0)</f>
        <v>Sep</v>
      </c>
      <c r="Y136" s="30" t="str">
        <f>IFERROR(IF(MATCH(F136,'Test 6'!C$5:C$9,0)&gt;0,"RP"),"NON-RP")</f>
        <v>NON-RP</v>
      </c>
    </row>
    <row r="137" spans="2:25" x14ac:dyDescent="0.5">
      <c r="B137" s="30">
        <v>133</v>
      </c>
      <c r="C137" s="30" t="s">
        <v>1308</v>
      </c>
      <c r="D137" s="31">
        <v>2021133</v>
      </c>
      <c r="E137" s="30" t="s">
        <v>353</v>
      </c>
      <c r="F137" s="53" t="s">
        <v>57</v>
      </c>
      <c r="G137" s="32">
        <v>44096</v>
      </c>
      <c r="H137" s="33">
        <v>0.55774837309734271</v>
      </c>
      <c r="I137" s="30" t="s">
        <v>321</v>
      </c>
      <c r="J137" s="34">
        <v>425730</v>
      </c>
      <c r="K137" s="35" t="s">
        <v>17</v>
      </c>
      <c r="L137" s="36">
        <v>76631.399999999994</v>
      </c>
      <c r="M137" s="30" t="s">
        <v>37</v>
      </c>
      <c r="N137" s="30" t="s">
        <v>68</v>
      </c>
      <c r="O137" s="30" t="s">
        <v>1542</v>
      </c>
      <c r="P137" s="30" t="s">
        <v>1542</v>
      </c>
      <c r="Q137" s="30" t="str">
        <f t="shared" si="10"/>
        <v>AM</v>
      </c>
      <c r="R137" s="30" t="str">
        <f t="shared" si="11"/>
        <v>DM</v>
      </c>
      <c r="S137" s="30" t="str">
        <f>VLOOKUP(M137,'Data - Employee Rights Master'!$C$3:$D$32,2,0)</f>
        <v>AM</v>
      </c>
      <c r="T137" s="30" t="str">
        <f>VLOOKUP(N137,'Data - Employee Rights Master'!$C$3:$D$32,2,0)</f>
        <v>DM</v>
      </c>
      <c r="U137" s="41" t="str">
        <f t="shared" si="12"/>
        <v>PASS</v>
      </c>
      <c r="V137" s="41" t="str">
        <f t="shared" si="13"/>
        <v>NA</v>
      </c>
      <c r="W137" s="30" t="str">
        <f t="shared" si="14"/>
        <v>2021</v>
      </c>
      <c r="X137" s="30" t="str">
        <f>VLOOKUP(MONTH(G137),Key!$F$3:$G$14,2,0)</f>
        <v>Sep</v>
      </c>
      <c r="Y137" s="30" t="str">
        <f>IFERROR(IF(MATCH(F137,'Test 6'!C$5:C$9,0)&gt;0,"RP"),"NON-RP")</f>
        <v>NON-RP</v>
      </c>
    </row>
    <row r="138" spans="2:25" x14ac:dyDescent="0.5">
      <c r="B138" s="30">
        <v>134</v>
      </c>
      <c r="C138" s="30" t="s">
        <v>354</v>
      </c>
      <c r="D138" s="31">
        <v>2021134</v>
      </c>
      <c r="E138" s="30" t="s">
        <v>355</v>
      </c>
      <c r="F138" s="53" t="s">
        <v>125</v>
      </c>
      <c r="G138" s="32">
        <v>44097</v>
      </c>
      <c r="H138" s="33">
        <v>0.42510842034011354</v>
      </c>
      <c r="I138" s="30" t="s">
        <v>321</v>
      </c>
      <c r="J138" s="34">
        <v>499520</v>
      </c>
      <c r="K138" s="35" t="s">
        <v>17</v>
      </c>
      <c r="L138" s="36">
        <v>89913.599999999991</v>
      </c>
      <c r="M138" s="30" t="s">
        <v>32</v>
      </c>
      <c r="N138" s="30" t="s">
        <v>68</v>
      </c>
      <c r="O138" s="30" t="s">
        <v>1542</v>
      </c>
      <c r="P138" s="30" t="s">
        <v>1542</v>
      </c>
      <c r="Q138" s="30" t="str">
        <f t="shared" si="10"/>
        <v>AM</v>
      </c>
      <c r="R138" s="30" t="str">
        <f t="shared" si="11"/>
        <v>DM</v>
      </c>
      <c r="S138" s="30" t="str">
        <f>VLOOKUP(M138,'Data - Employee Rights Master'!$C$3:$D$32,2,0)</f>
        <v>AM</v>
      </c>
      <c r="T138" s="30" t="str">
        <f>VLOOKUP(N138,'Data - Employee Rights Master'!$C$3:$D$32,2,0)</f>
        <v>DM</v>
      </c>
      <c r="U138" s="41" t="str">
        <f t="shared" si="12"/>
        <v>PASS</v>
      </c>
      <c r="V138" s="41" t="str">
        <f t="shared" si="13"/>
        <v>NA</v>
      </c>
      <c r="W138" s="30" t="str">
        <f t="shared" si="14"/>
        <v>2021</v>
      </c>
      <c r="X138" s="30" t="str">
        <f>VLOOKUP(MONTH(G138),Key!$F$3:$G$14,2,0)</f>
        <v>Sep</v>
      </c>
      <c r="Y138" s="30" t="str">
        <f>IFERROR(IF(MATCH(F138,'Test 6'!C$5:C$9,0)&gt;0,"RP"),"NON-RP")</f>
        <v>NON-RP</v>
      </c>
    </row>
    <row r="139" spans="2:25" x14ac:dyDescent="0.5">
      <c r="B139" s="30">
        <v>135</v>
      </c>
      <c r="C139" s="30" t="s">
        <v>356</v>
      </c>
      <c r="D139" s="31">
        <v>2021135</v>
      </c>
      <c r="E139" s="30" t="s">
        <v>357</v>
      </c>
      <c r="F139" s="53" t="s">
        <v>269</v>
      </c>
      <c r="G139" s="32">
        <v>44098</v>
      </c>
      <c r="H139" s="33">
        <v>0.69800037656231384</v>
      </c>
      <c r="I139" s="30" t="s">
        <v>321</v>
      </c>
      <c r="J139" s="34">
        <v>344930</v>
      </c>
      <c r="K139" s="35" t="s">
        <v>17</v>
      </c>
      <c r="L139" s="36">
        <v>62087.399999999994</v>
      </c>
      <c r="M139" s="30" t="s">
        <v>32</v>
      </c>
      <c r="N139" s="30" t="s">
        <v>47</v>
      </c>
      <c r="O139" s="30" t="s">
        <v>1542</v>
      </c>
      <c r="P139" s="30" t="s">
        <v>1542</v>
      </c>
      <c r="Q139" s="30" t="str">
        <f t="shared" si="10"/>
        <v>AM</v>
      </c>
      <c r="R139" s="30" t="str">
        <f t="shared" si="11"/>
        <v>DM</v>
      </c>
      <c r="S139" s="30" t="str">
        <f>VLOOKUP(M139,'Data - Employee Rights Master'!$C$3:$D$32,2,0)</f>
        <v>AM</v>
      </c>
      <c r="T139" s="30" t="str">
        <f>VLOOKUP(N139,'Data - Employee Rights Master'!$C$3:$D$32,2,0)</f>
        <v>DM</v>
      </c>
      <c r="U139" s="41" t="str">
        <f t="shared" si="12"/>
        <v>PASS</v>
      </c>
      <c r="V139" s="41" t="str">
        <f t="shared" si="13"/>
        <v>NA</v>
      </c>
      <c r="W139" s="30" t="str">
        <f t="shared" si="14"/>
        <v>2021</v>
      </c>
      <c r="X139" s="30" t="str">
        <f>VLOOKUP(MONTH(G139),Key!$F$3:$G$14,2,0)</f>
        <v>Sep</v>
      </c>
      <c r="Y139" s="30" t="str">
        <f>IFERROR(IF(MATCH(F139,'Test 6'!C$5:C$9,0)&gt;0,"RP"),"NON-RP")</f>
        <v>NON-RP</v>
      </c>
    </row>
    <row r="140" spans="2:25" x14ac:dyDescent="0.5">
      <c r="B140" s="30">
        <v>136</v>
      </c>
      <c r="C140" s="30" t="s">
        <v>358</v>
      </c>
      <c r="D140" s="31">
        <v>2021136</v>
      </c>
      <c r="E140" s="30" t="s">
        <v>359</v>
      </c>
      <c r="F140" s="53" t="s">
        <v>35</v>
      </c>
      <c r="G140" s="32">
        <v>44098</v>
      </c>
      <c r="H140" s="33">
        <v>0.71518820043632969</v>
      </c>
      <c r="I140" s="30" t="s">
        <v>321</v>
      </c>
      <c r="J140" s="34">
        <v>272690</v>
      </c>
      <c r="K140" s="35" t="s">
        <v>17</v>
      </c>
      <c r="L140" s="36">
        <v>49084.2</v>
      </c>
      <c r="M140" s="30" t="s">
        <v>46</v>
      </c>
      <c r="N140" s="30" t="s">
        <v>51</v>
      </c>
      <c r="O140" s="30" t="s">
        <v>1542</v>
      </c>
      <c r="P140" s="30" t="s">
        <v>1542</v>
      </c>
      <c r="Q140" s="30" t="str">
        <f t="shared" si="10"/>
        <v>AM</v>
      </c>
      <c r="R140" s="30" t="str">
        <f t="shared" si="11"/>
        <v>DM</v>
      </c>
      <c r="S140" s="30" t="str">
        <f>VLOOKUP(M140,'Data - Employee Rights Master'!$C$3:$D$32,2,0)</f>
        <v>AM</v>
      </c>
      <c r="T140" s="30" t="str">
        <f>VLOOKUP(N140,'Data - Employee Rights Master'!$C$3:$D$32,2,0)</f>
        <v>DM</v>
      </c>
      <c r="U140" s="41" t="str">
        <f t="shared" si="12"/>
        <v>PASS</v>
      </c>
      <c r="V140" s="41" t="str">
        <f t="shared" si="13"/>
        <v>NA</v>
      </c>
      <c r="W140" s="30" t="str">
        <f t="shared" si="14"/>
        <v>2021</v>
      </c>
      <c r="X140" s="30" t="str">
        <f>VLOOKUP(MONTH(G140),Key!$F$3:$G$14,2,0)</f>
        <v>Sep</v>
      </c>
      <c r="Y140" s="30" t="str">
        <f>IFERROR(IF(MATCH(F140,'Test 6'!C$5:C$9,0)&gt;0,"RP"),"NON-RP")</f>
        <v>NON-RP</v>
      </c>
    </row>
    <row r="141" spans="2:25" x14ac:dyDescent="0.5">
      <c r="B141" s="30">
        <v>137</v>
      </c>
      <c r="C141" s="30" t="s">
        <v>360</v>
      </c>
      <c r="D141" s="31">
        <v>2021137</v>
      </c>
      <c r="E141" s="30" t="s">
        <v>361</v>
      </c>
      <c r="F141" s="53" t="s">
        <v>293</v>
      </c>
      <c r="G141" s="32">
        <v>44099</v>
      </c>
      <c r="H141" s="33">
        <v>0.57685425275325086</v>
      </c>
      <c r="I141" s="30" t="s">
        <v>321</v>
      </c>
      <c r="J141" s="34">
        <v>253760</v>
      </c>
      <c r="K141" s="35" t="s">
        <v>17</v>
      </c>
      <c r="L141" s="36">
        <v>45676.799999999996</v>
      </c>
      <c r="M141" s="30" t="s">
        <v>23</v>
      </c>
      <c r="N141" s="30" t="s">
        <v>24</v>
      </c>
      <c r="O141" s="30" t="s">
        <v>1542</v>
      </c>
      <c r="P141" s="30" t="s">
        <v>1542</v>
      </c>
      <c r="Q141" s="30" t="str">
        <f t="shared" si="10"/>
        <v>AM</v>
      </c>
      <c r="R141" s="30" t="str">
        <f t="shared" si="11"/>
        <v>DM</v>
      </c>
      <c r="S141" s="30" t="str">
        <f>VLOOKUP(M141,'Data - Employee Rights Master'!$C$3:$D$32,2,0)</f>
        <v>AM</v>
      </c>
      <c r="T141" s="30" t="str">
        <f>VLOOKUP(N141,'Data - Employee Rights Master'!$C$3:$D$32,2,0)</f>
        <v>DM</v>
      </c>
      <c r="U141" s="41" t="str">
        <f t="shared" si="12"/>
        <v>PASS</v>
      </c>
      <c r="V141" s="41" t="str">
        <f t="shared" si="13"/>
        <v>NA</v>
      </c>
      <c r="W141" s="30" t="str">
        <f t="shared" si="14"/>
        <v>2021</v>
      </c>
      <c r="X141" s="30" t="str">
        <f>VLOOKUP(MONTH(G141),Key!$F$3:$G$14,2,0)</f>
        <v>Sep</v>
      </c>
      <c r="Y141" s="30" t="str">
        <f>IFERROR(IF(MATCH(F141,'Test 6'!C$5:C$9,0)&gt;0,"RP"),"NON-RP")</f>
        <v>NON-RP</v>
      </c>
    </row>
    <row r="142" spans="2:25" x14ac:dyDescent="0.5">
      <c r="B142" s="30">
        <v>138</v>
      </c>
      <c r="C142" s="30" t="s">
        <v>362</v>
      </c>
      <c r="D142" s="31">
        <v>2021138</v>
      </c>
      <c r="E142" s="30" t="s">
        <v>363</v>
      </c>
      <c r="F142" s="53" t="s">
        <v>119</v>
      </c>
      <c r="G142" s="32">
        <v>44100</v>
      </c>
      <c r="H142" s="33">
        <v>0.44979992232241756</v>
      </c>
      <c r="I142" s="30" t="s">
        <v>321</v>
      </c>
      <c r="J142" s="34">
        <v>361660</v>
      </c>
      <c r="K142" s="35" t="s">
        <v>17</v>
      </c>
      <c r="L142" s="36">
        <v>65098.799999999996</v>
      </c>
      <c r="M142" s="30" t="s">
        <v>61</v>
      </c>
      <c r="N142" s="30" t="s">
        <v>51</v>
      </c>
      <c r="O142" s="30" t="s">
        <v>1542</v>
      </c>
      <c r="P142" s="30" t="s">
        <v>1542</v>
      </c>
      <c r="Q142" s="30" t="str">
        <f t="shared" si="10"/>
        <v>AM</v>
      </c>
      <c r="R142" s="30" t="str">
        <f t="shared" si="11"/>
        <v>DM</v>
      </c>
      <c r="S142" s="30" t="str">
        <f>VLOOKUP(M142,'Data - Employee Rights Master'!$C$3:$D$32,2,0)</f>
        <v>AM</v>
      </c>
      <c r="T142" s="30" t="str">
        <f>VLOOKUP(N142,'Data - Employee Rights Master'!$C$3:$D$32,2,0)</f>
        <v>DM</v>
      </c>
      <c r="U142" s="41" t="str">
        <f t="shared" si="12"/>
        <v>PASS</v>
      </c>
      <c r="V142" s="41" t="str">
        <f t="shared" si="13"/>
        <v>NA</v>
      </c>
      <c r="W142" s="30" t="str">
        <f t="shared" si="14"/>
        <v>2021</v>
      </c>
      <c r="X142" s="30" t="str">
        <f>VLOOKUP(MONTH(G142),Key!$F$3:$G$14,2,0)</f>
        <v>Sep</v>
      </c>
      <c r="Y142" s="30" t="str">
        <f>IFERROR(IF(MATCH(F142,'Test 6'!C$5:C$9,0)&gt;0,"RP"),"NON-RP")</f>
        <v>NON-RP</v>
      </c>
    </row>
    <row r="143" spans="2:25" x14ac:dyDescent="0.5">
      <c r="B143" s="30">
        <v>139</v>
      </c>
      <c r="C143" s="30" t="s">
        <v>364</v>
      </c>
      <c r="D143" s="31">
        <v>2021139</v>
      </c>
      <c r="E143" s="30" t="s">
        <v>365</v>
      </c>
      <c r="F143" s="53" t="s">
        <v>40</v>
      </c>
      <c r="G143" s="32">
        <v>44102</v>
      </c>
      <c r="H143" s="33">
        <v>0.6502186723415051</v>
      </c>
      <c r="I143" s="30" t="s">
        <v>321</v>
      </c>
      <c r="J143" s="34">
        <v>325730</v>
      </c>
      <c r="K143" s="35" t="s">
        <v>17</v>
      </c>
      <c r="L143" s="36">
        <v>58631.4</v>
      </c>
      <c r="M143" s="30" t="s">
        <v>37</v>
      </c>
      <c r="N143" s="30" t="s">
        <v>47</v>
      </c>
      <c r="O143" s="30" t="s">
        <v>1542</v>
      </c>
      <c r="P143" s="30" t="s">
        <v>1542</v>
      </c>
      <c r="Q143" s="30" t="str">
        <f t="shared" si="10"/>
        <v>AM</v>
      </c>
      <c r="R143" s="30" t="str">
        <f t="shared" si="11"/>
        <v>DM</v>
      </c>
      <c r="S143" s="30" t="str">
        <f>VLOOKUP(M143,'Data - Employee Rights Master'!$C$3:$D$32,2,0)</f>
        <v>AM</v>
      </c>
      <c r="T143" s="30" t="str">
        <f>VLOOKUP(N143,'Data - Employee Rights Master'!$C$3:$D$32,2,0)</f>
        <v>DM</v>
      </c>
      <c r="U143" s="41" t="str">
        <f t="shared" si="12"/>
        <v>PASS</v>
      </c>
      <c r="V143" s="41" t="str">
        <f t="shared" si="13"/>
        <v>NA</v>
      </c>
      <c r="W143" s="30" t="str">
        <f t="shared" si="14"/>
        <v>2021</v>
      </c>
      <c r="X143" s="30" t="str">
        <f>VLOOKUP(MONTH(G143),Key!$F$3:$G$14,2,0)</f>
        <v>Sep</v>
      </c>
      <c r="Y143" s="30" t="str">
        <f>IFERROR(IF(MATCH(F143,'Test 6'!C$5:C$9,0)&gt;0,"RP"),"NON-RP")</f>
        <v>NON-RP</v>
      </c>
    </row>
    <row r="144" spans="2:25" x14ac:dyDescent="0.5">
      <c r="B144" s="30">
        <v>140</v>
      </c>
      <c r="C144" s="30" t="s">
        <v>366</v>
      </c>
      <c r="D144" s="31">
        <v>2021140</v>
      </c>
      <c r="E144" s="30" t="s">
        <v>367</v>
      </c>
      <c r="F144" s="53" t="s">
        <v>262</v>
      </c>
      <c r="G144" s="32">
        <v>44103</v>
      </c>
      <c r="H144" s="33">
        <v>0.53464118635229485</v>
      </c>
      <c r="I144" s="30" t="s">
        <v>321</v>
      </c>
      <c r="J144" s="34">
        <v>343420</v>
      </c>
      <c r="K144" s="35" t="s">
        <v>17</v>
      </c>
      <c r="L144" s="36">
        <v>61815.6</v>
      </c>
      <c r="M144" s="30" t="s">
        <v>28</v>
      </c>
      <c r="N144" s="30" t="s">
        <v>68</v>
      </c>
      <c r="O144" s="30" t="s">
        <v>1542</v>
      </c>
      <c r="P144" s="30" t="s">
        <v>1542</v>
      </c>
      <c r="Q144" s="30" t="str">
        <f t="shared" si="10"/>
        <v>AM</v>
      </c>
      <c r="R144" s="30" t="str">
        <f t="shared" si="11"/>
        <v>DM</v>
      </c>
      <c r="S144" s="30" t="str">
        <f>VLOOKUP(M144,'Data - Employee Rights Master'!$C$3:$D$32,2,0)</f>
        <v>AM</v>
      </c>
      <c r="T144" s="30" t="str">
        <f>VLOOKUP(N144,'Data - Employee Rights Master'!$C$3:$D$32,2,0)</f>
        <v>DM</v>
      </c>
      <c r="U144" s="41" t="str">
        <f t="shared" si="12"/>
        <v>PASS</v>
      </c>
      <c r="V144" s="41" t="str">
        <f t="shared" si="13"/>
        <v>NA</v>
      </c>
      <c r="W144" s="30" t="str">
        <f t="shared" si="14"/>
        <v>2021</v>
      </c>
      <c r="X144" s="30" t="str">
        <f>VLOOKUP(MONTH(G144),Key!$F$3:$G$14,2,0)</f>
        <v>Sep</v>
      </c>
      <c r="Y144" s="30" t="str">
        <f>IFERROR(IF(MATCH(F144,'Test 6'!C$5:C$9,0)&gt;0,"RP"),"NON-RP")</f>
        <v>NON-RP</v>
      </c>
    </row>
    <row r="145" spans="2:25" x14ac:dyDescent="0.5">
      <c r="B145" s="30">
        <v>141</v>
      </c>
      <c r="C145" s="30" t="s">
        <v>368</v>
      </c>
      <c r="D145" s="31">
        <v>2021141</v>
      </c>
      <c r="E145" s="30" t="s">
        <v>369</v>
      </c>
      <c r="F145" s="53" t="s">
        <v>203</v>
      </c>
      <c r="G145" s="32">
        <v>44103</v>
      </c>
      <c r="H145" s="33">
        <v>0.55622925187951489</v>
      </c>
      <c r="I145" s="30" t="s">
        <v>321</v>
      </c>
      <c r="J145" s="34">
        <v>413230</v>
      </c>
      <c r="K145" s="35" t="s">
        <v>17</v>
      </c>
      <c r="L145" s="36">
        <v>74381.399999999994</v>
      </c>
      <c r="M145" s="30" t="s">
        <v>28</v>
      </c>
      <c r="N145" s="30" t="s">
        <v>47</v>
      </c>
      <c r="O145" s="30" t="s">
        <v>1542</v>
      </c>
      <c r="P145" s="30" t="s">
        <v>1542</v>
      </c>
      <c r="Q145" s="30" t="str">
        <f t="shared" si="10"/>
        <v>AM</v>
      </c>
      <c r="R145" s="30" t="str">
        <f t="shared" si="11"/>
        <v>DM</v>
      </c>
      <c r="S145" s="30" t="str">
        <f>VLOOKUP(M145,'Data - Employee Rights Master'!$C$3:$D$32,2,0)</f>
        <v>AM</v>
      </c>
      <c r="T145" s="30" t="str">
        <f>VLOOKUP(N145,'Data - Employee Rights Master'!$C$3:$D$32,2,0)</f>
        <v>DM</v>
      </c>
      <c r="U145" s="41" t="str">
        <f t="shared" si="12"/>
        <v>PASS</v>
      </c>
      <c r="V145" s="41" t="str">
        <f t="shared" si="13"/>
        <v>NA</v>
      </c>
      <c r="W145" s="30" t="str">
        <f t="shared" si="14"/>
        <v>2021</v>
      </c>
      <c r="X145" s="30" t="str">
        <f>VLOOKUP(MONTH(G145),Key!$F$3:$G$14,2,0)</f>
        <v>Sep</v>
      </c>
      <c r="Y145" s="30" t="str">
        <f>IFERROR(IF(MATCH(F145,'Test 6'!C$5:C$9,0)&gt;0,"RP"),"NON-RP")</f>
        <v>NON-RP</v>
      </c>
    </row>
    <row r="146" spans="2:25" x14ac:dyDescent="0.5">
      <c r="B146" s="30">
        <v>142</v>
      </c>
      <c r="C146" s="30" t="s">
        <v>370</v>
      </c>
      <c r="D146" s="31">
        <v>2021142</v>
      </c>
      <c r="E146" s="30" t="s">
        <v>371</v>
      </c>
      <c r="F146" s="53" t="s">
        <v>184</v>
      </c>
      <c r="G146" s="32">
        <v>44104</v>
      </c>
      <c r="H146" s="33">
        <v>0.52631118849912173</v>
      </c>
      <c r="I146" s="30" t="s">
        <v>321</v>
      </c>
      <c r="J146" s="34">
        <v>287450</v>
      </c>
      <c r="K146" s="35" t="s">
        <v>17</v>
      </c>
      <c r="L146" s="36">
        <v>51741</v>
      </c>
      <c r="M146" s="30" t="s">
        <v>37</v>
      </c>
      <c r="N146" s="30" t="s">
        <v>47</v>
      </c>
      <c r="O146" s="30" t="s">
        <v>1542</v>
      </c>
      <c r="P146" s="30" t="s">
        <v>1542</v>
      </c>
      <c r="Q146" s="30" t="str">
        <f t="shared" si="10"/>
        <v>AM</v>
      </c>
      <c r="R146" s="30" t="str">
        <f t="shared" si="11"/>
        <v>DM</v>
      </c>
      <c r="S146" s="30" t="str">
        <f>VLOOKUP(M146,'Data - Employee Rights Master'!$C$3:$D$32,2,0)</f>
        <v>AM</v>
      </c>
      <c r="T146" s="30" t="str">
        <f>VLOOKUP(N146,'Data - Employee Rights Master'!$C$3:$D$32,2,0)</f>
        <v>DM</v>
      </c>
      <c r="U146" s="41" t="str">
        <f t="shared" si="12"/>
        <v>PASS</v>
      </c>
      <c r="V146" s="41" t="str">
        <f t="shared" si="13"/>
        <v>NA</v>
      </c>
      <c r="W146" s="30" t="str">
        <f t="shared" si="14"/>
        <v>2021</v>
      </c>
      <c r="X146" s="30" t="str">
        <f>VLOOKUP(MONTH(G146),Key!$F$3:$G$14,2,0)</f>
        <v>Sep</v>
      </c>
      <c r="Y146" s="30" t="str">
        <f>IFERROR(IF(MATCH(F146,'Test 6'!C$5:C$9,0)&gt;0,"RP"),"NON-RP")</f>
        <v>NON-RP</v>
      </c>
    </row>
    <row r="147" spans="2:25" x14ac:dyDescent="0.5">
      <c r="B147" s="30">
        <v>143</v>
      </c>
      <c r="C147" s="30" t="s">
        <v>372</v>
      </c>
      <c r="D147" s="31">
        <v>2021143</v>
      </c>
      <c r="E147" s="30" t="s">
        <v>373</v>
      </c>
      <c r="F147" s="53" t="s">
        <v>87</v>
      </c>
      <c r="G147" s="32">
        <v>44104</v>
      </c>
      <c r="H147" s="33">
        <v>0.48472645693277916</v>
      </c>
      <c r="I147" s="30" t="s">
        <v>321</v>
      </c>
      <c r="J147" s="34">
        <v>465230</v>
      </c>
      <c r="K147" s="35" t="s">
        <v>17</v>
      </c>
      <c r="L147" s="36">
        <v>83741.399999999994</v>
      </c>
      <c r="M147" s="30" t="s">
        <v>18</v>
      </c>
      <c r="N147" s="30" t="s">
        <v>24</v>
      </c>
      <c r="O147" s="30" t="s">
        <v>1542</v>
      </c>
      <c r="P147" s="30" t="s">
        <v>1542</v>
      </c>
      <c r="Q147" s="30" t="str">
        <f t="shared" si="10"/>
        <v>AM</v>
      </c>
      <c r="R147" s="30" t="str">
        <f t="shared" si="11"/>
        <v>DM</v>
      </c>
      <c r="S147" s="30" t="str">
        <f>VLOOKUP(M147,'Data - Employee Rights Master'!$C$3:$D$32,2,0)</f>
        <v>AM</v>
      </c>
      <c r="T147" s="30" t="str">
        <f>VLOOKUP(N147,'Data - Employee Rights Master'!$C$3:$D$32,2,0)</f>
        <v>DM</v>
      </c>
      <c r="U147" s="41" t="str">
        <f t="shared" si="12"/>
        <v>PASS</v>
      </c>
      <c r="V147" s="41" t="str">
        <f t="shared" si="13"/>
        <v>NA</v>
      </c>
      <c r="W147" s="30" t="str">
        <f t="shared" si="14"/>
        <v>2021</v>
      </c>
      <c r="X147" s="30" t="str">
        <f>VLOOKUP(MONTH(G147),Key!$F$3:$G$14,2,0)</f>
        <v>Sep</v>
      </c>
      <c r="Y147" s="30" t="str">
        <f>IFERROR(IF(MATCH(F147,'Test 6'!C$5:C$9,0)&gt;0,"RP"),"NON-RP")</f>
        <v>NON-RP</v>
      </c>
    </row>
    <row r="148" spans="2:25" x14ac:dyDescent="0.5">
      <c r="B148" s="30">
        <v>144</v>
      </c>
      <c r="C148" s="30" t="s">
        <v>374</v>
      </c>
      <c r="D148" s="31">
        <v>2021144</v>
      </c>
      <c r="E148" s="30" t="s">
        <v>375</v>
      </c>
      <c r="F148" s="53" t="s">
        <v>54</v>
      </c>
      <c r="G148" s="32">
        <v>44104</v>
      </c>
      <c r="H148" s="33">
        <v>0.66954043409403963</v>
      </c>
      <c r="I148" s="30" t="s">
        <v>321</v>
      </c>
      <c r="J148" s="34">
        <v>459200</v>
      </c>
      <c r="K148" s="35" t="s">
        <v>17</v>
      </c>
      <c r="L148" s="36">
        <v>82656</v>
      </c>
      <c r="M148" s="30" t="s">
        <v>23</v>
      </c>
      <c r="N148" s="30" t="s">
        <v>24</v>
      </c>
      <c r="O148" s="30" t="s">
        <v>1542</v>
      </c>
      <c r="P148" s="30" t="s">
        <v>1542</v>
      </c>
      <c r="Q148" s="30" t="str">
        <f t="shared" si="10"/>
        <v>AM</v>
      </c>
      <c r="R148" s="30" t="str">
        <f t="shared" si="11"/>
        <v>DM</v>
      </c>
      <c r="S148" s="30" t="str">
        <f>VLOOKUP(M148,'Data - Employee Rights Master'!$C$3:$D$32,2,0)</f>
        <v>AM</v>
      </c>
      <c r="T148" s="30" t="str">
        <f>VLOOKUP(N148,'Data - Employee Rights Master'!$C$3:$D$32,2,0)</f>
        <v>DM</v>
      </c>
      <c r="U148" s="41" t="str">
        <f t="shared" si="12"/>
        <v>PASS</v>
      </c>
      <c r="V148" s="41" t="str">
        <f t="shared" si="13"/>
        <v>NA</v>
      </c>
      <c r="W148" s="30" t="str">
        <f t="shared" si="14"/>
        <v>2021</v>
      </c>
      <c r="X148" s="30" t="str">
        <f>VLOOKUP(MONTH(G148),Key!$F$3:$G$14,2,0)</f>
        <v>Sep</v>
      </c>
      <c r="Y148" s="30" t="str">
        <f>IFERROR(IF(MATCH(F148,'Test 6'!C$5:C$9,0)&gt;0,"RP"),"NON-RP")</f>
        <v>NON-RP</v>
      </c>
    </row>
    <row r="149" spans="2:25" x14ac:dyDescent="0.5">
      <c r="B149" s="30">
        <v>145</v>
      </c>
      <c r="C149" s="30" t="s">
        <v>376</v>
      </c>
      <c r="D149" s="31">
        <v>2021145</v>
      </c>
      <c r="E149" s="30" t="s">
        <v>377</v>
      </c>
      <c r="F149" s="53" t="s">
        <v>378</v>
      </c>
      <c r="G149" s="32">
        <v>44104</v>
      </c>
      <c r="H149" s="33">
        <v>0.47969645566360219</v>
      </c>
      <c r="I149" s="30" t="s">
        <v>321</v>
      </c>
      <c r="J149" s="34">
        <v>363610</v>
      </c>
      <c r="K149" s="35" t="s">
        <v>17</v>
      </c>
      <c r="L149" s="36">
        <v>65449.799999999996</v>
      </c>
      <c r="M149" s="30" t="s">
        <v>37</v>
      </c>
      <c r="N149" s="30" t="s">
        <v>24</v>
      </c>
      <c r="O149" s="30" t="s">
        <v>1542</v>
      </c>
      <c r="P149" s="30" t="s">
        <v>1542</v>
      </c>
      <c r="Q149" s="30" t="str">
        <f t="shared" si="10"/>
        <v>AM</v>
      </c>
      <c r="R149" s="30" t="str">
        <f t="shared" si="11"/>
        <v>DM</v>
      </c>
      <c r="S149" s="30" t="str">
        <f>VLOOKUP(M149,'Data - Employee Rights Master'!$C$3:$D$32,2,0)</f>
        <v>AM</v>
      </c>
      <c r="T149" s="30" t="str">
        <f>VLOOKUP(N149,'Data - Employee Rights Master'!$C$3:$D$32,2,0)</f>
        <v>DM</v>
      </c>
      <c r="U149" s="41" t="str">
        <f t="shared" si="12"/>
        <v>PASS</v>
      </c>
      <c r="V149" s="41" t="str">
        <f t="shared" si="13"/>
        <v>NA</v>
      </c>
      <c r="W149" s="30" t="str">
        <f t="shared" si="14"/>
        <v>2021</v>
      </c>
      <c r="X149" s="30" t="str">
        <f>VLOOKUP(MONTH(G149),Key!$F$3:$G$14,2,0)</f>
        <v>Sep</v>
      </c>
      <c r="Y149" s="30" t="str">
        <f>IFERROR(IF(MATCH(F149,'Test 6'!C$5:C$9,0)&gt;0,"RP"),"NON-RP")</f>
        <v>RP</v>
      </c>
    </row>
    <row r="150" spans="2:25" x14ac:dyDescent="0.5">
      <c r="B150" s="30">
        <v>146</v>
      </c>
      <c r="C150" s="30" t="s">
        <v>379</v>
      </c>
      <c r="D150" s="31">
        <v>2021146</v>
      </c>
      <c r="E150" s="30" t="s">
        <v>380</v>
      </c>
      <c r="F150" s="53" t="s">
        <v>87</v>
      </c>
      <c r="G150" s="32">
        <v>44104</v>
      </c>
      <c r="H150" s="33">
        <v>0.63619208370231128</v>
      </c>
      <c r="I150" s="30" t="s">
        <v>321</v>
      </c>
      <c r="J150" s="34">
        <v>324490</v>
      </c>
      <c r="K150" s="35" t="s">
        <v>17</v>
      </c>
      <c r="L150" s="36">
        <v>58408.2</v>
      </c>
      <c r="M150" s="30" t="s">
        <v>23</v>
      </c>
      <c r="N150" s="30" t="s">
        <v>24</v>
      </c>
      <c r="O150" s="30" t="s">
        <v>1542</v>
      </c>
      <c r="P150" s="30" t="s">
        <v>1542</v>
      </c>
      <c r="Q150" s="30" t="str">
        <f t="shared" si="10"/>
        <v>AM</v>
      </c>
      <c r="R150" s="30" t="str">
        <f t="shared" si="11"/>
        <v>DM</v>
      </c>
      <c r="S150" s="30" t="str">
        <f>VLOOKUP(M150,'Data - Employee Rights Master'!$C$3:$D$32,2,0)</f>
        <v>AM</v>
      </c>
      <c r="T150" s="30" t="str">
        <f>VLOOKUP(N150,'Data - Employee Rights Master'!$C$3:$D$32,2,0)</f>
        <v>DM</v>
      </c>
      <c r="U150" s="41" t="str">
        <f t="shared" si="12"/>
        <v>PASS</v>
      </c>
      <c r="V150" s="41" t="str">
        <f t="shared" si="13"/>
        <v>NA</v>
      </c>
      <c r="W150" s="30" t="str">
        <f t="shared" si="14"/>
        <v>2021</v>
      </c>
      <c r="X150" s="30" t="str">
        <f>VLOOKUP(MONTH(G150),Key!$F$3:$G$14,2,0)</f>
        <v>Sep</v>
      </c>
      <c r="Y150" s="30" t="str">
        <f>IFERROR(IF(MATCH(F150,'Test 6'!C$5:C$9,0)&gt;0,"RP"),"NON-RP")</f>
        <v>NON-RP</v>
      </c>
    </row>
    <row r="151" spans="2:25" x14ac:dyDescent="0.5">
      <c r="B151" s="30">
        <v>147</v>
      </c>
      <c r="C151" s="30" t="s">
        <v>381</v>
      </c>
      <c r="D151" s="31">
        <v>2021147</v>
      </c>
      <c r="E151" s="30" t="s">
        <v>382</v>
      </c>
      <c r="F151" s="53" t="s">
        <v>119</v>
      </c>
      <c r="G151" s="32">
        <v>44105</v>
      </c>
      <c r="H151" s="33">
        <v>0.72444047359605146</v>
      </c>
      <c r="I151" s="30" t="s">
        <v>383</v>
      </c>
      <c r="J151" s="34">
        <v>477100</v>
      </c>
      <c r="K151" s="35" t="s">
        <v>17</v>
      </c>
      <c r="L151" s="36">
        <v>85878</v>
      </c>
      <c r="M151" s="30" t="s">
        <v>18</v>
      </c>
      <c r="N151" s="30" t="s">
        <v>68</v>
      </c>
      <c r="O151" s="30" t="s">
        <v>1542</v>
      </c>
      <c r="P151" s="30" t="s">
        <v>1542</v>
      </c>
      <c r="Q151" s="30" t="str">
        <f t="shared" si="10"/>
        <v>AM</v>
      </c>
      <c r="R151" s="30" t="str">
        <f t="shared" si="11"/>
        <v>DM</v>
      </c>
      <c r="S151" s="30" t="str">
        <f>VLOOKUP(M151,'Data - Employee Rights Master'!$C$3:$D$32,2,0)</f>
        <v>AM</v>
      </c>
      <c r="T151" s="30" t="str">
        <f>VLOOKUP(N151,'Data - Employee Rights Master'!$C$3:$D$32,2,0)</f>
        <v>DM</v>
      </c>
      <c r="U151" s="41" t="str">
        <f t="shared" si="12"/>
        <v>PASS</v>
      </c>
      <c r="V151" s="41" t="str">
        <f t="shared" si="13"/>
        <v>NA</v>
      </c>
      <c r="W151" s="30" t="str">
        <f t="shared" si="14"/>
        <v>2021</v>
      </c>
      <c r="X151" s="30" t="str">
        <f>VLOOKUP(MONTH(G151),Key!$F$3:$G$14,2,0)</f>
        <v>Oct</v>
      </c>
      <c r="Y151" s="30" t="str">
        <f>IFERROR(IF(MATCH(F151,'Test 6'!C$5:C$9,0)&gt;0,"RP"),"NON-RP")</f>
        <v>NON-RP</v>
      </c>
    </row>
    <row r="152" spans="2:25" x14ac:dyDescent="0.5">
      <c r="B152" s="30">
        <v>148</v>
      </c>
      <c r="C152" s="30" t="s">
        <v>384</v>
      </c>
      <c r="D152" s="31">
        <v>2021148</v>
      </c>
      <c r="E152" s="30" t="s">
        <v>385</v>
      </c>
      <c r="F152" s="53" t="s">
        <v>67</v>
      </c>
      <c r="G152" s="32">
        <v>44106</v>
      </c>
      <c r="H152" s="33">
        <v>0.50806740923066296</v>
      </c>
      <c r="I152" s="30" t="s">
        <v>321</v>
      </c>
      <c r="J152" s="34">
        <v>277730</v>
      </c>
      <c r="K152" s="35" t="s">
        <v>17</v>
      </c>
      <c r="L152" s="36">
        <v>49991.4</v>
      </c>
      <c r="M152" s="30" t="s">
        <v>23</v>
      </c>
      <c r="N152" s="30" t="s">
        <v>24</v>
      </c>
      <c r="O152" s="30" t="s">
        <v>1542</v>
      </c>
      <c r="P152" s="30" t="s">
        <v>1542</v>
      </c>
      <c r="Q152" s="30" t="str">
        <f t="shared" si="10"/>
        <v>AM</v>
      </c>
      <c r="R152" s="30" t="str">
        <f t="shared" si="11"/>
        <v>DM</v>
      </c>
      <c r="S152" s="30" t="str">
        <f>VLOOKUP(M152,'Data - Employee Rights Master'!$C$3:$D$32,2,0)</f>
        <v>AM</v>
      </c>
      <c r="T152" s="30" t="str">
        <f>VLOOKUP(N152,'Data - Employee Rights Master'!$C$3:$D$32,2,0)</f>
        <v>DM</v>
      </c>
      <c r="U152" s="41" t="str">
        <f t="shared" si="12"/>
        <v>PASS</v>
      </c>
      <c r="V152" s="41" t="str">
        <f t="shared" si="13"/>
        <v>NA</v>
      </c>
      <c r="W152" s="30" t="str">
        <f t="shared" si="14"/>
        <v>2021</v>
      </c>
      <c r="X152" s="30" t="str">
        <f>VLOOKUP(MONTH(G152),Key!$F$3:$G$14,2,0)</f>
        <v>Oct</v>
      </c>
      <c r="Y152" s="30" t="str">
        <f>IFERROR(IF(MATCH(F152,'Test 6'!C$5:C$9,0)&gt;0,"RP"),"NON-RP")</f>
        <v>NON-RP</v>
      </c>
    </row>
    <row r="153" spans="2:25" x14ac:dyDescent="0.5">
      <c r="B153" s="30">
        <v>149</v>
      </c>
      <c r="C153" s="30" t="s">
        <v>386</v>
      </c>
      <c r="D153" s="31">
        <v>2021149</v>
      </c>
      <c r="E153" s="30" t="s">
        <v>387</v>
      </c>
      <c r="F153" s="53" t="s">
        <v>64</v>
      </c>
      <c r="G153" s="32">
        <v>44106</v>
      </c>
      <c r="H153" s="33">
        <v>0.58431751942477461</v>
      </c>
      <c r="I153" s="30" t="s">
        <v>321</v>
      </c>
      <c r="J153" s="34">
        <v>338510</v>
      </c>
      <c r="K153" s="35" t="s">
        <v>17</v>
      </c>
      <c r="L153" s="36">
        <v>60931.799999999996</v>
      </c>
      <c r="M153" s="30" t="s">
        <v>61</v>
      </c>
      <c r="N153" s="30" t="s">
        <v>51</v>
      </c>
      <c r="O153" s="30" t="s">
        <v>1542</v>
      </c>
      <c r="P153" s="30" t="s">
        <v>1542</v>
      </c>
      <c r="Q153" s="30" t="str">
        <f t="shared" si="10"/>
        <v>AM</v>
      </c>
      <c r="R153" s="30" t="str">
        <f t="shared" si="11"/>
        <v>DM</v>
      </c>
      <c r="S153" s="30" t="str">
        <f>VLOOKUP(M153,'Data - Employee Rights Master'!$C$3:$D$32,2,0)</f>
        <v>AM</v>
      </c>
      <c r="T153" s="30" t="str">
        <f>VLOOKUP(N153,'Data - Employee Rights Master'!$C$3:$D$32,2,0)</f>
        <v>DM</v>
      </c>
      <c r="U153" s="41" t="str">
        <f t="shared" si="12"/>
        <v>PASS</v>
      </c>
      <c r="V153" s="41" t="str">
        <f t="shared" si="13"/>
        <v>NA</v>
      </c>
      <c r="W153" s="30" t="str">
        <f t="shared" si="14"/>
        <v>2021</v>
      </c>
      <c r="X153" s="30" t="str">
        <f>VLOOKUP(MONTH(G153),Key!$F$3:$G$14,2,0)</f>
        <v>Oct</v>
      </c>
      <c r="Y153" s="30" t="str">
        <f>IFERROR(IF(MATCH(F153,'Test 6'!C$5:C$9,0)&gt;0,"RP"),"NON-RP")</f>
        <v>NON-RP</v>
      </c>
    </row>
    <row r="154" spans="2:25" x14ac:dyDescent="0.5">
      <c r="B154" s="30">
        <v>150</v>
      </c>
      <c r="C154" s="30" t="s">
        <v>388</v>
      </c>
      <c r="D154" s="31">
        <v>2021150</v>
      </c>
      <c r="E154" s="30" t="s">
        <v>389</v>
      </c>
      <c r="F154" s="53" t="s">
        <v>143</v>
      </c>
      <c r="G154" s="32">
        <v>44113</v>
      </c>
      <c r="H154" s="33">
        <v>0.54985888763746094</v>
      </c>
      <c r="I154" s="30" t="s">
        <v>321</v>
      </c>
      <c r="J154" s="34">
        <v>494440</v>
      </c>
      <c r="K154" s="35" t="s">
        <v>17</v>
      </c>
      <c r="L154" s="36">
        <v>88999.2</v>
      </c>
      <c r="M154" s="30" t="s">
        <v>32</v>
      </c>
      <c r="N154" s="30" t="s">
        <v>51</v>
      </c>
      <c r="O154" s="30" t="s">
        <v>1542</v>
      </c>
      <c r="P154" s="30" t="s">
        <v>1542</v>
      </c>
      <c r="Q154" s="30" t="str">
        <f t="shared" si="10"/>
        <v>AM</v>
      </c>
      <c r="R154" s="30" t="str">
        <f t="shared" si="11"/>
        <v>DM</v>
      </c>
      <c r="S154" s="30" t="str">
        <f>VLOOKUP(M154,'Data - Employee Rights Master'!$C$3:$D$32,2,0)</f>
        <v>AM</v>
      </c>
      <c r="T154" s="30" t="str">
        <f>VLOOKUP(N154,'Data - Employee Rights Master'!$C$3:$D$32,2,0)</f>
        <v>DM</v>
      </c>
      <c r="U154" s="41" t="str">
        <f t="shared" si="12"/>
        <v>PASS</v>
      </c>
      <c r="V154" s="41" t="str">
        <f t="shared" si="13"/>
        <v>NA</v>
      </c>
      <c r="W154" s="30" t="str">
        <f t="shared" si="14"/>
        <v>2021</v>
      </c>
      <c r="X154" s="30" t="str">
        <f>VLOOKUP(MONTH(G154),Key!$F$3:$G$14,2,0)</f>
        <v>Oct</v>
      </c>
      <c r="Y154" s="30" t="str">
        <f>IFERROR(IF(MATCH(F154,'Test 6'!C$5:C$9,0)&gt;0,"RP"),"NON-RP")</f>
        <v>NON-RP</v>
      </c>
    </row>
    <row r="155" spans="2:25" x14ac:dyDescent="0.5">
      <c r="B155" s="30">
        <v>151</v>
      </c>
      <c r="C155" s="30" t="s">
        <v>390</v>
      </c>
      <c r="D155" s="31">
        <v>2021151</v>
      </c>
      <c r="E155" s="30" t="s">
        <v>391</v>
      </c>
      <c r="F155" s="53" t="s">
        <v>195</v>
      </c>
      <c r="G155" s="32">
        <v>44114</v>
      </c>
      <c r="H155" s="33">
        <v>0.47118531840067218</v>
      </c>
      <c r="I155" s="30" t="s">
        <v>383</v>
      </c>
      <c r="J155" s="34">
        <v>354520</v>
      </c>
      <c r="K155" s="35" t="s">
        <v>17</v>
      </c>
      <c r="L155" s="36">
        <v>63813.599999999999</v>
      </c>
      <c r="M155" s="30" t="s">
        <v>23</v>
      </c>
      <c r="N155" s="30" t="s">
        <v>47</v>
      </c>
      <c r="O155" s="30" t="s">
        <v>1542</v>
      </c>
      <c r="P155" s="30" t="s">
        <v>1542</v>
      </c>
      <c r="Q155" s="30" t="str">
        <f t="shared" si="10"/>
        <v>AM</v>
      </c>
      <c r="R155" s="30" t="str">
        <f t="shared" si="11"/>
        <v>DM</v>
      </c>
      <c r="S155" s="30" t="str">
        <f>VLOOKUP(M155,'Data - Employee Rights Master'!$C$3:$D$32,2,0)</f>
        <v>AM</v>
      </c>
      <c r="T155" s="30" t="str">
        <f>VLOOKUP(N155,'Data - Employee Rights Master'!$C$3:$D$32,2,0)</f>
        <v>DM</v>
      </c>
      <c r="U155" s="41" t="str">
        <f t="shared" si="12"/>
        <v>PASS</v>
      </c>
      <c r="V155" s="41" t="str">
        <f t="shared" si="13"/>
        <v>NA</v>
      </c>
      <c r="W155" s="30" t="str">
        <f t="shared" si="14"/>
        <v>2021</v>
      </c>
      <c r="X155" s="30" t="str">
        <f>VLOOKUP(MONTH(G155),Key!$F$3:$G$14,2,0)</f>
        <v>Oct</v>
      </c>
      <c r="Y155" s="30" t="str">
        <f>IFERROR(IF(MATCH(F155,'Test 6'!C$5:C$9,0)&gt;0,"RP"),"NON-RP")</f>
        <v>NON-RP</v>
      </c>
    </row>
    <row r="156" spans="2:25" x14ac:dyDescent="0.5">
      <c r="B156" s="30">
        <v>152</v>
      </c>
      <c r="C156" s="30" t="s">
        <v>392</v>
      </c>
      <c r="D156" s="31">
        <v>2021152</v>
      </c>
      <c r="E156" s="30" t="s">
        <v>393</v>
      </c>
      <c r="F156" s="53" t="s">
        <v>128</v>
      </c>
      <c r="G156" s="32">
        <v>44114</v>
      </c>
      <c r="H156" s="33">
        <v>0.53723260509131321</v>
      </c>
      <c r="I156" s="30" t="s">
        <v>383</v>
      </c>
      <c r="J156" s="34">
        <v>236430</v>
      </c>
      <c r="K156" s="35" t="s">
        <v>17</v>
      </c>
      <c r="L156" s="36">
        <v>42557.4</v>
      </c>
      <c r="M156" s="30" t="s">
        <v>28</v>
      </c>
      <c r="N156" s="30" t="s">
        <v>24</v>
      </c>
      <c r="O156" s="30" t="s">
        <v>1542</v>
      </c>
      <c r="P156" s="30" t="s">
        <v>1542</v>
      </c>
      <c r="Q156" s="30" t="str">
        <f t="shared" si="10"/>
        <v>AM</v>
      </c>
      <c r="R156" s="30" t="str">
        <f t="shared" si="11"/>
        <v>DM</v>
      </c>
      <c r="S156" s="30" t="str">
        <f>VLOOKUP(M156,'Data - Employee Rights Master'!$C$3:$D$32,2,0)</f>
        <v>AM</v>
      </c>
      <c r="T156" s="30" t="str">
        <f>VLOOKUP(N156,'Data - Employee Rights Master'!$C$3:$D$32,2,0)</f>
        <v>DM</v>
      </c>
      <c r="U156" s="41" t="str">
        <f t="shared" si="12"/>
        <v>PASS</v>
      </c>
      <c r="V156" s="41" t="str">
        <f t="shared" si="13"/>
        <v>NA</v>
      </c>
      <c r="W156" s="30" t="str">
        <f t="shared" si="14"/>
        <v>2021</v>
      </c>
      <c r="X156" s="30" t="str">
        <f>VLOOKUP(MONTH(G156),Key!$F$3:$G$14,2,0)</f>
        <v>Oct</v>
      </c>
      <c r="Y156" s="30" t="str">
        <f>IFERROR(IF(MATCH(F156,'Test 6'!C$5:C$9,0)&gt;0,"RP"),"NON-RP")</f>
        <v>NON-RP</v>
      </c>
    </row>
    <row r="157" spans="2:25" x14ac:dyDescent="0.5">
      <c r="B157" s="30">
        <v>153</v>
      </c>
      <c r="C157" s="30" t="s">
        <v>394</v>
      </c>
      <c r="D157" s="31">
        <v>2021153</v>
      </c>
      <c r="E157" s="30" t="s">
        <v>395</v>
      </c>
      <c r="F157" s="53" t="s">
        <v>60</v>
      </c>
      <c r="G157" s="32">
        <v>44114</v>
      </c>
      <c r="H157" s="33">
        <v>0.42057590796707689</v>
      </c>
      <c r="I157" s="30" t="s">
        <v>383</v>
      </c>
      <c r="J157" s="34">
        <v>269550</v>
      </c>
      <c r="K157" s="35" t="s">
        <v>17</v>
      </c>
      <c r="L157" s="36">
        <v>48519</v>
      </c>
      <c r="M157" s="30" t="s">
        <v>18</v>
      </c>
      <c r="N157" s="30" t="s">
        <v>24</v>
      </c>
      <c r="O157" s="30" t="s">
        <v>1542</v>
      </c>
      <c r="P157" s="30" t="s">
        <v>1542</v>
      </c>
      <c r="Q157" s="30" t="str">
        <f t="shared" si="10"/>
        <v>AM</v>
      </c>
      <c r="R157" s="30" t="str">
        <f t="shared" si="11"/>
        <v>DM</v>
      </c>
      <c r="S157" s="30" t="str">
        <f>VLOOKUP(M157,'Data - Employee Rights Master'!$C$3:$D$32,2,0)</f>
        <v>AM</v>
      </c>
      <c r="T157" s="30" t="str">
        <f>VLOOKUP(N157,'Data - Employee Rights Master'!$C$3:$D$32,2,0)</f>
        <v>DM</v>
      </c>
      <c r="U157" s="41" t="str">
        <f t="shared" si="12"/>
        <v>PASS</v>
      </c>
      <c r="V157" s="41" t="str">
        <f t="shared" si="13"/>
        <v>NA</v>
      </c>
      <c r="W157" s="30" t="str">
        <f t="shared" si="14"/>
        <v>2021</v>
      </c>
      <c r="X157" s="30" t="str">
        <f>VLOOKUP(MONTH(G157),Key!$F$3:$G$14,2,0)</f>
        <v>Oct</v>
      </c>
      <c r="Y157" s="30" t="str">
        <f>IFERROR(IF(MATCH(F157,'Test 6'!C$5:C$9,0)&gt;0,"RP"),"NON-RP")</f>
        <v>NON-RP</v>
      </c>
    </row>
    <row r="158" spans="2:25" x14ac:dyDescent="0.5">
      <c r="B158" s="30">
        <v>154</v>
      </c>
      <c r="C158" s="30" t="s">
        <v>396</v>
      </c>
      <c r="D158" s="31">
        <v>2021154</v>
      </c>
      <c r="E158" s="30" t="s">
        <v>397</v>
      </c>
      <c r="F158" s="53" t="s">
        <v>184</v>
      </c>
      <c r="G158" s="32">
        <v>44116</v>
      </c>
      <c r="H158" s="33">
        <v>0.70299790674246532</v>
      </c>
      <c r="I158" s="30" t="s">
        <v>383</v>
      </c>
      <c r="J158" s="34">
        <v>4699400</v>
      </c>
      <c r="K158" s="35" t="s">
        <v>17</v>
      </c>
      <c r="L158" s="36">
        <v>845892</v>
      </c>
      <c r="M158" s="30" t="s">
        <v>41</v>
      </c>
      <c r="N158" s="30" t="s">
        <v>42</v>
      </c>
      <c r="O158" s="30" t="s">
        <v>1542</v>
      </c>
      <c r="P158" s="30" t="s">
        <v>1542</v>
      </c>
      <c r="Q158" s="30" t="str">
        <f t="shared" si="10"/>
        <v>CM</v>
      </c>
      <c r="R158" s="30" t="str">
        <f t="shared" si="11"/>
        <v>CFO</v>
      </c>
      <c r="S158" s="30" t="str">
        <f>VLOOKUP(M158,'Data - Employee Rights Master'!$C$3:$D$32,2,0)</f>
        <v>CM</v>
      </c>
      <c r="T158" s="30" t="str">
        <f>VLOOKUP(N158,'Data - Employee Rights Master'!$C$3:$D$32,2,0)</f>
        <v>CFO</v>
      </c>
      <c r="U158" s="41" t="str">
        <f t="shared" si="12"/>
        <v>PASS</v>
      </c>
      <c r="V158" s="41" t="str">
        <f t="shared" si="13"/>
        <v>NA</v>
      </c>
      <c r="W158" s="30" t="str">
        <f t="shared" si="14"/>
        <v>2021</v>
      </c>
      <c r="X158" s="30" t="str">
        <f>VLOOKUP(MONTH(G158),Key!$F$3:$G$14,2,0)</f>
        <v>Oct</v>
      </c>
      <c r="Y158" s="30" t="str">
        <f>IFERROR(IF(MATCH(F158,'Test 6'!C$5:C$9,0)&gt;0,"RP"),"NON-RP")</f>
        <v>NON-RP</v>
      </c>
    </row>
    <row r="159" spans="2:25" x14ac:dyDescent="0.5">
      <c r="B159" s="30">
        <v>155</v>
      </c>
      <c r="C159" s="30" t="s">
        <v>398</v>
      </c>
      <c r="D159" s="31">
        <v>2021155</v>
      </c>
      <c r="E159" s="30" t="s">
        <v>399</v>
      </c>
      <c r="F159" s="53" t="s">
        <v>153</v>
      </c>
      <c r="G159" s="32">
        <v>44116</v>
      </c>
      <c r="H159" s="33">
        <v>0.4762961092493444</v>
      </c>
      <c r="I159" s="30" t="s">
        <v>383</v>
      </c>
      <c r="J159" s="34">
        <v>40290</v>
      </c>
      <c r="K159" s="35" t="s">
        <v>17</v>
      </c>
      <c r="L159" s="36">
        <v>7252.2</v>
      </c>
      <c r="M159" s="30" t="s">
        <v>36</v>
      </c>
      <c r="N159" s="30" t="s">
        <v>18</v>
      </c>
      <c r="O159" s="30" t="s">
        <v>1542</v>
      </c>
      <c r="P159" s="30" t="s">
        <v>1542</v>
      </c>
      <c r="Q159" s="30" t="str">
        <f t="shared" si="10"/>
        <v>SE</v>
      </c>
      <c r="R159" s="30" t="str">
        <f t="shared" si="11"/>
        <v>AM</v>
      </c>
      <c r="S159" s="30" t="str">
        <f>VLOOKUP(M159,'Data - Employee Rights Master'!$C$3:$D$32,2,0)</f>
        <v>SE</v>
      </c>
      <c r="T159" s="30" t="str">
        <f>VLOOKUP(N159,'Data - Employee Rights Master'!$C$3:$D$32,2,0)</f>
        <v>AM</v>
      </c>
      <c r="U159" s="41" t="str">
        <f t="shared" si="12"/>
        <v>PASS</v>
      </c>
      <c r="V159" s="41" t="str">
        <f t="shared" si="13"/>
        <v>NA</v>
      </c>
      <c r="W159" s="30" t="str">
        <f t="shared" si="14"/>
        <v>2021</v>
      </c>
      <c r="X159" s="30" t="str">
        <f>VLOOKUP(MONTH(G159),Key!$F$3:$G$14,2,0)</f>
        <v>Oct</v>
      </c>
      <c r="Y159" s="30" t="str">
        <f>IFERROR(IF(MATCH(F159,'Test 6'!C$5:C$9,0)&gt;0,"RP"),"NON-RP")</f>
        <v>NON-RP</v>
      </c>
    </row>
    <row r="160" spans="2:25" x14ac:dyDescent="0.5">
      <c r="B160" s="30">
        <v>156</v>
      </c>
      <c r="C160" s="30" t="s">
        <v>400</v>
      </c>
      <c r="D160" s="31">
        <v>2021156</v>
      </c>
      <c r="E160" s="30" t="s">
        <v>401</v>
      </c>
      <c r="F160" s="53" t="s">
        <v>50</v>
      </c>
      <c r="G160" s="32">
        <v>44120</v>
      </c>
      <c r="H160" s="33">
        <v>0.70830253683997935</v>
      </c>
      <c r="I160" s="30" t="s">
        <v>383</v>
      </c>
      <c r="J160" s="34">
        <v>427530</v>
      </c>
      <c r="K160" s="35" t="s">
        <v>17</v>
      </c>
      <c r="L160" s="36">
        <v>76955.399999999994</v>
      </c>
      <c r="M160" s="30" t="s">
        <v>23</v>
      </c>
      <c r="N160" s="30" t="s">
        <v>51</v>
      </c>
      <c r="O160" s="30" t="s">
        <v>1542</v>
      </c>
      <c r="P160" s="30" t="s">
        <v>1542</v>
      </c>
      <c r="Q160" s="30" t="str">
        <f t="shared" si="10"/>
        <v>AM</v>
      </c>
      <c r="R160" s="30" t="str">
        <f t="shared" si="11"/>
        <v>DM</v>
      </c>
      <c r="S160" s="30" t="str">
        <f>VLOOKUP(M160,'Data - Employee Rights Master'!$C$3:$D$32,2,0)</f>
        <v>AM</v>
      </c>
      <c r="T160" s="30" t="str">
        <f>VLOOKUP(N160,'Data - Employee Rights Master'!$C$3:$D$32,2,0)</f>
        <v>DM</v>
      </c>
      <c r="U160" s="41" t="str">
        <f t="shared" si="12"/>
        <v>PASS</v>
      </c>
      <c r="V160" s="41" t="str">
        <f t="shared" si="13"/>
        <v>NA</v>
      </c>
      <c r="W160" s="30" t="str">
        <f t="shared" si="14"/>
        <v>2021</v>
      </c>
      <c r="X160" s="30" t="str">
        <f>VLOOKUP(MONTH(G160),Key!$F$3:$G$14,2,0)</f>
        <v>Oct</v>
      </c>
      <c r="Y160" s="30" t="str">
        <f>IFERROR(IF(MATCH(F160,'Test 6'!C$5:C$9,0)&gt;0,"RP"),"NON-RP")</f>
        <v>NON-RP</v>
      </c>
    </row>
    <row r="161" spans="2:25" x14ac:dyDescent="0.5">
      <c r="B161" s="30">
        <v>157</v>
      </c>
      <c r="C161" s="30" t="s">
        <v>402</v>
      </c>
      <c r="D161" s="31">
        <v>2021157</v>
      </c>
      <c r="E161" s="30" t="s">
        <v>403</v>
      </c>
      <c r="F161" s="53" t="s">
        <v>195</v>
      </c>
      <c r="G161" s="32">
        <v>44121</v>
      </c>
      <c r="H161" s="33">
        <v>0.46525463608195966</v>
      </c>
      <c r="I161" s="30" t="s">
        <v>383</v>
      </c>
      <c r="J161" s="34">
        <v>375010</v>
      </c>
      <c r="K161" s="35" t="s">
        <v>17</v>
      </c>
      <c r="L161" s="36">
        <v>67501.8</v>
      </c>
      <c r="M161" s="30" t="s">
        <v>23</v>
      </c>
      <c r="N161" s="30" t="s">
        <v>51</v>
      </c>
      <c r="O161" s="30" t="s">
        <v>1542</v>
      </c>
      <c r="P161" s="30" t="s">
        <v>1542</v>
      </c>
      <c r="Q161" s="30" t="str">
        <f t="shared" si="10"/>
        <v>AM</v>
      </c>
      <c r="R161" s="30" t="str">
        <f t="shared" si="11"/>
        <v>DM</v>
      </c>
      <c r="S161" s="30" t="str">
        <f>VLOOKUP(M161,'Data - Employee Rights Master'!$C$3:$D$32,2,0)</f>
        <v>AM</v>
      </c>
      <c r="T161" s="30" t="str">
        <f>VLOOKUP(N161,'Data - Employee Rights Master'!$C$3:$D$32,2,0)</f>
        <v>DM</v>
      </c>
      <c r="U161" s="41" t="str">
        <f t="shared" si="12"/>
        <v>PASS</v>
      </c>
      <c r="V161" s="41" t="str">
        <f t="shared" si="13"/>
        <v>NA</v>
      </c>
      <c r="W161" s="30" t="str">
        <f t="shared" si="14"/>
        <v>2021</v>
      </c>
      <c r="X161" s="30" t="str">
        <f>VLOOKUP(MONTH(G161),Key!$F$3:$G$14,2,0)</f>
        <v>Oct</v>
      </c>
      <c r="Y161" s="30" t="str">
        <f>IFERROR(IF(MATCH(F161,'Test 6'!C$5:C$9,0)&gt;0,"RP"),"NON-RP")</f>
        <v>NON-RP</v>
      </c>
    </row>
    <row r="162" spans="2:25" x14ac:dyDescent="0.5">
      <c r="B162" s="30">
        <v>158</v>
      </c>
      <c r="C162" s="30" t="s">
        <v>404</v>
      </c>
      <c r="D162" s="31">
        <v>2021158</v>
      </c>
      <c r="E162" s="30" t="s">
        <v>405</v>
      </c>
      <c r="F162" s="53" t="s">
        <v>128</v>
      </c>
      <c r="G162" s="32">
        <v>44125</v>
      </c>
      <c r="H162" s="33">
        <v>0.53598446068457917</v>
      </c>
      <c r="I162" s="30" t="s">
        <v>383</v>
      </c>
      <c r="J162" s="34">
        <v>233840</v>
      </c>
      <c r="K162" s="35" t="s">
        <v>17</v>
      </c>
      <c r="L162" s="36">
        <v>42091.199999999997</v>
      </c>
      <c r="M162" s="30" t="s">
        <v>37</v>
      </c>
      <c r="N162" s="30" t="s">
        <v>47</v>
      </c>
      <c r="O162" s="30" t="s">
        <v>1542</v>
      </c>
      <c r="P162" s="30" t="s">
        <v>1542</v>
      </c>
      <c r="Q162" s="30" t="str">
        <f t="shared" si="10"/>
        <v>AM</v>
      </c>
      <c r="R162" s="30" t="str">
        <f t="shared" si="11"/>
        <v>DM</v>
      </c>
      <c r="S162" s="30" t="str">
        <f>VLOOKUP(M162,'Data - Employee Rights Master'!$C$3:$D$32,2,0)</f>
        <v>AM</v>
      </c>
      <c r="T162" s="30" t="str">
        <f>VLOOKUP(N162,'Data - Employee Rights Master'!$C$3:$D$32,2,0)</f>
        <v>DM</v>
      </c>
      <c r="U162" s="41" t="str">
        <f t="shared" si="12"/>
        <v>PASS</v>
      </c>
      <c r="V162" s="41" t="str">
        <f t="shared" si="13"/>
        <v>NA</v>
      </c>
      <c r="W162" s="30" t="str">
        <f t="shared" si="14"/>
        <v>2021</v>
      </c>
      <c r="X162" s="30" t="str">
        <f>VLOOKUP(MONTH(G162),Key!$F$3:$G$14,2,0)</f>
        <v>Oct</v>
      </c>
      <c r="Y162" s="30" t="str">
        <f>IFERROR(IF(MATCH(F162,'Test 6'!C$5:C$9,0)&gt;0,"RP"),"NON-RP")</f>
        <v>NON-RP</v>
      </c>
    </row>
    <row r="163" spans="2:25" x14ac:dyDescent="0.5">
      <c r="B163" s="30">
        <v>159</v>
      </c>
      <c r="C163" s="30" t="s">
        <v>406</v>
      </c>
      <c r="D163" s="31">
        <v>2021159</v>
      </c>
      <c r="E163" s="30" t="s">
        <v>407</v>
      </c>
      <c r="F163" s="53" t="s">
        <v>293</v>
      </c>
      <c r="G163" s="32">
        <v>44125</v>
      </c>
      <c r="H163" s="33">
        <v>0.42038815477690417</v>
      </c>
      <c r="I163" s="30" t="s">
        <v>383</v>
      </c>
      <c r="J163" s="34">
        <v>486560</v>
      </c>
      <c r="K163" s="35" t="s">
        <v>17</v>
      </c>
      <c r="L163" s="36">
        <v>87580.800000000003</v>
      </c>
      <c r="M163" s="30" t="s">
        <v>18</v>
      </c>
      <c r="N163" s="30" t="s">
        <v>51</v>
      </c>
      <c r="O163" s="30" t="s">
        <v>1542</v>
      </c>
      <c r="P163" s="30" t="s">
        <v>1542</v>
      </c>
      <c r="Q163" s="30" t="str">
        <f t="shared" si="10"/>
        <v>AM</v>
      </c>
      <c r="R163" s="30" t="str">
        <f t="shared" si="11"/>
        <v>DM</v>
      </c>
      <c r="S163" s="30" t="str">
        <f>VLOOKUP(M163,'Data - Employee Rights Master'!$C$3:$D$32,2,0)</f>
        <v>AM</v>
      </c>
      <c r="T163" s="30" t="str">
        <f>VLOOKUP(N163,'Data - Employee Rights Master'!$C$3:$D$32,2,0)</f>
        <v>DM</v>
      </c>
      <c r="U163" s="41" t="str">
        <f t="shared" si="12"/>
        <v>PASS</v>
      </c>
      <c r="V163" s="41" t="str">
        <f t="shared" si="13"/>
        <v>NA</v>
      </c>
      <c r="W163" s="30" t="str">
        <f t="shared" si="14"/>
        <v>2021</v>
      </c>
      <c r="X163" s="30" t="str">
        <f>VLOOKUP(MONTH(G163),Key!$F$3:$G$14,2,0)</f>
        <v>Oct</v>
      </c>
      <c r="Y163" s="30" t="str">
        <f>IFERROR(IF(MATCH(F163,'Test 6'!C$5:C$9,0)&gt;0,"RP"),"NON-RP")</f>
        <v>NON-RP</v>
      </c>
    </row>
    <row r="164" spans="2:25" x14ac:dyDescent="0.5">
      <c r="B164" s="30">
        <v>160</v>
      </c>
      <c r="C164" s="30" t="s">
        <v>408</v>
      </c>
      <c r="D164" s="31">
        <v>2021160</v>
      </c>
      <c r="E164" s="30" t="s">
        <v>409</v>
      </c>
      <c r="F164" s="53" t="s">
        <v>203</v>
      </c>
      <c r="G164" s="32">
        <v>44126</v>
      </c>
      <c r="H164" s="33">
        <v>0.54936089502691976</v>
      </c>
      <c r="I164" s="30" t="s">
        <v>383</v>
      </c>
      <c r="J164" s="34">
        <v>394840</v>
      </c>
      <c r="K164" s="35" t="s">
        <v>17</v>
      </c>
      <c r="L164" s="36">
        <v>71071.199999999997</v>
      </c>
      <c r="M164" s="30" t="s">
        <v>37</v>
      </c>
      <c r="N164" s="30" t="s">
        <v>68</v>
      </c>
      <c r="O164" s="30" t="s">
        <v>1542</v>
      </c>
      <c r="P164" s="30" t="s">
        <v>1542</v>
      </c>
      <c r="Q164" s="30" t="str">
        <f t="shared" si="10"/>
        <v>AM</v>
      </c>
      <c r="R164" s="30" t="str">
        <f t="shared" si="11"/>
        <v>DM</v>
      </c>
      <c r="S164" s="30" t="str">
        <f>VLOOKUP(M164,'Data - Employee Rights Master'!$C$3:$D$32,2,0)</f>
        <v>AM</v>
      </c>
      <c r="T164" s="30" t="str">
        <f>VLOOKUP(N164,'Data - Employee Rights Master'!$C$3:$D$32,2,0)</f>
        <v>DM</v>
      </c>
      <c r="U164" s="41" t="str">
        <f t="shared" si="12"/>
        <v>PASS</v>
      </c>
      <c r="V164" s="41" t="str">
        <f t="shared" si="13"/>
        <v>NA</v>
      </c>
      <c r="W164" s="30" t="str">
        <f t="shared" si="14"/>
        <v>2021</v>
      </c>
      <c r="X164" s="30" t="str">
        <f>VLOOKUP(MONTH(G164),Key!$F$3:$G$14,2,0)</f>
        <v>Oct</v>
      </c>
      <c r="Y164" s="30" t="str">
        <f>IFERROR(IF(MATCH(F164,'Test 6'!C$5:C$9,0)&gt;0,"RP"),"NON-RP")</f>
        <v>NON-RP</v>
      </c>
    </row>
    <row r="165" spans="2:25" x14ac:dyDescent="0.5">
      <c r="B165" s="30">
        <v>161</v>
      </c>
      <c r="C165" s="30" t="s">
        <v>410</v>
      </c>
      <c r="D165" s="31">
        <v>2021161</v>
      </c>
      <c r="E165" s="30" t="s">
        <v>411</v>
      </c>
      <c r="F165" s="53" t="s">
        <v>229</v>
      </c>
      <c r="G165" s="32">
        <v>44127</v>
      </c>
      <c r="H165" s="33">
        <v>0.55174673266043051</v>
      </c>
      <c r="I165" s="30" t="s">
        <v>383</v>
      </c>
      <c r="J165" s="34">
        <v>496620</v>
      </c>
      <c r="K165" s="35" t="s">
        <v>17</v>
      </c>
      <c r="L165" s="36">
        <v>89391.599999999991</v>
      </c>
      <c r="M165" s="30" t="s">
        <v>37</v>
      </c>
      <c r="N165" s="30" t="s">
        <v>68</v>
      </c>
      <c r="O165" s="30" t="s">
        <v>1542</v>
      </c>
      <c r="P165" s="30" t="s">
        <v>1542</v>
      </c>
      <c r="Q165" s="30" t="str">
        <f t="shared" si="10"/>
        <v>AM</v>
      </c>
      <c r="R165" s="30" t="str">
        <f t="shared" si="11"/>
        <v>DM</v>
      </c>
      <c r="S165" s="30" t="str">
        <f>VLOOKUP(M165,'Data - Employee Rights Master'!$C$3:$D$32,2,0)</f>
        <v>AM</v>
      </c>
      <c r="T165" s="30" t="str">
        <f>VLOOKUP(N165,'Data - Employee Rights Master'!$C$3:$D$32,2,0)</f>
        <v>DM</v>
      </c>
      <c r="U165" s="41" t="str">
        <f t="shared" si="12"/>
        <v>PASS</v>
      </c>
      <c r="V165" s="41" t="str">
        <f t="shared" si="13"/>
        <v>NA</v>
      </c>
      <c r="W165" s="30" t="str">
        <f t="shared" si="14"/>
        <v>2021</v>
      </c>
      <c r="X165" s="30" t="str">
        <f>VLOOKUP(MONTH(G165),Key!$F$3:$G$14,2,0)</f>
        <v>Oct</v>
      </c>
      <c r="Y165" s="30" t="str">
        <f>IFERROR(IF(MATCH(F165,'Test 6'!C$5:C$9,0)&gt;0,"RP"),"NON-RP")</f>
        <v>NON-RP</v>
      </c>
    </row>
    <row r="166" spans="2:25" x14ac:dyDescent="0.5">
      <c r="B166" s="30">
        <v>162</v>
      </c>
      <c r="C166" s="30" t="s">
        <v>412</v>
      </c>
      <c r="D166" s="31">
        <v>2021162</v>
      </c>
      <c r="E166" s="30" t="s">
        <v>413</v>
      </c>
      <c r="F166" s="53" t="s">
        <v>153</v>
      </c>
      <c r="G166" s="32">
        <v>44127</v>
      </c>
      <c r="H166" s="33">
        <v>0.50136762493587672</v>
      </c>
      <c r="I166" s="30" t="s">
        <v>383</v>
      </c>
      <c r="J166" s="34">
        <v>423630</v>
      </c>
      <c r="K166" s="35" t="s">
        <v>17</v>
      </c>
      <c r="L166" s="36">
        <v>76253.399999999994</v>
      </c>
      <c r="M166" s="30" t="s">
        <v>32</v>
      </c>
      <c r="N166" s="30" t="s">
        <v>47</v>
      </c>
      <c r="O166" s="30" t="s">
        <v>1542</v>
      </c>
      <c r="P166" s="30" t="s">
        <v>1542</v>
      </c>
      <c r="Q166" s="30" t="str">
        <f t="shared" si="10"/>
        <v>AM</v>
      </c>
      <c r="R166" s="30" t="str">
        <f t="shared" si="11"/>
        <v>DM</v>
      </c>
      <c r="S166" s="30" t="str">
        <f>VLOOKUP(M166,'Data - Employee Rights Master'!$C$3:$D$32,2,0)</f>
        <v>AM</v>
      </c>
      <c r="T166" s="30" t="str">
        <f>VLOOKUP(N166,'Data - Employee Rights Master'!$C$3:$D$32,2,0)</f>
        <v>DM</v>
      </c>
      <c r="U166" s="41" t="str">
        <f t="shared" si="12"/>
        <v>PASS</v>
      </c>
      <c r="V166" s="41" t="str">
        <f t="shared" si="13"/>
        <v>NA</v>
      </c>
      <c r="W166" s="30" t="str">
        <f t="shared" si="14"/>
        <v>2021</v>
      </c>
      <c r="X166" s="30" t="str">
        <f>VLOOKUP(MONTH(G166),Key!$F$3:$G$14,2,0)</f>
        <v>Oct</v>
      </c>
      <c r="Y166" s="30" t="str">
        <f>IFERROR(IF(MATCH(F166,'Test 6'!C$5:C$9,0)&gt;0,"RP"),"NON-RP")</f>
        <v>NON-RP</v>
      </c>
    </row>
    <row r="167" spans="2:25" x14ac:dyDescent="0.5">
      <c r="B167" s="30">
        <v>163</v>
      </c>
      <c r="C167" s="30" t="s">
        <v>414</v>
      </c>
      <c r="D167" s="31">
        <v>2021163</v>
      </c>
      <c r="E167" s="30" t="s">
        <v>415</v>
      </c>
      <c r="F167" s="53" t="s">
        <v>22</v>
      </c>
      <c r="G167" s="32">
        <v>44130</v>
      </c>
      <c r="H167" s="33">
        <v>0.48970970315527185</v>
      </c>
      <c r="I167" s="30" t="s">
        <v>383</v>
      </c>
      <c r="J167" s="34">
        <v>342230</v>
      </c>
      <c r="K167" s="35" t="s">
        <v>17</v>
      </c>
      <c r="L167" s="36">
        <v>61601.399999999994</v>
      </c>
      <c r="M167" s="30" t="s">
        <v>18</v>
      </c>
      <c r="N167" s="30" t="s">
        <v>19</v>
      </c>
      <c r="O167" s="30" t="s">
        <v>1542</v>
      </c>
      <c r="P167" s="30" t="s">
        <v>1542</v>
      </c>
      <c r="Q167" s="30" t="str">
        <f t="shared" si="10"/>
        <v>AM</v>
      </c>
      <c r="R167" s="30" t="str">
        <f t="shared" si="11"/>
        <v>DM</v>
      </c>
      <c r="S167" s="30" t="str">
        <f>VLOOKUP(M167,'Data - Employee Rights Master'!$C$3:$D$32,2,0)</f>
        <v>AM</v>
      </c>
      <c r="T167" s="30" t="str">
        <f>VLOOKUP(N167,'Data - Employee Rights Master'!$C$3:$D$32,2,0)</f>
        <v>DM</v>
      </c>
      <c r="U167" s="41" t="str">
        <f t="shared" si="12"/>
        <v>PASS</v>
      </c>
      <c r="V167" s="41" t="str">
        <f t="shared" si="13"/>
        <v>NA</v>
      </c>
      <c r="W167" s="30" t="str">
        <f t="shared" si="14"/>
        <v>2021</v>
      </c>
      <c r="X167" s="30" t="str">
        <f>VLOOKUP(MONTH(G167),Key!$F$3:$G$14,2,0)</f>
        <v>Oct</v>
      </c>
      <c r="Y167" s="30" t="str">
        <f>IFERROR(IF(MATCH(F167,'Test 6'!C$5:C$9,0)&gt;0,"RP"),"NON-RP")</f>
        <v>NON-RP</v>
      </c>
    </row>
    <row r="168" spans="2:25" x14ac:dyDescent="0.5">
      <c r="B168" s="30">
        <v>164</v>
      </c>
      <c r="C168" s="30" t="s">
        <v>416</v>
      </c>
      <c r="D168" s="31">
        <v>2021164</v>
      </c>
      <c r="E168" s="30" t="s">
        <v>417</v>
      </c>
      <c r="F168" s="53" t="s">
        <v>128</v>
      </c>
      <c r="G168" s="32">
        <v>44131</v>
      </c>
      <c r="H168" s="33">
        <v>0.48069258269571169</v>
      </c>
      <c r="I168" s="30" t="s">
        <v>383</v>
      </c>
      <c r="J168" s="34">
        <v>313120</v>
      </c>
      <c r="K168" s="35" t="s">
        <v>17</v>
      </c>
      <c r="L168" s="36">
        <v>56361.599999999999</v>
      </c>
      <c r="M168" s="30" t="s">
        <v>18</v>
      </c>
      <c r="N168" s="30" t="s">
        <v>24</v>
      </c>
      <c r="O168" s="30" t="s">
        <v>1542</v>
      </c>
      <c r="P168" s="30" t="s">
        <v>1542</v>
      </c>
      <c r="Q168" s="30" t="str">
        <f t="shared" si="10"/>
        <v>AM</v>
      </c>
      <c r="R168" s="30" t="str">
        <f t="shared" si="11"/>
        <v>DM</v>
      </c>
      <c r="S168" s="30" t="str">
        <f>VLOOKUP(M168,'Data - Employee Rights Master'!$C$3:$D$32,2,0)</f>
        <v>AM</v>
      </c>
      <c r="T168" s="30" t="str">
        <f>VLOOKUP(N168,'Data - Employee Rights Master'!$C$3:$D$32,2,0)</f>
        <v>DM</v>
      </c>
      <c r="U168" s="41" t="str">
        <f t="shared" si="12"/>
        <v>PASS</v>
      </c>
      <c r="V168" s="41" t="str">
        <f t="shared" si="13"/>
        <v>NA</v>
      </c>
      <c r="W168" s="30" t="str">
        <f t="shared" si="14"/>
        <v>2021</v>
      </c>
      <c r="X168" s="30" t="str">
        <f>VLOOKUP(MONTH(G168),Key!$F$3:$G$14,2,0)</f>
        <v>Oct</v>
      </c>
      <c r="Y168" s="30" t="str">
        <f>IFERROR(IF(MATCH(F168,'Test 6'!C$5:C$9,0)&gt;0,"RP"),"NON-RP")</f>
        <v>NON-RP</v>
      </c>
    </row>
    <row r="169" spans="2:25" x14ac:dyDescent="0.5">
      <c r="B169" s="30">
        <v>165</v>
      </c>
      <c r="C169" s="30" t="s">
        <v>418</v>
      </c>
      <c r="D169" s="31">
        <v>2021165</v>
      </c>
      <c r="E169" s="30" t="s">
        <v>419</v>
      </c>
      <c r="F169" s="53" t="s">
        <v>241</v>
      </c>
      <c r="G169" s="32">
        <v>44132</v>
      </c>
      <c r="H169" s="33">
        <v>0.65626006403049453</v>
      </c>
      <c r="I169" s="30" t="s">
        <v>383</v>
      </c>
      <c r="J169" s="34">
        <v>482500</v>
      </c>
      <c r="K169" s="35" t="s">
        <v>17</v>
      </c>
      <c r="L169" s="36">
        <v>86850</v>
      </c>
      <c r="M169" s="30" t="s">
        <v>18</v>
      </c>
      <c r="N169" s="30" t="s">
        <v>24</v>
      </c>
      <c r="O169" s="30" t="s">
        <v>1542</v>
      </c>
      <c r="P169" s="30" t="s">
        <v>1542</v>
      </c>
      <c r="Q169" s="30" t="str">
        <f t="shared" si="10"/>
        <v>AM</v>
      </c>
      <c r="R169" s="30" t="str">
        <f t="shared" si="11"/>
        <v>DM</v>
      </c>
      <c r="S169" s="30" t="str">
        <f>VLOOKUP(M169,'Data - Employee Rights Master'!$C$3:$D$32,2,0)</f>
        <v>AM</v>
      </c>
      <c r="T169" s="30" t="str">
        <f>VLOOKUP(N169,'Data - Employee Rights Master'!$C$3:$D$32,2,0)</f>
        <v>DM</v>
      </c>
      <c r="U169" s="41" t="str">
        <f t="shared" si="12"/>
        <v>PASS</v>
      </c>
      <c r="V169" s="41" t="str">
        <f t="shared" si="13"/>
        <v>NA</v>
      </c>
      <c r="W169" s="30" t="str">
        <f t="shared" si="14"/>
        <v>2021</v>
      </c>
      <c r="X169" s="30" t="str">
        <f>VLOOKUP(MONTH(G169),Key!$F$3:$G$14,2,0)</f>
        <v>Oct</v>
      </c>
      <c r="Y169" s="30" t="str">
        <f>IFERROR(IF(MATCH(F169,'Test 6'!C$5:C$9,0)&gt;0,"RP"),"NON-RP")</f>
        <v>RP</v>
      </c>
    </row>
    <row r="170" spans="2:25" x14ac:dyDescent="0.5">
      <c r="B170" s="30">
        <v>166</v>
      </c>
      <c r="C170" s="30" t="s">
        <v>420</v>
      </c>
      <c r="D170" s="31">
        <v>2021166</v>
      </c>
      <c r="E170" s="30" t="s">
        <v>421</v>
      </c>
      <c r="F170" s="53" t="s">
        <v>272</v>
      </c>
      <c r="G170" s="32">
        <v>44133</v>
      </c>
      <c r="H170" s="33">
        <v>0.42279327112314019</v>
      </c>
      <c r="I170" s="30" t="s">
        <v>383</v>
      </c>
      <c r="J170" s="34">
        <v>228570</v>
      </c>
      <c r="K170" s="35" t="s">
        <v>17</v>
      </c>
      <c r="L170" s="36">
        <v>41142.6</v>
      </c>
      <c r="M170" s="30" t="s">
        <v>18</v>
      </c>
      <c r="N170" s="30" t="s">
        <v>51</v>
      </c>
      <c r="O170" s="30" t="s">
        <v>1542</v>
      </c>
      <c r="P170" s="30" t="s">
        <v>1542</v>
      </c>
      <c r="Q170" s="30" t="str">
        <f t="shared" si="10"/>
        <v>AM</v>
      </c>
      <c r="R170" s="30" t="str">
        <f t="shared" si="11"/>
        <v>DM</v>
      </c>
      <c r="S170" s="30" t="str">
        <f>VLOOKUP(M170,'Data - Employee Rights Master'!$C$3:$D$32,2,0)</f>
        <v>AM</v>
      </c>
      <c r="T170" s="30" t="str">
        <f>VLOOKUP(N170,'Data - Employee Rights Master'!$C$3:$D$32,2,0)</f>
        <v>DM</v>
      </c>
      <c r="U170" s="41" t="str">
        <f t="shared" si="12"/>
        <v>PASS</v>
      </c>
      <c r="V170" s="41" t="str">
        <f t="shared" si="13"/>
        <v>NA</v>
      </c>
      <c r="W170" s="30" t="str">
        <f t="shared" si="14"/>
        <v>2021</v>
      </c>
      <c r="X170" s="30" t="str">
        <f>VLOOKUP(MONTH(G170),Key!$F$3:$G$14,2,0)</f>
        <v>Oct</v>
      </c>
      <c r="Y170" s="30" t="str">
        <f>IFERROR(IF(MATCH(F170,'Test 6'!C$5:C$9,0)&gt;0,"RP"),"NON-RP")</f>
        <v>NON-RP</v>
      </c>
    </row>
    <row r="171" spans="2:25" x14ac:dyDescent="0.5">
      <c r="B171" s="30">
        <v>167</v>
      </c>
      <c r="C171" s="30" t="s">
        <v>422</v>
      </c>
      <c r="D171" s="31">
        <v>2021167</v>
      </c>
      <c r="E171" s="30" t="s">
        <v>423</v>
      </c>
      <c r="F171" s="53" t="s">
        <v>190</v>
      </c>
      <c r="G171" s="32">
        <v>44135</v>
      </c>
      <c r="H171" s="33">
        <v>0.60546980654793814</v>
      </c>
      <c r="I171" s="30" t="s">
        <v>383</v>
      </c>
      <c r="J171" s="34">
        <v>374680</v>
      </c>
      <c r="K171" s="35" t="s">
        <v>17</v>
      </c>
      <c r="L171" s="36">
        <v>67442.399999999994</v>
      </c>
      <c r="M171" s="30" t="s">
        <v>61</v>
      </c>
      <c r="N171" s="30" t="s">
        <v>68</v>
      </c>
      <c r="O171" s="30" t="s">
        <v>1542</v>
      </c>
      <c r="P171" s="30" t="s">
        <v>1542</v>
      </c>
      <c r="Q171" s="30" t="str">
        <f t="shared" si="10"/>
        <v>AM</v>
      </c>
      <c r="R171" s="30" t="str">
        <f t="shared" si="11"/>
        <v>DM</v>
      </c>
      <c r="S171" s="30" t="str">
        <f>VLOOKUP(M171,'Data - Employee Rights Master'!$C$3:$D$32,2,0)</f>
        <v>AM</v>
      </c>
      <c r="T171" s="30" t="str">
        <f>VLOOKUP(N171,'Data - Employee Rights Master'!$C$3:$D$32,2,0)</f>
        <v>DM</v>
      </c>
      <c r="U171" s="41" t="str">
        <f t="shared" si="12"/>
        <v>PASS</v>
      </c>
      <c r="V171" s="41" t="str">
        <f t="shared" si="13"/>
        <v>NA</v>
      </c>
      <c r="W171" s="30" t="str">
        <f t="shared" si="14"/>
        <v>2021</v>
      </c>
      <c r="X171" s="30" t="str">
        <f>VLOOKUP(MONTH(G171),Key!$F$3:$G$14,2,0)</f>
        <v>Oct</v>
      </c>
      <c r="Y171" s="30" t="str">
        <f>IFERROR(IF(MATCH(F171,'Test 6'!C$5:C$9,0)&gt;0,"RP"),"NON-RP")</f>
        <v>NON-RP</v>
      </c>
    </row>
    <row r="172" spans="2:25" x14ac:dyDescent="0.5">
      <c r="B172" s="30">
        <v>168</v>
      </c>
      <c r="C172" s="30" t="s">
        <v>424</v>
      </c>
      <c r="D172" s="31">
        <v>2021168</v>
      </c>
      <c r="E172" s="30" t="s">
        <v>425</v>
      </c>
      <c r="F172" s="53" t="s">
        <v>95</v>
      </c>
      <c r="G172" s="32">
        <v>44135</v>
      </c>
      <c r="H172" s="33">
        <v>0.52830915803891143</v>
      </c>
      <c r="I172" s="30" t="s">
        <v>383</v>
      </c>
      <c r="J172" s="34">
        <v>270290</v>
      </c>
      <c r="K172" s="35" t="s">
        <v>17</v>
      </c>
      <c r="L172" s="36">
        <v>48652.2</v>
      </c>
      <c r="M172" s="30" t="s">
        <v>46</v>
      </c>
      <c r="N172" s="30" t="s">
        <v>47</v>
      </c>
      <c r="O172" s="30" t="s">
        <v>1542</v>
      </c>
      <c r="P172" s="30" t="s">
        <v>1542</v>
      </c>
      <c r="Q172" s="30" t="str">
        <f t="shared" si="10"/>
        <v>AM</v>
      </c>
      <c r="R172" s="30" t="str">
        <f t="shared" si="11"/>
        <v>DM</v>
      </c>
      <c r="S172" s="30" t="str">
        <f>VLOOKUP(M172,'Data - Employee Rights Master'!$C$3:$D$32,2,0)</f>
        <v>AM</v>
      </c>
      <c r="T172" s="30" t="str">
        <f>VLOOKUP(N172,'Data - Employee Rights Master'!$C$3:$D$32,2,0)</f>
        <v>DM</v>
      </c>
      <c r="U172" s="41" t="str">
        <f t="shared" si="12"/>
        <v>PASS</v>
      </c>
      <c r="V172" s="41" t="str">
        <f t="shared" si="13"/>
        <v>NA</v>
      </c>
      <c r="W172" s="30" t="str">
        <f t="shared" si="14"/>
        <v>2021</v>
      </c>
      <c r="X172" s="30" t="str">
        <f>VLOOKUP(MONTH(G172),Key!$F$3:$G$14,2,0)</f>
        <v>Oct</v>
      </c>
      <c r="Y172" s="30" t="str">
        <f>IFERROR(IF(MATCH(F172,'Test 6'!C$5:C$9,0)&gt;0,"RP"),"NON-RP")</f>
        <v>NON-RP</v>
      </c>
    </row>
    <row r="173" spans="2:25" x14ac:dyDescent="0.5">
      <c r="B173" s="30">
        <v>169</v>
      </c>
      <c r="C173" s="30" t="s">
        <v>426</v>
      </c>
      <c r="D173" s="31">
        <v>2021169</v>
      </c>
      <c r="E173" s="30" t="s">
        <v>427</v>
      </c>
      <c r="F173" s="53" t="s">
        <v>143</v>
      </c>
      <c r="G173" s="32">
        <v>44140</v>
      </c>
      <c r="H173" s="33">
        <v>0.49985919118023503</v>
      </c>
      <c r="I173" s="30" t="s">
        <v>428</v>
      </c>
      <c r="J173" s="34">
        <v>230290</v>
      </c>
      <c r="K173" s="35" t="s">
        <v>17</v>
      </c>
      <c r="L173" s="36">
        <v>41452.199999999997</v>
      </c>
      <c r="M173" s="30" t="s">
        <v>28</v>
      </c>
      <c r="N173" s="30" t="s">
        <v>19</v>
      </c>
      <c r="O173" s="30" t="s">
        <v>1542</v>
      </c>
      <c r="P173" s="30" t="s">
        <v>1542</v>
      </c>
      <c r="Q173" s="30" t="str">
        <f t="shared" si="10"/>
        <v>AM</v>
      </c>
      <c r="R173" s="30" t="str">
        <f t="shared" si="11"/>
        <v>DM</v>
      </c>
      <c r="S173" s="30" t="str">
        <f>VLOOKUP(M173,'Data - Employee Rights Master'!$C$3:$D$32,2,0)</f>
        <v>AM</v>
      </c>
      <c r="T173" s="30" t="str">
        <f>VLOOKUP(N173,'Data - Employee Rights Master'!$C$3:$D$32,2,0)</f>
        <v>DM</v>
      </c>
      <c r="U173" s="41" t="str">
        <f t="shared" si="12"/>
        <v>PASS</v>
      </c>
      <c r="V173" s="41" t="str">
        <f t="shared" si="13"/>
        <v>NA</v>
      </c>
      <c r="W173" s="30" t="str">
        <f t="shared" si="14"/>
        <v>2021</v>
      </c>
      <c r="X173" s="30" t="str">
        <f>VLOOKUP(MONTH(G173),Key!$F$3:$G$14,2,0)</f>
        <v>Nov</v>
      </c>
      <c r="Y173" s="30" t="str">
        <f>IFERROR(IF(MATCH(F173,'Test 6'!C$5:C$9,0)&gt;0,"RP"),"NON-RP")</f>
        <v>NON-RP</v>
      </c>
    </row>
    <row r="174" spans="2:25" x14ac:dyDescent="0.5">
      <c r="B174" s="30">
        <v>170</v>
      </c>
      <c r="C174" s="30" t="s">
        <v>429</v>
      </c>
      <c r="D174" s="31">
        <v>2021170</v>
      </c>
      <c r="E174" s="30" t="s">
        <v>430</v>
      </c>
      <c r="F174" s="53" t="s">
        <v>269</v>
      </c>
      <c r="G174" s="32">
        <v>44140</v>
      </c>
      <c r="H174" s="33">
        <v>0.44380099141234025</v>
      </c>
      <c r="I174" s="30" t="s">
        <v>428</v>
      </c>
      <c r="J174" s="34">
        <v>204300</v>
      </c>
      <c r="K174" s="35" t="s">
        <v>17</v>
      </c>
      <c r="L174" s="36">
        <v>36774</v>
      </c>
      <c r="M174" s="30" t="s">
        <v>23</v>
      </c>
      <c r="N174" s="30" t="s">
        <v>68</v>
      </c>
      <c r="O174" s="30" t="s">
        <v>1542</v>
      </c>
      <c r="P174" s="30" t="s">
        <v>1542</v>
      </c>
      <c r="Q174" s="30" t="str">
        <f t="shared" si="10"/>
        <v>AM</v>
      </c>
      <c r="R174" s="30" t="str">
        <f t="shared" si="11"/>
        <v>DM</v>
      </c>
      <c r="S174" s="30" t="str">
        <f>VLOOKUP(M174,'Data - Employee Rights Master'!$C$3:$D$32,2,0)</f>
        <v>AM</v>
      </c>
      <c r="T174" s="30" t="str">
        <f>VLOOKUP(N174,'Data - Employee Rights Master'!$C$3:$D$32,2,0)</f>
        <v>DM</v>
      </c>
      <c r="U174" s="41" t="str">
        <f t="shared" si="12"/>
        <v>PASS</v>
      </c>
      <c r="V174" s="41" t="str">
        <f t="shared" si="13"/>
        <v>NA</v>
      </c>
      <c r="W174" s="30" t="str">
        <f t="shared" si="14"/>
        <v>2021</v>
      </c>
      <c r="X174" s="30" t="str">
        <f>VLOOKUP(MONTH(G174),Key!$F$3:$G$14,2,0)</f>
        <v>Nov</v>
      </c>
      <c r="Y174" s="30" t="str">
        <f>IFERROR(IF(MATCH(F174,'Test 6'!C$5:C$9,0)&gt;0,"RP"),"NON-RP")</f>
        <v>NON-RP</v>
      </c>
    </row>
    <row r="175" spans="2:25" x14ac:dyDescent="0.5">
      <c r="B175" s="30">
        <v>171</v>
      </c>
      <c r="C175" s="30" t="s">
        <v>431</v>
      </c>
      <c r="D175" s="31">
        <v>2021171</v>
      </c>
      <c r="E175" s="30" t="s">
        <v>432</v>
      </c>
      <c r="F175" s="53" t="s">
        <v>184</v>
      </c>
      <c r="G175" s="32">
        <v>44140</v>
      </c>
      <c r="H175" s="33">
        <v>0.47036539875965705</v>
      </c>
      <c r="I175" s="30" t="s">
        <v>428</v>
      </c>
      <c r="J175" s="34">
        <v>429430</v>
      </c>
      <c r="K175" s="35" t="s">
        <v>17</v>
      </c>
      <c r="L175" s="36">
        <v>77297.399999999994</v>
      </c>
      <c r="M175" s="30" t="s">
        <v>28</v>
      </c>
      <c r="N175" s="30" t="s">
        <v>68</v>
      </c>
      <c r="O175" s="30" t="s">
        <v>1542</v>
      </c>
      <c r="P175" s="30" t="s">
        <v>1542</v>
      </c>
      <c r="Q175" s="30" t="str">
        <f t="shared" si="10"/>
        <v>AM</v>
      </c>
      <c r="R175" s="30" t="str">
        <f t="shared" si="11"/>
        <v>DM</v>
      </c>
      <c r="S175" s="30" t="str">
        <f>VLOOKUP(M175,'Data - Employee Rights Master'!$C$3:$D$32,2,0)</f>
        <v>AM</v>
      </c>
      <c r="T175" s="30" t="str">
        <f>VLOOKUP(N175,'Data - Employee Rights Master'!$C$3:$D$32,2,0)</f>
        <v>DM</v>
      </c>
      <c r="U175" s="41" t="str">
        <f t="shared" si="12"/>
        <v>PASS</v>
      </c>
      <c r="V175" s="41" t="str">
        <f t="shared" si="13"/>
        <v>NA</v>
      </c>
      <c r="W175" s="30" t="str">
        <f t="shared" si="14"/>
        <v>2021</v>
      </c>
      <c r="X175" s="30" t="str">
        <f>VLOOKUP(MONTH(G175),Key!$F$3:$G$14,2,0)</f>
        <v>Nov</v>
      </c>
      <c r="Y175" s="30" t="str">
        <f>IFERROR(IF(MATCH(F175,'Test 6'!C$5:C$9,0)&gt;0,"RP"),"NON-RP")</f>
        <v>NON-RP</v>
      </c>
    </row>
    <row r="176" spans="2:25" x14ac:dyDescent="0.5">
      <c r="B176" s="30">
        <v>172</v>
      </c>
      <c r="C176" s="30" t="s">
        <v>433</v>
      </c>
      <c r="D176" s="31">
        <v>2021172</v>
      </c>
      <c r="E176" s="30" t="s">
        <v>434</v>
      </c>
      <c r="F176" s="53" t="s">
        <v>87</v>
      </c>
      <c r="G176" s="32">
        <v>44141</v>
      </c>
      <c r="H176" s="33">
        <v>0.63467311777669022</v>
      </c>
      <c r="I176" s="30" t="s">
        <v>428</v>
      </c>
      <c r="J176" s="34">
        <v>208840</v>
      </c>
      <c r="K176" s="35" t="s">
        <v>17</v>
      </c>
      <c r="L176" s="36">
        <v>37591.199999999997</v>
      </c>
      <c r="M176" s="30" t="s">
        <v>23</v>
      </c>
      <c r="N176" s="30" t="s">
        <v>47</v>
      </c>
      <c r="O176" s="30" t="s">
        <v>1542</v>
      </c>
      <c r="P176" s="30" t="s">
        <v>1542</v>
      </c>
      <c r="Q176" s="30" t="str">
        <f t="shared" si="10"/>
        <v>AM</v>
      </c>
      <c r="R176" s="30" t="str">
        <f t="shared" si="11"/>
        <v>DM</v>
      </c>
      <c r="S176" s="30" t="str">
        <f>VLOOKUP(M176,'Data - Employee Rights Master'!$C$3:$D$32,2,0)</f>
        <v>AM</v>
      </c>
      <c r="T176" s="30" t="str">
        <f>VLOOKUP(N176,'Data - Employee Rights Master'!$C$3:$D$32,2,0)</f>
        <v>DM</v>
      </c>
      <c r="U176" s="41" t="str">
        <f t="shared" si="12"/>
        <v>PASS</v>
      </c>
      <c r="V176" s="41" t="str">
        <f t="shared" si="13"/>
        <v>NA</v>
      </c>
      <c r="W176" s="30" t="str">
        <f t="shared" si="14"/>
        <v>2021</v>
      </c>
      <c r="X176" s="30" t="str">
        <f>VLOOKUP(MONTH(G176),Key!$F$3:$G$14,2,0)</f>
        <v>Nov</v>
      </c>
      <c r="Y176" s="30" t="str">
        <f>IFERROR(IF(MATCH(F176,'Test 6'!C$5:C$9,0)&gt;0,"RP"),"NON-RP")</f>
        <v>NON-RP</v>
      </c>
    </row>
    <row r="177" spans="2:25" x14ac:dyDescent="0.5">
      <c r="B177" s="30">
        <v>173</v>
      </c>
      <c r="C177" s="30" t="s">
        <v>435</v>
      </c>
      <c r="D177" s="31">
        <v>2021173</v>
      </c>
      <c r="E177" s="30" t="s">
        <v>436</v>
      </c>
      <c r="F177" s="53" t="s">
        <v>54</v>
      </c>
      <c r="G177" s="32">
        <v>44142</v>
      </c>
      <c r="H177" s="33">
        <v>0.67636092287649241</v>
      </c>
      <c r="I177" s="30" t="s">
        <v>428</v>
      </c>
      <c r="J177" s="34">
        <v>459190</v>
      </c>
      <c r="K177" s="35" t="s">
        <v>17</v>
      </c>
      <c r="L177" s="36">
        <v>82654.2</v>
      </c>
      <c r="M177" s="30" t="s">
        <v>23</v>
      </c>
      <c r="N177" s="30" t="s">
        <v>47</v>
      </c>
      <c r="O177" s="30" t="s">
        <v>1542</v>
      </c>
      <c r="P177" s="30" t="s">
        <v>1542</v>
      </c>
      <c r="Q177" s="30" t="str">
        <f t="shared" si="10"/>
        <v>AM</v>
      </c>
      <c r="R177" s="30" t="str">
        <f t="shared" si="11"/>
        <v>DM</v>
      </c>
      <c r="S177" s="30" t="str">
        <f>VLOOKUP(M177,'Data - Employee Rights Master'!$C$3:$D$32,2,0)</f>
        <v>AM</v>
      </c>
      <c r="T177" s="30" t="str">
        <f>VLOOKUP(N177,'Data - Employee Rights Master'!$C$3:$D$32,2,0)</f>
        <v>DM</v>
      </c>
      <c r="U177" s="41" t="str">
        <f t="shared" si="12"/>
        <v>PASS</v>
      </c>
      <c r="V177" s="41" t="str">
        <f t="shared" si="13"/>
        <v>NA</v>
      </c>
      <c r="W177" s="30" t="str">
        <f t="shared" si="14"/>
        <v>2021</v>
      </c>
      <c r="X177" s="30" t="str">
        <f>VLOOKUP(MONTH(G177),Key!$F$3:$G$14,2,0)</f>
        <v>Nov</v>
      </c>
      <c r="Y177" s="30" t="str">
        <f>IFERROR(IF(MATCH(F177,'Test 6'!C$5:C$9,0)&gt;0,"RP"),"NON-RP")</f>
        <v>NON-RP</v>
      </c>
    </row>
    <row r="178" spans="2:25" x14ac:dyDescent="0.5">
      <c r="B178" s="30">
        <v>174</v>
      </c>
      <c r="C178" s="30" t="s">
        <v>437</v>
      </c>
      <c r="D178" s="31">
        <v>2021174</v>
      </c>
      <c r="E178" s="30" t="s">
        <v>438</v>
      </c>
      <c r="F178" s="53" t="s">
        <v>54</v>
      </c>
      <c r="G178" s="32">
        <v>44142</v>
      </c>
      <c r="H178" s="33">
        <v>0.65583953074058532</v>
      </c>
      <c r="I178" s="30" t="s">
        <v>383</v>
      </c>
      <c r="J178" s="34">
        <v>356940</v>
      </c>
      <c r="K178" s="35" t="s">
        <v>17</v>
      </c>
      <c r="L178" s="36">
        <v>64249.2</v>
      </c>
      <c r="M178" s="30" t="s">
        <v>46</v>
      </c>
      <c r="N178" s="30" t="s">
        <v>24</v>
      </c>
      <c r="O178" s="30" t="s">
        <v>1542</v>
      </c>
      <c r="P178" s="30" t="s">
        <v>1542</v>
      </c>
      <c r="Q178" s="30" t="str">
        <f t="shared" si="10"/>
        <v>AM</v>
      </c>
      <c r="R178" s="30" t="str">
        <f t="shared" si="11"/>
        <v>DM</v>
      </c>
      <c r="S178" s="30" t="str">
        <f>VLOOKUP(M178,'Data - Employee Rights Master'!$C$3:$D$32,2,0)</f>
        <v>AM</v>
      </c>
      <c r="T178" s="30" t="str">
        <f>VLOOKUP(N178,'Data - Employee Rights Master'!$C$3:$D$32,2,0)</f>
        <v>DM</v>
      </c>
      <c r="U178" s="41" t="str">
        <f t="shared" si="12"/>
        <v>PASS</v>
      </c>
      <c r="V178" s="41" t="str">
        <f t="shared" si="13"/>
        <v>NA</v>
      </c>
      <c r="W178" s="30" t="str">
        <f t="shared" si="14"/>
        <v>2021</v>
      </c>
      <c r="X178" s="30" t="str">
        <f>VLOOKUP(MONTH(G178),Key!$F$3:$G$14,2,0)</f>
        <v>Nov</v>
      </c>
      <c r="Y178" s="30" t="str">
        <f>IFERROR(IF(MATCH(F178,'Test 6'!C$5:C$9,0)&gt;0,"RP"),"NON-RP")</f>
        <v>NON-RP</v>
      </c>
    </row>
    <row r="179" spans="2:25" x14ac:dyDescent="0.5">
      <c r="B179" s="30">
        <v>175</v>
      </c>
      <c r="C179" s="30" t="s">
        <v>439</v>
      </c>
      <c r="D179" s="31">
        <v>2021175</v>
      </c>
      <c r="E179" s="30" t="s">
        <v>440</v>
      </c>
      <c r="F179" s="53" t="s">
        <v>122</v>
      </c>
      <c r="G179" s="32">
        <v>44148</v>
      </c>
      <c r="H179" s="33">
        <v>0.72530041550376989</v>
      </c>
      <c r="I179" s="30" t="s">
        <v>428</v>
      </c>
      <c r="J179" s="34">
        <v>205260</v>
      </c>
      <c r="K179" s="35" t="s">
        <v>17</v>
      </c>
      <c r="L179" s="36">
        <v>36946.799999999996</v>
      </c>
      <c r="M179" s="30" t="s">
        <v>37</v>
      </c>
      <c r="N179" s="30" t="s">
        <v>19</v>
      </c>
      <c r="O179" s="30" t="s">
        <v>1542</v>
      </c>
      <c r="P179" s="30" t="s">
        <v>1542</v>
      </c>
      <c r="Q179" s="30" t="str">
        <f t="shared" si="10"/>
        <v>AM</v>
      </c>
      <c r="R179" s="30" t="str">
        <f t="shared" si="11"/>
        <v>DM</v>
      </c>
      <c r="S179" s="30" t="str">
        <f>VLOOKUP(M179,'Data - Employee Rights Master'!$C$3:$D$32,2,0)</f>
        <v>AM</v>
      </c>
      <c r="T179" s="30" t="str">
        <f>VLOOKUP(N179,'Data - Employee Rights Master'!$C$3:$D$32,2,0)</f>
        <v>DM</v>
      </c>
      <c r="U179" s="41" t="str">
        <f t="shared" si="12"/>
        <v>PASS</v>
      </c>
      <c r="V179" s="41" t="str">
        <f t="shared" si="13"/>
        <v>NA</v>
      </c>
      <c r="W179" s="30" t="str">
        <f t="shared" si="14"/>
        <v>2021</v>
      </c>
      <c r="X179" s="30" t="str">
        <f>VLOOKUP(MONTH(G179),Key!$F$3:$G$14,2,0)</f>
        <v>Nov</v>
      </c>
      <c r="Y179" s="30" t="str">
        <f>IFERROR(IF(MATCH(F179,'Test 6'!C$5:C$9,0)&gt;0,"RP"),"NON-RP")</f>
        <v>NON-RP</v>
      </c>
    </row>
    <row r="180" spans="2:25" x14ac:dyDescent="0.5">
      <c r="B180" s="30">
        <v>176</v>
      </c>
      <c r="C180" s="30" t="s">
        <v>441</v>
      </c>
      <c r="D180" s="31">
        <v>2021176</v>
      </c>
      <c r="E180" s="30" t="s">
        <v>442</v>
      </c>
      <c r="F180" s="53" t="s">
        <v>272</v>
      </c>
      <c r="G180" s="32">
        <v>44148</v>
      </c>
      <c r="H180" s="33">
        <v>0.69274303212057431</v>
      </c>
      <c r="I180" s="30" t="s">
        <v>428</v>
      </c>
      <c r="J180" s="34">
        <v>397250</v>
      </c>
      <c r="K180" s="35" t="s">
        <v>17</v>
      </c>
      <c r="L180" s="36">
        <v>71505</v>
      </c>
      <c r="M180" s="30" t="s">
        <v>61</v>
      </c>
      <c r="N180" s="30" t="s">
        <v>24</v>
      </c>
      <c r="O180" s="30" t="s">
        <v>1542</v>
      </c>
      <c r="P180" s="30" t="s">
        <v>1542</v>
      </c>
      <c r="Q180" s="30" t="str">
        <f t="shared" si="10"/>
        <v>AM</v>
      </c>
      <c r="R180" s="30" t="str">
        <f t="shared" si="11"/>
        <v>DM</v>
      </c>
      <c r="S180" s="30" t="str">
        <f>VLOOKUP(M180,'Data - Employee Rights Master'!$C$3:$D$32,2,0)</f>
        <v>AM</v>
      </c>
      <c r="T180" s="30" t="str">
        <f>VLOOKUP(N180,'Data - Employee Rights Master'!$C$3:$D$32,2,0)</f>
        <v>DM</v>
      </c>
      <c r="U180" s="41" t="str">
        <f t="shared" si="12"/>
        <v>PASS</v>
      </c>
      <c r="V180" s="41" t="str">
        <f t="shared" si="13"/>
        <v>NA</v>
      </c>
      <c r="W180" s="30" t="str">
        <f t="shared" si="14"/>
        <v>2021</v>
      </c>
      <c r="X180" s="30" t="str">
        <f>VLOOKUP(MONTH(G180),Key!$F$3:$G$14,2,0)</f>
        <v>Nov</v>
      </c>
      <c r="Y180" s="30" t="str">
        <f>IFERROR(IF(MATCH(F180,'Test 6'!C$5:C$9,0)&gt;0,"RP"),"NON-RP")</f>
        <v>NON-RP</v>
      </c>
    </row>
    <row r="181" spans="2:25" x14ac:dyDescent="0.5">
      <c r="B181" s="30">
        <v>177</v>
      </c>
      <c r="C181" s="30" t="s">
        <v>443</v>
      </c>
      <c r="D181" s="31">
        <v>2021177</v>
      </c>
      <c r="E181" s="30" t="s">
        <v>444</v>
      </c>
      <c r="F181" s="53" t="s">
        <v>45</v>
      </c>
      <c r="G181" s="32">
        <v>44148</v>
      </c>
      <c r="H181" s="33">
        <v>0.42337013781593963</v>
      </c>
      <c r="I181" s="30" t="s">
        <v>428</v>
      </c>
      <c r="J181" s="34">
        <v>473010</v>
      </c>
      <c r="K181" s="35" t="s">
        <v>17</v>
      </c>
      <c r="L181" s="36">
        <v>85141.8</v>
      </c>
      <c r="M181" s="30" t="s">
        <v>18</v>
      </c>
      <c r="N181" s="30" t="s">
        <v>51</v>
      </c>
      <c r="O181" s="30" t="s">
        <v>1542</v>
      </c>
      <c r="P181" s="30" t="s">
        <v>1542</v>
      </c>
      <c r="Q181" s="30" t="str">
        <f t="shared" si="10"/>
        <v>AM</v>
      </c>
      <c r="R181" s="30" t="str">
        <f t="shared" si="11"/>
        <v>DM</v>
      </c>
      <c r="S181" s="30" t="str">
        <f>VLOOKUP(M181,'Data - Employee Rights Master'!$C$3:$D$32,2,0)</f>
        <v>AM</v>
      </c>
      <c r="T181" s="30" t="str">
        <f>VLOOKUP(N181,'Data - Employee Rights Master'!$C$3:$D$32,2,0)</f>
        <v>DM</v>
      </c>
      <c r="U181" s="41" t="str">
        <f t="shared" si="12"/>
        <v>PASS</v>
      </c>
      <c r="V181" s="41" t="str">
        <f t="shared" si="13"/>
        <v>NA</v>
      </c>
      <c r="W181" s="30" t="str">
        <f t="shared" si="14"/>
        <v>2021</v>
      </c>
      <c r="X181" s="30" t="str">
        <f>VLOOKUP(MONTH(G181),Key!$F$3:$G$14,2,0)</f>
        <v>Nov</v>
      </c>
      <c r="Y181" s="30" t="str">
        <f>IFERROR(IF(MATCH(F181,'Test 6'!C$5:C$9,0)&gt;0,"RP"),"NON-RP")</f>
        <v>NON-RP</v>
      </c>
    </row>
    <row r="182" spans="2:25" x14ac:dyDescent="0.5">
      <c r="B182" s="30">
        <v>178</v>
      </c>
      <c r="C182" s="30" t="s">
        <v>445</v>
      </c>
      <c r="D182" s="31">
        <v>2021178</v>
      </c>
      <c r="E182" s="30" t="s">
        <v>446</v>
      </c>
      <c r="F182" s="53" t="s">
        <v>67</v>
      </c>
      <c r="G182" s="32">
        <v>44153</v>
      </c>
      <c r="H182" s="33">
        <v>0.59257246331305302</v>
      </c>
      <c r="I182" s="30" t="s">
        <v>428</v>
      </c>
      <c r="J182" s="34">
        <v>497830</v>
      </c>
      <c r="K182" s="35" t="s">
        <v>17</v>
      </c>
      <c r="L182" s="36">
        <v>89609.4</v>
      </c>
      <c r="M182" s="30" t="s">
        <v>18</v>
      </c>
      <c r="N182" s="30" t="s">
        <v>51</v>
      </c>
      <c r="O182" s="30" t="s">
        <v>1542</v>
      </c>
      <c r="P182" s="30" t="s">
        <v>1542</v>
      </c>
      <c r="Q182" s="30" t="str">
        <f t="shared" si="10"/>
        <v>AM</v>
      </c>
      <c r="R182" s="30" t="str">
        <f t="shared" si="11"/>
        <v>DM</v>
      </c>
      <c r="S182" s="30" t="str">
        <f>VLOOKUP(M182,'Data - Employee Rights Master'!$C$3:$D$32,2,0)</f>
        <v>AM</v>
      </c>
      <c r="T182" s="30" t="str">
        <f>VLOOKUP(N182,'Data - Employee Rights Master'!$C$3:$D$32,2,0)</f>
        <v>DM</v>
      </c>
      <c r="U182" s="41" t="str">
        <f t="shared" si="12"/>
        <v>PASS</v>
      </c>
      <c r="V182" s="41" t="str">
        <f t="shared" si="13"/>
        <v>NA</v>
      </c>
      <c r="W182" s="30" t="str">
        <f t="shared" si="14"/>
        <v>2021</v>
      </c>
      <c r="X182" s="30" t="str">
        <f>VLOOKUP(MONTH(G182),Key!$F$3:$G$14,2,0)</f>
        <v>Nov</v>
      </c>
      <c r="Y182" s="30" t="str">
        <f>IFERROR(IF(MATCH(F182,'Test 6'!C$5:C$9,0)&gt;0,"RP"),"NON-RP")</f>
        <v>NON-RP</v>
      </c>
    </row>
    <row r="183" spans="2:25" x14ac:dyDescent="0.5">
      <c r="B183" s="30">
        <v>179</v>
      </c>
      <c r="C183" s="30" t="s">
        <v>447</v>
      </c>
      <c r="D183" s="31">
        <v>2021179</v>
      </c>
      <c r="E183" s="30" t="s">
        <v>448</v>
      </c>
      <c r="F183" s="53" t="s">
        <v>269</v>
      </c>
      <c r="G183" s="32">
        <v>44154</v>
      </c>
      <c r="H183" s="33">
        <v>0.57346061709790908</v>
      </c>
      <c r="I183" s="30" t="s">
        <v>428</v>
      </c>
      <c r="J183" s="34">
        <v>260110</v>
      </c>
      <c r="K183" s="35" t="s">
        <v>17</v>
      </c>
      <c r="L183" s="36">
        <v>46819.799999999996</v>
      </c>
      <c r="M183" s="30" t="s">
        <v>61</v>
      </c>
      <c r="N183" s="30" t="s">
        <v>19</v>
      </c>
      <c r="O183" s="30" t="s">
        <v>1542</v>
      </c>
      <c r="P183" s="30" t="s">
        <v>1542</v>
      </c>
      <c r="Q183" s="30" t="str">
        <f t="shared" si="10"/>
        <v>AM</v>
      </c>
      <c r="R183" s="30" t="str">
        <f t="shared" si="11"/>
        <v>DM</v>
      </c>
      <c r="S183" s="30" t="str">
        <f>VLOOKUP(M183,'Data - Employee Rights Master'!$C$3:$D$32,2,0)</f>
        <v>AM</v>
      </c>
      <c r="T183" s="30" t="str">
        <f>VLOOKUP(N183,'Data - Employee Rights Master'!$C$3:$D$32,2,0)</f>
        <v>DM</v>
      </c>
      <c r="U183" s="41" t="str">
        <f t="shared" si="12"/>
        <v>PASS</v>
      </c>
      <c r="V183" s="41" t="str">
        <f t="shared" si="13"/>
        <v>NA</v>
      </c>
      <c r="W183" s="30" t="str">
        <f t="shared" si="14"/>
        <v>2021</v>
      </c>
      <c r="X183" s="30" t="str">
        <f>VLOOKUP(MONTH(G183),Key!$F$3:$G$14,2,0)</f>
        <v>Nov</v>
      </c>
      <c r="Y183" s="30" t="str">
        <f>IFERROR(IF(MATCH(F183,'Test 6'!C$5:C$9,0)&gt;0,"RP"),"NON-RP")</f>
        <v>NON-RP</v>
      </c>
    </row>
    <row r="184" spans="2:25" x14ac:dyDescent="0.5">
      <c r="B184" s="30">
        <v>180</v>
      </c>
      <c r="C184" s="30" t="s">
        <v>449</v>
      </c>
      <c r="D184" s="31">
        <v>2021180</v>
      </c>
      <c r="E184" s="30" t="s">
        <v>450</v>
      </c>
      <c r="F184" s="53" t="s">
        <v>131</v>
      </c>
      <c r="G184" s="32">
        <v>44155</v>
      </c>
      <c r="H184" s="33">
        <v>0.67642286637961035</v>
      </c>
      <c r="I184" s="30" t="s">
        <v>428</v>
      </c>
      <c r="J184" s="34">
        <v>270080</v>
      </c>
      <c r="K184" s="35" t="s">
        <v>17</v>
      </c>
      <c r="L184" s="36">
        <v>48614.400000000001</v>
      </c>
      <c r="M184" s="30" t="s">
        <v>32</v>
      </c>
      <c r="N184" s="30" t="s">
        <v>19</v>
      </c>
      <c r="O184" s="30" t="s">
        <v>1542</v>
      </c>
      <c r="P184" s="30" t="s">
        <v>1542</v>
      </c>
      <c r="Q184" s="30" t="str">
        <f t="shared" si="10"/>
        <v>AM</v>
      </c>
      <c r="R184" s="30" t="str">
        <f t="shared" si="11"/>
        <v>DM</v>
      </c>
      <c r="S184" s="30" t="str">
        <f>VLOOKUP(M184,'Data - Employee Rights Master'!$C$3:$D$32,2,0)</f>
        <v>AM</v>
      </c>
      <c r="T184" s="30" t="str">
        <f>VLOOKUP(N184,'Data - Employee Rights Master'!$C$3:$D$32,2,0)</f>
        <v>DM</v>
      </c>
      <c r="U184" s="41" t="str">
        <f t="shared" si="12"/>
        <v>PASS</v>
      </c>
      <c r="V184" s="41" t="str">
        <f t="shared" si="13"/>
        <v>NA</v>
      </c>
      <c r="W184" s="30" t="str">
        <f t="shared" si="14"/>
        <v>2021</v>
      </c>
      <c r="X184" s="30" t="str">
        <f>VLOOKUP(MONTH(G184),Key!$F$3:$G$14,2,0)</f>
        <v>Nov</v>
      </c>
      <c r="Y184" s="30" t="str">
        <f>IFERROR(IF(MATCH(F184,'Test 6'!C$5:C$9,0)&gt;0,"RP"),"NON-RP")</f>
        <v>NON-RP</v>
      </c>
    </row>
    <row r="185" spans="2:25" x14ac:dyDescent="0.5">
      <c r="B185" s="30">
        <v>181</v>
      </c>
      <c r="C185" s="30" t="s">
        <v>451</v>
      </c>
      <c r="D185" s="31">
        <v>2021181</v>
      </c>
      <c r="E185" s="30" t="s">
        <v>452</v>
      </c>
      <c r="F185" s="53" t="s">
        <v>60</v>
      </c>
      <c r="G185" s="32">
        <v>44160</v>
      </c>
      <c r="H185" s="33">
        <v>0.67355701677944091</v>
      </c>
      <c r="I185" s="30" t="s">
        <v>428</v>
      </c>
      <c r="J185" s="34">
        <v>422330</v>
      </c>
      <c r="K185" s="35" t="s">
        <v>17</v>
      </c>
      <c r="L185" s="36">
        <v>76019.399999999994</v>
      </c>
      <c r="M185" s="30" t="s">
        <v>28</v>
      </c>
      <c r="N185" s="30" t="s">
        <v>24</v>
      </c>
      <c r="O185" s="30" t="s">
        <v>1542</v>
      </c>
      <c r="P185" s="30" t="s">
        <v>1542</v>
      </c>
      <c r="Q185" s="30" t="str">
        <f t="shared" si="10"/>
        <v>AM</v>
      </c>
      <c r="R185" s="30" t="str">
        <f t="shared" si="11"/>
        <v>DM</v>
      </c>
      <c r="S185" s="30" t="str">
        <f>VLOOKUP(M185,'Data - Employee Rights Master'!$C$3:$D$32,2,0)</f>
        <v>AM</v>
      </c>
      <c r="T185" s="30" t="str">
        <f>VLOOKUP(N185,'Data - Employee Rights Master'!$C$3:$D$32,2,0)</f>
        <v>DM</v>
      </c>
      <c r="U185" s="41" t="str">
        <f t="shared" si="12"/>
        <v>PASS</v>
      </c>
      <c r="V185" s="41" t="str">
        <f t="shared" si="13"/>
        <v>NA</v>
      </c>
      <c r="W185" s="30" t="str">
        <f t="shared" si="14"/>
        <v>2021</v>
      </c>
      <c r="X185" s="30" t="str">
        <f>VLOOKUP(MONTH(G185),Key!$F$3:$G$14,2,0)</f>
        <v>Nov</v>
      </c>
      <c r="Y185" s="30" t="str">
        <f>IFERROR(IF(MATCH(F185,'Test 6'!C$5:C$9,0)&gt;0,"RP"),"NON-RP")</f>
        <v>NON-RP</v>
      </c>
    </row>
    <row r="186" spans="2:25" x14ac:dyDescent="0.5">
      <c r="B186" s="30">
        <v>182</v>
      </c>
      <c r="C186" s="30" t="s">
        <v>453</v>
      </c>
      <c r="D186" s="31">
        <v>2021182</v>
      </c>
      <c r="E186" s="30" t="s">
        <v>454</v>
      </c>
      <c r="F186" s="53" t="s">
        <v>308</v>
      </c>
      <c r="G186" s="32">
        <v>44161</v>
      </c>
      <c r="H186" s="33">
        <v>0.65688523379032571</v>
      </c>
      <c r="I186" s="30" t="s">
        <v>428</v>
      </c>
      <c r="J186" s="34">
        <v>252510</v>
      </c>
      <c r="K186" s="35" t="s">
        <v>17</v>
      </c>
      <c r="L186" s="36">
        <v>45451.799999999996</v>
      </c>
      <c r="M186" s="30" t="s">
        <v>32</v>
      </c>
      <c r="N186" s="30" t="s">
        <v>68</v>
      </c>
      <c r="O186" s="30" t="s">
        <v>1542</v>
      </c>
      <c r="P186" s="30" t="s">
        <v>1542</v>
      </c>
      <c r="Q186" s="30" t="str">
        <f t="shared" si="10"/>
        <v>AM</v>
      </c>
      <c r="R186" s="30" t="str">
        <f t="shared" si="11"/>
        <v>DM</v>
      </c>
      <c r="S186" s="30" t="str">
        <f>VLOOKUP(M186,'Data - Employee Rights Master'!$C$3:$D$32,2,0)</f>
        <v>AM</v>
      </c>
      <c r="T186" s="30" t="str">
        <f>VLOOKUP(N186,'Data - Employee Rights Master'!$C$3:$D$32,2,0)</f>
        <v>DM</v>
      </c>
      <c r="U186" s="41" t="str">
        <f t="shared" si="12"/>
        <v>PASS</v>
      </c>
      <c r="V186" s="41" t="str">
        <f t="shared" si="13"/>
        <v>NA</v>
      </c>
      <c r="W186" s="30" t="str">
        <f t="shared" si="14"/>
        <v>2021</v>
      </c>
      <c r="X186" s="30" t="str">
        <f>VLOOKUP(MONTH(G186),Key!$F$3:$G$14,2,0)</f>
        <v>Nov</v>
      </c>
      <c r="Y186" s="30" t="str">
        <f>IFERROR(IF(MATCH(F186,'Test 6'!C$5:C$9,0)&gt;0,"RP"),"NON-RP")</f>
        <v>RP</v>
      </c>
    </row>
    <row r="187" spans="2:25" x14ac:dyDescent="0.5">
      <c r="B187" s="30">
        <v>183</v>
      </c>
      <c r="C187" s="30" t="s">
        <v>455</v>
      </c>
      <c r="D187" s="31">
        <v>2021183</v>
      </c>
      <c r="E187" s="30" t="s">
        <v>456</v>
      </c>
      <c r="F187" s="53" t="s">
        <v>308</v>
      </c>
      <c r="G187" s="32">
        <v>44162</v>
      </c>
      <c r="H187" s="33">
        <v>0.70376838703038391</v>
      </c>
      <c r="I187" s="30" t="s">
        <v>428</v>
      </c>
      <c r="J187" s="34">
        <v>376120</v>
      </c>
      <c r="K187" s="35" t="s">
        <v>17</v>
      </c>
      <c r="L187" s="36">
        <v>67701.599999999991</v>
      </c>
      <c r="M187" s="30" t="s">
        <v>46</v>
      </c>
      <c r="N187" s="30" t="s">
        <v>19</v>
      </c>
      <c r="O187" s="30" t="s">
        <v>1542</v>
      </c>
      <c r="P187" s="30" t="s">
        <v>1542</v>
      </c>
      <c r="Q187" s="30" t="str">
        <f t="shared" si="10"/>
        <v>AM</v>
      </c>
      <c r="R187" s="30" t="str">
        <f t="shared" si="11"/>
        <v>DM</v>
      </c>
      <c r="S187" s="30" t="str">
        <f>VLOOKUP(M187,'Data - Employee Rights Master'!$C$3:$D$32,2,0)</f>
        <v>AM</v>
      </c>
      <c r="T187" s="30" t="str">
        <f>VLOOKUP(N187,'Data - Employee Rights Master'!$C$3:$D$32,2,0)</f>
        <v>DM</v>
      </c>
      <c r="U187" s="41" t="str">
        <f t="shared" si="12"/>
        <v>PASS</v>
      </c>
      <c r="V187" s="41" t="str">
        <f t="shared" si="13"/>
        <v>NA</v>
      </c>
      <c r="W187" s="30" t="str">
        <f t="shared" si="14"/>
        <v>2021</v>
      </c>
      <c r="X187" s="30" t="str">
        <f>VLOOKUP(MONTH(G187),Key!$F$3:$G$14,2,0)</f>
        <v>Nov</v>
      </c>
      <c r="Y187" s="30" t="str">
        <f>IFERROR(IF(MATCH(F187,'Test 6'!C$5:C$9,0)&gt;0,"RP"),"NON-RP")</f>
        <v>RP</v>
      </c>
    </row>
    <row r="188" spans="2:25" x14ac:dyDescent="0.5">
      <c r="B188" s="30">
        <v>184</v>
      </c>
      <c r="C188" s="30" t="s">
        <v>457</v>
      </c>
      <c r="D188" s="31">
        <v>2021184</v>
      </c>
      <c r="E188" s="30" t="s">
        <v>458</v>
      </c>
      <c r="F188" s="53" t="s">
        <v>111</v>
      </c>
      <c r="G188" s="32">
        <v>44162</v>
      </c>
      <c r="H188" s="33">
        <v>0.64947827334845898</v>
      </c>
      <c r="I188" s="30" t="s">
        <v>428</v>
      </c>
      <c r="J188" s="34">
        <v>367080</v>
      </c>
      <c r="K188" s="35" t="s">
        <v>17</v>
      </c>
      <c r="L188" s="36">
        <v>66074.399999999994</v>
      </c>
      <c r="M188" s="30" t="s">
        <v>23</v>
      </c>
      <c r="N188" s="30" t="s">
        <v>51</v>
      </c>
      <c r="O188" s="30" t="s">
        <v>1542</v>
      </c>
      <c r="P188" s="30" t="s">
        <v>1542</v>
      </c>
      <c r="Q188" s="30" t="str">
        <f t="shared" si="10"/>
        <v>AM</v>
      </c>
      <c r="R188" s="30" t="str">
        <f t="shared" si="11"/>
        <v>DM</v>
      </c>
      <c r="S188" s="30" t="str">
        <f>VLOOKUP(M188,'Data - Employee Rights Master'!$C$3:$D$32,2,0)</f>
        <v>AM</v>
      </c>
      <c r="T188" s="30" t="str">
        <f>VLOOKUP(N188,'Data - Employee Rights Master'!$C$3:$D$32,2,0)</f>
        <v>DM</v>
      </c>
      <c r="U188" s="41" t="str">
        <f t="shared" si="12"/>
        <v>PASS</v>
      </c>
      <c r="V188" s="41" t="str">
        <f t="shared" si="13"/>
        <v>NA</v>
      </c>
      <c r="W188" s="30" t="str">
        <f t="shared" si="14"/>
        <v>2021</v>
      </c>
      <c r="X188" s="30" t="str">
        <f>VLOOKUP(MONTH(G188),Key!$F$3:$G$14,2,0)</f>
        <v>Nov</v>
      </c>
      <c r="Y188" s="30" t="str">
        <f>IFERROR(IF(MATCH(F188,'Test 6'!C$5:C$9,0)&gt;0,"RP"),"NON-RP")</f>
        <v>RP</v>
      </c>
    </row>
    <row r="189" spans="2:25" x14ac:dyDescent="0.5">
      <c r="B189" s="30">
        <v>185</v>
      </c>
      <c r="C189" s="30" t="s">
        <v>459</v>
      </c>
      <c r="D189" s="31">
        <v>2021185</v>
      </c>
      <c r="E189" s="30" t="s">
        <v>460</v>
      </c>
      <c r="F189" s="53" t="s">
        <v>131</v>
      </c>
      <c r="G189" s="32">
        <v>44162</v>
      </c>
      <c r="H189" s="33">
        <v>0.46016152084116368</v>
      </c>
      <c r="I189" s="30" t="s">
        <v>428</v>
      </c>
      <c r="J189" s="34">
        <v>39110</v>
      </c>
      <c r="K189" s="35" t="s">
        <v>17</v>
      </c>
      <c r="L189" s="36">
        <v>7039.8</v>
      </c>
      <c r="M189" s="30" t="s">
        <v>36</v>
      </c>
      <c r="N189" s="30" t="s">
        <v>61</v>
      </c>
      <c r="O189" s="30" t="s">
        <v>1542</v>
      </c>
      <c r="P189" s="30" t="s">
        <v>1542</v>
      </c>
      <c r="Q189" s="30" t="str">
        <f t="shared" si="10"/>
        <v>SE</v>
      </c>
      <c r="R189" s="30" t="str">
        <f t="shared" si="11"/>
        <v>AM</v>
      </c>
      <c r="S189" s="30" t="str">
        <f>VLOOKUP(M189,'Data - Employee Rights Master'!$C$3:$D$32,2,0)</f>
        <v>SE</v>
      </c>
      <c r="T189" s="30" t="str">
        <f>VLOOKUP(N189,'Data - Employee Rights Master'!$C$3:$D$32,2,0)</f>
        <v>AM</v>
      </c>
      <c r="U189" s="41" t="str">
        <f t="shared" si="12"/>
        <v>PASS</v>
      </c>
      <c r="V189" s="41" t="str">
        <f t="shared" si="13"/>
        <v>NA</v>
      </c>
      <c r="W189" s="30" t="str">
        <f t="shared" si="14"/>
        <v>2021</v>
      </c>
      <c r="X189" s="30" t="str">
        <f>VLOOKUP(MONTH(G189),Key!$F$3:$G$14,2,0)</f>
        <v>Nov</v>
      </c>
      <c r="Y189" s="30" t="str">
        <f>IFERROR(IF(MATCH(F189,'Test 6'!C$5:C$9,0)&gt;0,"RP"),"NON-RP")</f>
        <v>NON-RP</v>
      </c>
    </row>
    <row r="190" spans="2:25" x14ac:dyDescent="0.5">
      <c r="B190" s="30">
        <v>186</v>
      </c>
      <c r="C190" s="30" t="s">
        <v>461</v>
      </c>
      <c r="D190" s="31">
        <v>2021186</v>
      </c>
      <c r="E190" s="30" t="s">
        <v>462</v>
      </c>
      <c r="F190" s="53" t="s">
        <v>15</v>
      </c>
      <c r="G190" s="32">
        <v>44163</v>
      </c>
      <c r="H190" s="33">
        <v>0.4246597416414386</v>
      </c>
      <c r="I190" s="30" t="s">
        <v>428</v>
      </c>
      <c r="J190" s="34">
        <v>246800</v>
      </c>
      <c r="K190" s="35" t="s">
        <v>17</v>
      </c>
      <c r="L190" s="36">
        <v>44424</v>
      </c>
      <c r="M190" s="30" t="s">
        <v>23</v>
      </c>
      <c r="N190" s="30" t="s">
        <v>68</v>
      </c>
      <c r="O190" s="30" t="s">
        <v>1542</v>
      </c>
      <c r="P190" s="30" t="s">
        <v>1542</v>
      </c>
      <c r="Q190" s="30" t="str">
        <f t="shared" si="10"/>
        <v>AM</v>
      </c>
      <c r="R190" s="30" t="str">
        <f t="shared" si="11"/>
        <v>DM</v>
      </c>
      <c r="S190" s="30" t="str">
        <f>VLOOKUP(M190,'Data - Employee Rights Master'!$C$3:$D$32,2,0)</f>
        <v>AM</v>
      </c>
      <c r="T190" s="30" t="str">
        <f>VLOOKUP(N190,'Data - Employee Rights Master'!$C$3:$D$32,2,0)</f>
        <v>DM</v>
      </c>
      <c r="U190" s="41" t="str">
        <f t="shared" si="12"/>
        <v>PASS</v>
      </c>
      <c r="V190" s="41" t="str">
        <f t="shared" si="13"/>
        <v>NA</v>
      </c>
      <c r="W190" s="30" t="str">
        <f t="shared" si="14"/>
        <v>2021</v>
      </c>
      <c r="X190" s="30" t="str">
        <f>VLOOKUP(MONTH(G190),Key!$F$3:$G$14,2,0)</f>
        <v>Nov</v>
      </c>
      <c r="Y190" s="30" t="str">
        <f>IFERROR(IF(MATCH(F190,'Test 6'!C$5:C$9,0)&gt;0,"RP"),"NON-RP")</f>
        <v>NON-RP</v>
      </c>
    </row>
    <row r="191" spans="2:25" x14ac:dyDescent="0.5">
      <c r="B191" s="30">
        <v>187</v>
      </c>
      <c r="C191" s="30" t="s">
        <v>463</v>
      </c>
      <c r="D191" s="31">
        <v>2021187</v>
      </c>
      <c r="E191" s="30" t="s">
        <v>464</v>
      </c>
      <c r="F191" s="53" t="s">
        <v>22</v>
      </c>
      <c r="G191" s="32">
        <v>44165</v>
      </c>
      <c r="H191" s="33">
        <v>0.46543913712915869</v>
      </c>
      <c r="I191" s="30" t="s">
        <v>383</v>
      </c>
      <c r="J191" s="34">
        <v>339230</v>
      </c>
      <c r="K191" s="35" t="s">
        <v>17</v>
      </c>
      <c r="L191" s="36">
        <v>61061.399999999994</v>
      </c>
      <c r="M191" s="30" t="s">
        <v>61</v>
      </c>
      <c r="N191" s="30" t="s">
        <v>68</v>
      </c>
      <c r="O191" s="30" t="s">
        <v>1542</v>
      </c>
      <c r="P191" s="30" t="s">
        <v>1542</v>
      </c>
      <c r="Q191" s="30" t="str">
        <f t="shared" si="10"/>
        <v>AM</v>
      </c>
      <c r="R191" s="30" t="str">
        <f t="shared" si="11"/>
        <v>DM</v>
      </c>
      <c r="S191" s="30" t="str">
        <f>VLOOKUP(M191,'Data - Employee Rights Master'!$C$3:$D$32,2,0)</f>
        <v>AM</v>
      </c>
      <c r="T191" s="30" t="str">
        <f>VLOOKUP(N191,'Data - Employee Rights Master'!$C$3:$D$32,2,0)</f>
        <v>DM</v>
      </c>
      <c r="U191" s="41" t="str">
        <f t="shared" si="12"/>
        <v>PASS</v>
      </c>
      <c r="V191" s="41" t="str">
        <f t="shared" si="13"/>
        <v>NA</v>
      </c>
      <c r="W191" s="30" t="str">
        <f t="shared" si="14"/>
        <v>2021</v>
      </c>
      <c r="X191" s="30" t="str">
        <f>VLOOKUP(MONTH(G191),Key!$F$3:$G$14,2,0)</f>
        <v>Nov</v>
      </c>
      <c r="Y191" s="30" t="str">
        <f>IFERROR(IF(MATCH(F191,'Test 6'!C$5:C$9,0)&gt;0,"RP"),"NON-RP")</f>
        <v>NON-RP</v>
      </c>
    </row>
    <row r="192" spans="2:25" x14ac:dyDescent="0.5">
      <c r="B192" s="30">
        <v>188</v>
      </c>
      <c r="C192" s="30" t="s">
        <v>465</v>
      </c>
      <c r="D192" s="31">
        <v>2021188</v>
      </c>
      <c r="E192" s="30" t="s">
        <v>466</v>
      </c>
      <c r="F192" s="53" t="s">
        <v>128</v>
      </c>
      <c r="G192" s="32">
        <v>44165</v>
      </c>
      <c r="H192" s="33">
        <v>0.69270004717697697</v>
      </c>
      <c r="I192" s="30" t="s">
        <v>428</v>
      </c>
      <c r="J192" s="34">
        <v>359950</v>
      </c>
      <c r="K192" s="35" t="s">
        <v>17</v>
      </c>
      <c r="L192" s="36">
        <v>64791</v>
      </c>
      <c r="M192" s="30" t="s">
        <v>61</v>
      </c>
      <c r="N192" s="30" t="s">
        <v>19</v>
      </c>
      <c r="O192" s="30" t="s">
        <v>1542</v>
      </c>
      <c r="P192" s="30" t="s">
        <v>1542</v>
      </c>
      <c r="Q192" s="30" t="str">
        <f t="shared" si="10"/>
        <v>AM</v>
      </c>
      <c r="R192" s="30" t="str">
        <f t="shared" si="11"/>
        <v>DM</v>
      </c>
      <c r="S192" s="30" t="str">
        <f>VLOOKUP(M192,'Data - Employee Rights Master'!$C$3:$D$32,2,0)</f>
        <v>AM</v>
      </c>
      <c r="T192" s="30" t="str">
        <f>VLOOKUP(N192,'Data - Employee Rights Master'!$C$3:$D$32,2,0)</f>
        <v>DM</v>
      </c>
      <c r="U192" s="41" t="str">
        <f t="shared" si="12"/>
        <v>PASS</v>
      </c>
      <c r="V192" s="41" t="str">
        <f t="shared" si="13"/>
        <v>NA</v>
      </c>
      <c r="W192" s="30" t="str">
        <f t="shared" si="14"/>
        <v>2021</v>
      </c>
      <c r="X192" s="30" t="str">
        <f>VLOOKUP(MONTH(G192),Key!$F$3:$G$14,2,0)</f>
        <v>Nov</v>
      </c>
      <c r="Y192" s="30" t="str">
        <f>IFERROR(IF(MATCH(F192,'Test 6'!C$5:C$9,0)&gt;0,"RP"),"NON-RP")</f>
        <v>NON-RP</v>
      </c>
    </row>
    <row r="193" spans="2:25" x14ac:dyDescent="0.5">
      <c r="B193" s="30">
        <v>189</v>
      </c>
      <c r="C193" s="30" t="s">
        <v>467</v>
      </c>
      <c r="D193" s="31">
        <v>2021189</v>
      </c>
      <c r="E193" s="30" t="s">
        <v>468</v>
      </c>
      <c r="F193" s="53" t="s">
        <v>45</v>
      </c>
      <c r="G193" s="32">
        <v>44170</v>
      </c>
      <c r="H193" s="33">
        <v>0.48177271125256338</v>
      </c>
      <c r="I193" s="30" t="s">
        <v>469</v>
      </c>
      <c r="J193" s="34">
        <v>342950</v>
      </c>
      <c r="K193" s="35" t="s">
        <v>17</v>
      </c>
      <c r="L193" s="36">
        <v>61731</v>
      </c>
      <c r="M193" s="30" t="s">
        <v>32</v>
      </c>
      <c r="N193" s="30" t="s">
        <v>19</v>
      </c>
      <c r="O193" s="30" t="s">
        <v>1542</v>
      </c>
      <c r="P193" s="30" t="s">
        <v>1542</v>
      </c>
      <c r="Q193" s="30" t="str">
        <f t="shared" si="10"/>
        <v>AM</v>
      </c>
      <c r="R193" s="30" t="str">
        <f t="shared" si="11"/>
        <v>DM</v>
      </c>
      <c r="S193" s="30" t="str">
        <f>VLOOKUP(M193,'Data - Employee Rights Master'!$C$3:$D$32,2,0)</f>
        <v>AM</v>
      </c>
      <c r="T193" s="30" t="str">
        <f>VLOOKUP(N193,'Data - Employee Rights Master'!$C$3:$D$32,2,0)</f>
        <v>DM</v>
      </c>
      <c r="U193" s="41" t="str">
        <f t="shared" si="12"/>
        <v>PASS</v>
      </c>
      <c r="V193" s="41" t="str">
        <f t="shared" si="13"/>
        <v>NA</v>
      </c>
      <c r="W193" s="30" t="str">
        <f t="shared" si="14"/>
        <v>2021</v>
      </c>
      <c r="X193" s="30" t="str">
        <f>VLOOKUP(MONTH(G193),Key!$F$3:$G$14,2,0)</f>
        <v>Dec</v>
      </c>
      <c r="Y193" s="30" t="str">
        <f>IFERROR(IF(MATCH(F193,'Test 6'!C$5:C$9,0)&gt;0,"RP"),"NON-RP")</f>
        <v>NON-RP</v>
      </c>
    </row>
    <row r="194" spans="2:25" x14ac:dyDescent="0.5">
      <c r="B194" s="30">
        <v>190</v>
      </c>
      <c r="C194" s="30" t="s">
        <v>470</v>
      </c>
      <c r="D194" s="31">
        <v>2021190</v>
      </c>
      <c r="E194" s="30" t="s">
        <v>471</v>
      </c>
      <c r="F194" s="53" t="s">
        <v>111</v>
      </c>
      <c r="G194" s="32">
        <v>44170</v>
      </c>
      <c r="H194" s="33">
        <v>0.63643274827366125</v>
      </c>
      <c r="I194" s="30" t="s">
        <v>469</v>
      </c>
      <c r="J194" s="34">
        <v>406180</v>
      </c>
      <c r="K194" s="35" t="s">
        <v>17</v>
      </c>
      <c r="L194" s="36">
        <v>73112.399999999994</v>
      </c>
      <c r="M194" s="30" t="s">
        <v>32</v>
      </c>
      <c r="N194" s="30" t="s">
        <v>47</v>
      </c>
      <c r="O194" s="30" t="s">
        <v>1542</v>
      </c>
      <c r="P194" s="30" t="s">
        <v>1542</v>
      </c>
      <c r="Q194" s="30" t="str">
        <f t="shared" si="10"/>
        <v>AM</v>
      </c>
      <c r="R194" s="30" t="str">
        <f t="shared" si="11"/>
        <v>DM</v>
      </c>
      <c r="S194" s="30" t="str">
        <f>VLOOKUP(M194,'Data - Employee Rights Master'!$C$3:$D$32,2,0)</f>
        <v>AM</v>
      </c>
      <c r="T194" s="30" t="str">
        <f>VLOOKUP(N194,'Data - Employee Rights Master'!$C$3:$D$32,2,0)</f>
        <v>DM</v>
      </c>
      <c r="U194" s="41" t="str">
        <f t="shared" si="12"/>
        <v>PASS</v>
      </c>
      <c r="V194" s="41" t="str">
        <f t="shared" si="13"/>
        <v>NA</v>
      </c>
      <c r="W194" s="30" t="str">
        <f t="shared" si="14"/>
        <v>2021</v>
      </c>
      <c r="X194" s="30" t="str">
        <f>VLOOKUP(MONTH(G194),Key!$F$3:$G$14,2,0)</f>
        <v>Dec</v>
      </c>
      <c r="Y194" s="30" t="str">
        <f>IFERROR(IF(MATCH(F194,'Test 6'!C$5:C$9,0)&gt;0,"RP"),"NON-RP")</f>
        <v>RP</v>
      </c>
    </row>
    <row r="195" spans="2:25" x14ac:dyDescent="0.5">
      <c r="B195" s="30">
        <v>191</v>
      </c>
      <c r="C195" s="30" t="s">
        <v>472</v>
      </c>
      <c r="D195" s="31">
        <v>2021191</v>
      </c>
      <c r="E195" s="30" t="s">
        <v>473</v>
      </c>
      <c r="F195" s="53" t="s">
        <v>156</v>
      </c>
      <c r="G195" s="32">
        <v>44170</v>
      </c>
      <c r="H195" s="33">
        <v>0.44465567679968743</v>
      </c>
      <c r="I195" s="30" t="s">
        <v>469</v>
      </c>
      <c r="J195" s="34">
        <v>5702060</v>
      </c>
      <c r="K195" s="35" t="s">
        <v>17</v>
      </c>
      <c r="L195" s="36">
        <v>1026370.7999999999</v>
      </c>
      <c r="M195" s="30" t="s">
        <v>41</v>
      </c>
      <c r="N195" s="30" t="s">
        <v>42</v>
      </c>
      <c r="O195" s="30" t="s">
        <v>1575</v>
      </c>
      <c r="P195" s="30" t="s">
        <v>1580</v>
      </c>
      <c r="Q195" s="30" t="str">
        <f t="shared" si="10"/>
        <v>CM</v>
      </c>
      <c r="R195" s="30" t="str">
        <f t="shared" si="11"/>
        <v>CFO</v>
      </c>
      <c r="S195" s="30" t="str">
        <f>VLOOKUP(M195,'Data - Employee Rights Master'!$C$3:$D$32,2,0)</f>
        <v>CM</v>
      </c>
      <c r="T195" s="30" t="str">
        <f>VLOOKUP(N195,'Data - Employee Rights Master'!$C$3:$D$32,2,0)</f>
        <v>CFO</v>
      </c>
      <c r="U195" s="41" t="str">
        <f t="shared" si="12"/>
        <v>PASS</v>
      </c>
      <c r="V195" s="41" t="str">
        <f t="shared" si="13"/>
        <v>PASS</v>
      </c>
      <c r="W195" s="30" t="str">
        <f t="shared" si="14"/>
        <v>2021</v>
      </c>
      <c r="X195" s="30" t="str">
        <f>VLOOKUP(MONTH(G195),Key!$F$3:$G$14,2,0)</f>
        <v>Dec</v>
      </c>
      <c r="Y195" s="30" t="str">
        <f>IFERROR(IF(MATCH(F195,'Test 6'!C$5:C$9,0)&gt;0,"RP"),"NON-RP")</f>
        <v>NON-RP</v>
      </c>
    </row>
    <row r="196" spans="2:25" x14ac:dyDescent="0.5">
      <c r="B196" s="30">
        <v>192</v>
      </c>
      <c r="C196" s="30" t="s">
        <v>474</v>
      </c>
      <c r="D196" s="31">
        <v>2021192</v>
      </c>
      <c r="E196" s="30" t="s">
        <v>475</v>
      </c>
      <c r="F196" s="53" t="s">
        <v>238</v>
      </c>
      <c r="G196" s="32">
        <v>44172</v>
      </c>
      <c r="H196" s="33">
        <v>0.62283392243686453</v>
      </c>
      <c r="I196" s="30" t="s">
        <v>469</v>
      </c>
      <c r="J196" s="34">
        <v>307890</v>
      </c>
      <c r="K196" s="35" t="s">
        <v>17</v>
      </c>
      <c r="L196" s="36">
        <v>55420.2</v>
      </c>
      <c r="M196" s="30" t="s">
        <v>37</v>
      </c>
      <c r="N196" s="30" t="s">
        <v>68</v>
      </c>
      <c r="O196" s="30" t="s">
        <v>1542</v>
      </c>
      <c r="P196" s="30" t="s">
        <v>1542</v>
      </c>
      <c r="Q196" s="30" t="str">
        <f t="shared" si="10"/>
        <v>AM</v>
      </c>
      <c r="R196" s="30" t="str">
        <f t="shared" si="11"/>
        <v>DM</v>
      </c>
      <c r="S196" s="30" t="str">
        <f>VLOOKUP(M196,'Data - Employee Rights Master'!$C$3:$D$32,2,0)</f>
        <v>AM</v>
      </c>
      <c r="T196" s="30" t="str">
        <f>VLOOKUP(N196,'Data - Employee Rights Master'!$C$3:$D$32,2,0)</f>
        <v>DM</v>
      </c>
      <c r="U196" s="41" t="str">
        <f t="shared" si="12"/>
        <v>PASS</v>
      </c>
      <c r="V196" s="41" t="str">
        <f t="shared" si="13"/>
        <v>NA</v>
      </c>
      <c r="W196" s="30" t="str">
        <f t="shared" si="14"/>
        <v>2021</v>
      </c>
      <c r="X196" s="30" t="str">
        <f>VLOOKUP(MONTH(G196),Key!$F$3:$G$14,2,0)</f>
        <v>Dec</v>
      </c>
      <c r="Y196" s="30" t="str">
        <f>IFERROR(IF(MATCH(F196,'Test 6'!C$5:C$9,0)&gt;0,"RP"),"NON-RP")</f>
        <v>NON-RP</v>
      </c>
    </row>
    <row r="197" spans="2:25" x14ac:dyDescent="0.5">
      <c r="B197" s="30">
        <v>193</v>
      </c>
      <c r="C197" s="30" t="s">
        <v>476</v>
      </c>
      <c r="D197" s="31">
        <v>2021193</v>
      </c>
      <c r="E197" s="30" t="s">
        <v>477</v>
      </c>
      <c r="F197" s="53" t="s">
        <v>195</v>
      </c>
      <c r="G197" s="32">
        <v>44172</v>
      </c>
      <c r="H197" s="33">
        <v>0.55761515330079447</v>
      </c>
      <c r="I197" s="30" t="s">
        <v>469</v>
      </c>
      <c r="J197" s="34">
        <v>391680</v>
      </c>
      <c r="K197" s="35" t="s">
        <v>17</v>
      </c>
      <c r="L197" s="36">
        <v>70502.399999999994</v>
      </c>
      <c r="M197" s="30" t="s">
        <v>46</v>
      </c>
      <c r="N197" s="30" t="s">
        <v>24</v>
      </c>
      <c r="O197" s="30" t="s">
        <v>1542</v>
      </c>
      <c r="P197" s="30" t="s">
        <v>1542</v>
      </c>
      <c r="Q197" s="30" t="str">
        <f t="shared" si="10"/>
        <v>AM</v>
      </c>
      <c r="R197" s="30" t="str">
        <f t="shared" si="11"/>
        <v>DM</v>
      </c>
      <c r="S197" s="30" t="str">
        <f>VLOOKUP(M197,'Data - Employee Rights Master'!$C$3:$D$32,2,0)</f>
        <v>AM</v>
      </c>
      <c r="T197" s="30" t="str">
        <f>VLOOKUP(N197,'Data - Employee Rights Master'!$C$3:$D$32,2,0)</f>
        <v>DM</v>
      </c>
      <c r="U197" s="41" t="str">
        <f t="shared" si="12"/>
        <v>PASS</v>
      </c>
      <c r="V197" s="41" t="str">
        <f t="shared" si="13"/>
        <v>NA</v>
      </c>
      <c r="W197" s="30" t="str">
        <f t="shared" si="14"/>
        <v>2021</v>
      </c>
      <c r="X197" s="30" t="str">
        <f>VLOOKUP(MONTH(G197),Key!$F$3:$G$14,2,0)</f>
        <v>Dec</v>
      </c>
      <c r="Y197" s="30" t="str">
        <f>IFERROR(IF(MATCH(F197,'Test 6'!C$5:C$9,0)&gt;0,"RP"),"NON-RP")</f>
        <v>NON-RP</v>
      </c>
    </row>
    <row r="198" spans="2:25" x14ac:dyDescent="0.5">
      <c r="B198" s="30">
        <v>194</v>
      </c>
      <c r="C198" s="30" t="s">
        <v>478</v>
      </c>
      <c r="D198" s="31">
        <v>2021194</v>
      </c>
      <c r="E198" s="30" t="s">
        <v>479</v>
      </c>
      <c r="F198" s="53" t="s">
        <v>114</v>
      </c>
      <c r="G198" s="32">
        <v>44173</v>
      </c>
      <c r="H198" s="33">
        <v>0.69462324870030079</v>
      </c>
      <c r="I198" s="30" t="s">
        <v>469</v>
      </c>
      <c r="J198" s="34">
        <v>13558220</v>
      </c>
      <c r="K198" s="35" t="s">
        <v>17</v>
      </c>
      <c r="L198" s="36">
        <v>2440479.6</v>
      </c>
      <c r="M198" s="30" t="s">
        <v>41</v>
      </c>
      <c r="N198" s="30" t="s">
        <v>42</v>
      </c>
      <c r="O198" s="30" t="s">
        <v>1575</v>
      </c>
      <c r="P198" s="30" t="s">
        <v>1581</v>
      </c>
      <c r="Q198" s="30" t="str">
        <f t="shared" ref="Q198:Q261" si="15">IF(J198&lt;200000,"SE",IF(J198&lt;500000,"AM",IF(J198&lt;1000000,"DM",IF(J198&lt;4500000,"SM",IF(J198&gt;=4500000,"CM")))))</f>
        <v>CM</v>
      </c>
      <c r="R198" s="30" t="str">
        <f t="shared" ref="R198:R261" si="16">IF(Q198="SE","AM",IF(Q198="AM","DM",IF(Q198="DM","SM",IF(Q198="SM","CM",IF(Q198="CM","CFO")))))</f>
        <v>CFO</v>
      </c>
      <c r="S198" s="30" t="str">
        <f>VLOOKUP(M198,'Data - Employee Rights Master'!$C$3:$D$32,2,0)</f>
        <v>CM</v>
      </c>
      <c r="T198" s="30" t="str">
        <f>VLOOKUP(N198,'Data - Employee Rights Master'!$C$3:$D$32,2,0)</f>
        <v>CFO</v>
      </c>
      <c r="U198" s="41" t="str">
        <f t="shared" ref="U198:U261" si="17">IF(AND(S198=Q198,T198=R198),"PASS","DEVIATION")</f>
        <v>PASS</v>
      </c>
      <c r="V198" s="41" t="str">
        <f t="shared" ref="V198:V261" si="18">IF(J198&gt;5000000,IF(AND(O198="Approved",P198&lt;&gt;"NA"),"PASS","FLAG"),"NA")</f>
        <v>PASS</v>
      </c>
      <c r="W198" s="30" t="str">
        <f t="shared" ref="W198:W261" si="19">LEFT(C198,4)</f>
        <v>2021</v>
      </c>
      <c r="X198" s="30" t="str">
        <f>VLOOKUP(MONTH(G198),Key!$F$3:$G$14,2,0)</f>
        <v>Dec</v>
      </c>
      <c r="Y198" s="30" t="str">
        <f>IFERROR(IF(MATCH(F198,'Test 6'!C$5:C$9,0)&gt;0,"RP"),"NON-RP")</f>
        <v>NON-RP</v>
      </c>
    </row>
    <row r="199" spans="2:25" x14ac:dyDescent="0.5">
      <c r="B199" s="30">
        <v>195</v>
      </c>
      <c r="C199" s="30" t="s">
        <v>480</v>
      </c>
      <c r="D199" s="31">
        <v>2021195</v>
      </c>
      <c r="E199" s="30" t="s">
        <v>481</v>
      </c>
      <c r="F199" s="53" t="s">
        <v>156</v>
      </c>
      <c r="G199" s="32">
        <v>44182</v>
      </c>
      <c r="H199" s="33">
        <v>0.47033288088568653</v>
      </c>
      <c r="I199" s="30" t="s">
        <v>469</v>
      </c>
      <c r="J199" s="34">
        <v>271590</v>
      </c>
      <c r="K199" s="35" t="s">
        <v>17</v>
      </c>
      <c r="L199" s="36">
        <v>48886.2</v>
      </c>
      <c r="M199" s="30" t="s">
        <v>23</v>
      </c>
      <c r="N199" s="30" t="s">
        <v>24</v>
      </c>
      <c r="O199" s="30" t="s">
        <v>1542</v>
      </c>
      <c r="P199" s="30" t="s">
        <v>1542</v>
      </c>
      <c r="Q199" s="30" t="str">
        <f t="shared" si="15"/>
        <v>AM</v>
      </c>
      <c r="R199" s="30" t="str">
        <f t="shared" si="16"/>
        <v>DM</v>
      </c>
      <c r="S199" s="30" t="str">
        <f>VLOOKUP(M199,'Data - Employee Rights Master'!$C$3:$D$32,2,0)</f>
        <v>AM</v>
      </c>
      <c r="T199" s="30" t="str">
        <f>VLOOKUP(N199,'Data - Employee Rights Master'!$C$3:$D$32,2,0)</f>
        <v>DM</v>
      </c>
      <c r="U199" s="41" t="str">
        <f t="shared" si="17"/>
        <v>PASS</v>
      </c>
      <c r="V199" s="41" t="str">
        <f t="shared" si="18"/>
        <v>NA</v>
      </c>
      <c r="W199" s="30" t="str">
        <f t="shared" si="19"/>
        <v>2021</v>
      </c>
      <c r="X199" s="30" t="str">
        <f>VLOOKUP(MONTH(G199),Key!$F$3:$G$14,2,0)</f>
        <v>Dec</v>
      </c>
      <c r="Y199" s="30" t="str">
        <f>IFERROR(IF(MATCH(F199,'Test 6'!C$5:C$9,0)&gt;0,"RP"),"NON-RP")</f>
        <v>NON-RP</v>
      </c>
    </row>
    <row r="200" spans="2:25" x14ac:dyDescent="0.5">
      <c r="B200" s="30">
        <v>196</v>
      </c>
      <c r="C200" s="30" t="s">
        <v>482</v>
      </c>
      <c r="D200" s="31">
        <v>2021196</v>
      </c>
      <c r="E200" s="30" t="s">
        <v>483</v>
      </c>
      <c r="F200" s="53" t="s">
        <v>143</v>
      </c>
      <c r="G200" s="32">
        <v>44183</v>
      </c>
      <c r="H200" s="33">
        <v>0.55398085459620439</v>
      </c>
      <c r="I200" s="30" t="s">
        <v>469</v>
      </c>
      <c r="J200" s="34">
        <v>334350</v>
      </c>
      <c r="K200" s="35" t="s">
        <v>17</v>
      </c>
      <c r="L200" s="36">
        <v>60183</v>
      </c>
      <c r="M200" s="30" t="s">
        <v>61</v>
      </c>
      <c r="N200" s="30" t="s">
        <v>68</v>
      </c>
      <c r="O200" s="30" t="s">
        <v>1542</v>
      </c>
      <c r="P200" s="30" t="s">
        <v>1542</v>
      </c>
      <c r="Q200" s="30" t="str">
        <f t="shared" si="15"/>
        <v>AM</v>
      </c>
      <c r="R200" s="30" t="str">
        <f t="shared" si="16"/>
        <v>DM</v>
      </c>
      <c r="S200" s="30" t="str">
        <f>VLOOKUP(M200,'Data - Employee Rights Master'!$C$3:$D$32,2,0)</f>
        <v>AM</v>
      </c>
      <c r="T200" s="30" t="str">
        <f>VLOOKUP(N200,'Data - Employee Rights Master'!$C$3:$D$32,2,0)</f>
        <v>DM</v>
      </c>
      <c r="U200" s="41" t="str">
        <f t="shared" si="17"/>
        <v>PASS</v>
      </c>
      <c r="V200" s="41" t="str">
        <f t="shared" si="18"/>
        <v>NA</v>
      </c>
      <c r="W200" s="30" t="str">
        <f t="shared" si="19"/>
        <v>2021</v>
      </c>
      <c r="X200" s="30" t="str">
        <f>VLOOKUP(MONTH(G200),Key!$F$3:$G$14,2,0)</f>
        <v>Dec</v>
      </c>
      <c r="Y200" s="30" t="str">
        <f>IFERROR(IF(MATCH(F200,'Test 6'!C$5:C$9,0)&gt;0,"RP"),"NON-RP")</f>
        <v>NON-RP</v>
      </c>
    </row>
    <row r="201" spans="2:25" x14ac:dyDescent="0.5">
      <c r="B201" s="30">
        <v>197</v>
      </c>
      <c r="C201" s="30" t="s">
        <v>484</v>
      </c>
      <c r="D201" s="31">
        <v>2021197</v>
      </c>
      <c r="E201" s="30" t="s">
        <v>485</v>
      </c>
      <c r="F201" s="53" t="s">
        <v>308</v>
      </c>
      <c r="G201" s="32">
        <v>44186</v>
      </c>
      <c r="H201" s="33">
        <v>0.42076018317191172</v>
      </c>
      <c r="I201" s="30" t="s">
        <v>469</v>
      </c>
      <c r="J201" s="34">
        <v>342230</v>
      </c>
      <c r="K201" s="35" t="s">
        <v>17</v>
      </c>
      <c r="L201" s="36">
        <v>61601.399999999994</v>
      </c>
      <c r="M201" s="30" t="s">
        <v>18</v>
      </c>
      <c r="N201" s="30" t="s">
        <v>24</v>
      </c>
      <c r="O201" s="30" t="s">
        <v>1542</v>
      </c>
      <c r="P201" s="30" t="s">
        <v>1542</v>
      </c>
      <c r="Q201" s="30" t="str">
        <f t="shared" si="15"/>
        <v>AM</v>
      </c>
      <c r="R201" s="30" t="str">
        <f t="shared" si="16"/>
        <v>DM</v>
      </c>
      <c r="S201" s="30" t="str">
        <f>VLOOKUP(M201,'Data - Employee Rights Master'!$C$3:$D$32,2,0)</f>
        <v>AM</v>
      </c>
      <c r="T201" s="30" t="str">
        <f>VLOOKUP(N201,'Data - Employee Rights Master'!$C$3:$D$32,2,0)</f>
        <v>DM</v>
      </c>
      <c r="U201" s="41" t="str">
        <f t="shared" si="17"/>
        <v>PASS</v>
      </c>
      <c r="V201" s="41" t="str">
        <f t="shared" si="18"/>
        <v>NA</v>
      </c>
      <c r="W201" s="30" t="str">
        <f t="shared" si="19"/>
        <v>2021</v>
      </c>
      <c r="X201" s="30" t="str">
        <f>VLOOKUP(MONTH(G201),Key!$F$3:$G$14,2,0)</f>
        <v>Dec</v>
      </c>
      <c r="Y201" s="30" t="str">
        <f>IFERROR(IF(MATCH(F201,'Test 6'!C$5:C$9,0)&gt;0,"RP"),"NON-RP")</f>
        <v>RP</v>
      </c>
    </row>
    <row r="202" spans="2:25" x14ac:dyDescent="0.5">
      <c r="B202" s="30">
        <v>198</v>
      </c>
      <c r="C202" s="30" t="s">
        <v>486</v>
      </c>
      <c r="D202" s="31">
        <v>2021198</v>
      </c>
      <c r="E202" s="30" t="s">
        <v>487</v>
      </c>
      <c r="F202" s="53" t="s">
        <v>72</v>
      </c>
      <c r="G202" s="32">
        <v>44186</v>
      </c>
      <c r="H202" s="33">
        <v>0.57462277971945785</v>
      </c>
      <c r="I202" s="30" t="s">
        <v>469</v>
      </c>
      <c r="J202" s="34">
        <v>352880</v>
      </c>
      <c r="K202" s="35" t="s">
        <v>17</v>
      </c>
      <c r="L202" s="36">
        <v>63518.399999999994</v>
      </c>
      <c r="M202" s="30" t="s">
        <v>61</v>
      </c>
      <c r="N202" s="30" t="s">
        <v>68</v>
      </c>
      <c r="O202" s="30" t="s">
        <v>1542</v>
      </c>
      <c r="P202" s="30" t="s">
        <v>1542</v>
      </c>
      <c r="Q202" s="30" t="str">
        <f t="shared" si="15"/>
        <v>AM</v>
      </c>
      <c r="R202" s="30" t="str">
        <f t="shared" si="16"/>
        <v>DM</v>
      </c>
      <c r="S202" s="30" t="str">
        <f>VLOOKUP(M202,'Data - Employee Rights Master'!$C$3:$D$32,2,0)</f>
        <v>AM</v>
      </c>
      <c r="T202" s="30" t="str">
        <f>VLOOKUP(N202,'Data - Employee Rights Master'!$C$3:$D$32,2,0)</f>
        <v>DM</v>
      </c>
      <c r="U202" s="41" t="str">
        <f t="shared" si="17"/>
        <v>PASS</v>
      </c>
      <c r="V202" s="41" t="str">
        <f t="shared" si="18"/>
        <v>NA</v>
      </c>
      <c r="W202" s="30" t="str">
        <f t="shared" si="19"/>
        <v>2021</v>
      </c>
      <c r="X202" s="30" t="str">
        <f>VLOOKUP(MONTH(G202),Key!$F$3:$G$14,2,0)</f>
        <v>Dec</v>
      </c>
      <c r="Y202" s="30" t="str">
        <f>IFERROR(IF(MATCH(F202,'Test 6'!C$5:C$9,0)&gt;0,"RP"),"NON-RP")</f>
        <v>NON-RP</v>
      </c>
    </row>
    <row r="203" spans="2:25" x14ac:dyDescent="0.5">
      <c r="B203" s="30">
        <v>199</v>
      </c>
      <c r="C203" s="30" t="s">
        <v>488</v>
      </c>
      <c r="D203" s="31">
        <v>2021199</v>
      </c>
      <c r="E203" s="30" t="s">
        <v>489</v>
      </c>
      <c r="F203" s="53" t="s">
        <v>269</v>
      </c>
      <c r="G203" s="32">
        <v>44186</v>
      </c>
      <c r="H203" s="33">
        <v>0.42836817568709468</v>
      </c>
      <c r="I203" s="30" t="s">
        <v>469</v>
      </c>
      <c r="J203" s="34">
        <v>416270</v>
      </c>
      <c r="K203" s="35" t="s">
        <v>17</v>
      </c>
      <c r="L203" s="36">
        <v>74928.599999999991</v>
      </c>
      <c r="M203" s="30" t="s">
        <v>46</v>
      </c>
      <c r="N203" s="30" t="s">
        <v>47</v>
      </c>
      <c r="O203" s="30" t="s">
        <v>1542</v>
      </c>
      <c r="P203" s="30" t="s">
        <v>1542</v>
      </c>
      <c r="Q203" s="30" t="str">
        <f t="shared" si="15"/>
        <v>AM</v>
      </c>
      <c r="R203" s="30" t="str">
        <f t="shared" si="16"/>
        <v>DM</v>
      </c>
      <c r="S203" s="30" t="str">
        <f>VLOOKUP(M203,'Data - Employee Rights Master'!$C$3:$D$32,2,0)</f>
        <v>AM</v>
      </c>
      <c r="T203" s="30" t="str">
        <f>VLOOKUP(N203,'Data - Employee Rights Master'!$C$3:$D$32,2,0)</f>
        <v>DM</v>
      </c>
      <c r="U203" s="41" t="str">
        <f t="shared" si="17"/>
        <v>PASS</v>
      </c>
      <c r="V203" s="41" t="str">
        <f t="shared" si="18"/>
        <v>NA</v>
      </c>
      <c r="W203" s="30" t="str">
        <f t="shared" si="19"/>
        <v>2021</v>
      </c>
      <c r="X203" s="30" t="str">
        <f>VLOOKUP(MONTH(G203),Key!$F$3:$G$14,2,0)</f>
        <v>Dec</v>
      </c>
      <c r="Y203" s="30" t="str">
        <f>IFERROR(IF(MATCH(F203,'Test 6'!C$5:C$9,0)&gt;0,"RP"),"NON-RP")</f>
        <v>NON-RP</v>
      </c>
    </row>
    <row r="204" spans="2:25" x14ac:dyDescent="0.5">
      <c r="B204" s="30">
        <v>200</v>
      </c>
      <c r="C204" s="30" t="s">
        <v>490</v>
      </c>
      <c r="D204" s="31">
        <v>2021200</v>
      </c>
      <c r="E204" s="30" t="s">
        <v>491</v>
      </c>
      <c r="F204" s="53" t="s">
        <v>175</v>
      </c>
      <c r="G204" s="32">
        <v>44186</v>
      </c>
      <c r="H204" s="33">
        <v>0.53837283119761614</v>
      </c>
      <c r="I204" s="30" t="s">
        <v>469</v>
      </c>
      <c r="J204" s="34">
        <v>430910</v>
      </c>
      <c r="K204" s="35" t="s">
        <v>17</v>
      </c>
      <c r="L204" s="36">
        <v>77563.8</v>
      </c>
      <c r="M204" s="30" t="s">
        <v>32</v>
      </c>
      <c r="N204" s="30" t="s">
        <v>47</v>
      </c>
      <c r="O204" s="30" t="s">
        <v>1542</v>
      </c>
      <c r="P204" s="30" t="s">
        <v>1542</v>
      </c>
      <c r="Q204" s="30" t="str">
        <f t="shared" si="15"/>
        <v>AM</v>
      </c>
      <c r="R204" s="30" t="str">
        <f t="shared" si="16"/>
        <v>DM</v>
      </c>
      <c r="S204" s="30" t="str">
        <f>VLOOKUP(M204,'Data - Employee Rights Master'!$C$3:$D$32,2,0)</f>
        <v>AM</v>
      </c>
      <c r="T204" s="30" t="str">
        <f>VLOOKUP(N204,'Data - Employee Rights Master'!$C$3:$D$32,2,0)</f>
        <v>DM</v>
      </c>
      <c r="U204" s="41" t="str">
        <f t="shared" si="17"/>
        <v>PASS</v>
      </c>
      <c r="V204" s="41" t="str">
        <f t="shared" si="18"/>
        <v>NA</v>
      </c>
      <c r="W204" s="30" t="str">
        <f t="shared" si="19"/>
        <v>2021</v>
      </c>
      <c r="X204" s="30" t="str">
        <f>VLOOKUP(MONTH(G204),Key!$F$3:$G$14,2,0)</f>
        <v>Dec</v>
      </c>
      <c r="Y204" s="30" t="str">
        <f>IFERROR(IF(MATCH(F204,'Test 6'!C$5:C$9,0)&gt;0,"RP"),"NON-RP")</f>
        <v>NON-RP</v>
      </c>
    </row>
    <row r="205" spans="2:25" x14ac:dyDescent="0.5">
      <c r="B205" s="30">
        <v>201</v>
      </c>
      <c r="C205" s="30" t="s">
        <v>492</v>
      </c>
      <c r="D205" s="31">
        <v>2021201</v>
      </c>
      <c r="E205" s="30" t="s">
        <v>493</v>
      </c>
      <c r="F205" s="53" t="s">
        <v>40</v>
      </c>
      <c r="G205" s="32">
        <v>44187</v>
      </c>
      <c r="H205" s="33">
        <v>0.53785271984338845</v>
      </c>
      <c r="I205" s="30" t="s">
        <v>469</v>
      </c>
      <c r="J205" s="34">
        <v>261940</v>
      </c>
      <c r="K205" s="35" t="s">
        <v>17</v>
      </c>
      <c r="L205" s="36">
        <v>47149.2</v>
      </c>
      <c r="M205" s="30" t="s">
        <v>61</v>
      </c>
      <c r="N205" s="30" t="s">
        <v>68</v>
      </c>
      <c r="O205" s="30" t="s">
        <v>1542</v>
      </c>
      <c r="P205" s="30" t="s">
        <v>1542</v>
      </c>
      <c r="Q205" s="30" t="str">
        <f t="shared" si="15"/>
        <v>AM</v>
      </c>
      <c r="R205" s="30" t="str">
        <f t="shared" si="16"/>
        <v>DM</v>
      </c>
      <c r="S205" s="30" t="str">
        <f>VLOOKUP(M205,'Data - Employee Rights Master'!$C$3:$D$32,2,0)</f>
        <v>AM</v>
      </c>
      <c r="T205" s="30" t="str">
        <f>VLOOKUP(N205,'Data - Employee Rights Master'!$C$3:$D$32,2,0)</f>
        <v>DM</v>
      </c>
      <c r="U205" s="41" t="str">
        <f t="shared" si="17"/>
        <v>PASS</v>
      </c>
      <c r="V205" s="41" t="str">
        <f t="shared" si="18"/>
        <v>NA</v>
      </c>
      <c r="W205" s="30" t="str">
        <f t="shared" si="19"/>
        <v>2021</v>
      </c>
      <c r="X205" s="30" t="str">
        <f>VLOOKUP(MONTH(G205),Key!$F$3:$G$14,2,0)</f>
        <v>Dec</v>
      </c>
      <c r="Y205" s="30" t="str">
        <f>IFERROR(IF(MATCH(F205,'Test 6'!C$5:C$9,0)&gt;0,"RP"),"NON-RP")</f>
        <v>NON-RP</v>
      </c>
    </row>
    <row r="206" spans="2:25" x14ac:dyDescent="0.5">
      <c r="B206" s="30">
        <v>202</v>
      </c>
      <c r="C206" s="30" t="s">
        <v>494</v>
      </c>
      <c r="D206" s="31">
        <v>2021202</v>
      </c>
      <c r="E206" s="30" t="s">
        <v>495</v>
      </c>
      <c r="F206" s="53" t="s">
        <v>40</v>
      </c>
      <c r="G206" s="32">
        <v>44187</v>
      </c>
      <c r="H206" s="33">
        <v>0.65344529453412004</v>
      </c>
      <c r="I206" s="30" t="s">
        <v>469</v>
      </c>
      <c r="J206" s="34">
        <v>221470</v>
      </c>
      <c r="K206" s="35" t="s">
        <v>17</v>
      </c>
      <c r="L206" s="36">
        <v>39864.6</v>
      </c>
      <c r="M206" s="30" t="s">
        <v>46</v>
      </c>
      <c r="N206" s="30" t="s">
        <v>47</v>
      </c>
      <c r="O206" s="30" t="s">
        <v>1542</v>
      </c>
      <c r="P206" s="30" t="s">
        <v>1542</v>
      </c>
      <c r="Q206" s="30" t="str">
        <f t="shared" si="15"/>
        <v>AM</v>
      </c>
      <c r="R206" s="30" t="str">
        <f t="shared" si="16"/>
        <v>DM</v>
      </c>
      <c r="S206" s="30" t="str">
        <f>VLOOKUP(M206,'Data - Employee Rights Master'!$C$3:$D$32,2,0)</f>
        <v>AM</v>
      </c>
      <c r="T206" s="30" t="str">
        <f>VLOOKUP(N206,'Data - Employee Rights Master'!$C$3:$D$32,2,0)</f>
        <v>DM</v>
      </c>
      <c r="U206" s="41" t="str">
        <f t="shared" si="17"/>
        <v>PASS</v>
      </c>
      <c r="V206" s="41" t="str">
        <f t="shared" si="18"/>
        <v>NA</v>
      </c>
      <c r="W206" s="30" t="str">
        <f t="shared" si="19"/>
        <v>2021</v>
      </c>
      <c r="X206" s="30" t="str">
        <f>VLOOKUP(MONTH(G206),Key!$F$3:$G$14,2,0)</f>
        <v>Dec</v>
      </c>
      <c r="Y206" s="30" t="str">
        <f>IFERROR(IF(MATCH(F206,'Test 6'!C$5:C$9,0)&gt;0,"RP"),"NON-RP")</f>
        <v>NON-RP</v>
      </c>
    </row>
    <row r="207" spans="2:25" x14ac:dyDescent="0.5">
      <c r="B207" s="30">
        <v>203</v>
      </c>
      <c r="C207" s="30" t="s">
        <v>496</v>
      </c>
      <c r="D207" s="31">
        <v>2021203</v>
      </c>
      <c r="E207" s="30" t="s">
        <v>497</v>
      </c>
      <c r="F207" s="53" t="s">
        <v>72</v>
      </c>
      <c r="G207" s="32">
        <v>44193</v>
      </c>
      <c r="H207" s="33">
        <v>0.5556925272621025</v>
      </c>
      <c r="I207" s="30" t="s">
        <v>469</v>
      </c>
      <c r="J207" s="34">
        <v>420990</v>
      </c>
      <c r="K207" s="35" t="s">
        <v>17</v>
      </c>
      <c r="L207" s="36">
        <v>75778.2</v>
      </c>
      <c r="M207" s="30" t="s">
        <v>37</v>
      </c>
      <c r="N207" s="30" t="s">
        <v>24</v>
      </c>
      <c r="O207" s="30" t="s">
        <v>1542</v>
      </c>
      <c r="P207" s="30" t="s">
        <v>1542</v>
      </c>
      <c r="Q207" s="30" t="str">
        <f t="shared" si="15"/>
        <v>AM</v>
      </c>
      <c r="R207" s="30" t="str">
        <f t="shared" si="16"/>
        <v>DM</v>
      </c>
      <c r="S207" s="30" t="str">
        <f>VLOOKUP(M207,'Data - Employee Rights Master'!$C$3:$D$32,2,0)</f>
        <v>AM</v>
      </c>
      <c r="T207" s="30" t="str">
        <f>VLOOKUP(N207,'Data - Employee Rights Master'!$C$3:$D$32,2,0)</f>
        <v>DM</v>
      </c>
      <c r="U207" s="41" t="str">
        <f t="shared" si="17"/>
        <v>PASS</v>
      </c>
      <c r="V207" s="41" t="str">
        <f t="shared" si="18"/>
        <v>NA</v>
      </c>
      <c r="W207" s="30" t="str">
        <f t="shared" si="19"/>
        <v>2021</v>
      </c>
      <c r="X207" s="30" t="str">
        <f>VLOOKUP(MONTH(G207),Key!$F$3:$G$14,2,0)</f>
        <v>Dec</v>
      </c>
      <c r="Y207" s="30" t="str">
        <f>IFERROR(IF(MATCH(F207,'Test 6'!C$5:C$9,0)&gt;0,"RP"),"NON-RP")</f>
        <v>NON-RP</v>
      </c>
    </row>
    <row r="208" spans="2:25" x14ac:dyDescent="0.5">
      <c r="B208" s="30">
        <v>204</v>
      </c>
      <c r="C208" s="30" t="s">
        <v>498</v>
      </c>
      <c r="D208" s="31">
        <v>2021204</v>
      </c>
      <c r="E208" s="30" t="s">
        <v>499</v>
      </c>
      <c r="F208" s="53" t="s">
        <v>57</v>
      </c>
      <c r="G208" s="32">
        <v>44196</v>
      </c>
      <c r="H208" s="33">
        <v>0.60212802087938189</v>
      </c>
      <c r="I208" s="30" t="s">
        <v>469</v>
      </c>
      <c r="J208" s="34">
        <v>2125810</v>
      </c>
      <c r="K208" s="35" t="s">
        <v>17</v>
      </c>
      <c r="L208" s="36">
        <v>382645.8</v>
      </c>
      <c r="M208" s="30" t="s">
        <v>69</v>
      </c>
      <c r="N208" s="30" t="s">
        <v>41</v>
      </c>
      <c r="O208" s="30" t="s">
        <v>1542</v>
      </c>
      <c r="P208" s="30" t="s">
        <v>1542</v>
      </c>
      <c r="Q208" s="30" t="str">
        <f t="shared" si="15"/>
        <v>SM</v>
      </c>
      <c r="R208" s="30" t="str">
        <f t="shared" si="16"/>
        <v>CM</v>
      </c>
      <c r="S208" s="30" t="str">
        <f>VLOOKUP(M208,'Data - Employee Rights Master'!$C$3:$D$32,2,0)</f>
        <v>SM</v>
      </c>
      <c r="T208" s="30" t="str">
        <f>VLOOKUP(N208,'Data - Employee Rights Master'!$C$3:$D$32,2,0)</f>
        <v>CM</v>
      </c>
      <c r="U208" s="41" t="str">
        <f t="shared" si="17"/>
        <v>PASS</v>
      </c>
      <c r="V208" s="41" t="str">
        <f t="shared" si="18"/>
        <v>NA</v>
      </c>
      <c r="W208" s="30" t="str">
        <f t="shared" si="19"/>
        <v>2021</v>
      </c>
      <c r="X208" s="30" t="str">
        <f>VLOOKUP(MONTH(G208),Key!$F$3:$G$14,2,0)</f>
        <v>Dec</v>
      </c>
      <c r="Y208" s="30" t="str">
        <f>IFERROR(IF(MATCH(F208,'Test 6'!C$5:C$9,0)&gt;0,"RP"),"NON-RP")</f>
        <v>NON-RP</v>
      </c>
    </row>
    <row r="209" spans="2:25" x14ac:dyDescent="0.5">
      <c r="B209" s="30">
        <v>205</v>
      </c>
      <c r="C209" s="30" t="s">
        <v>500</v>
      </c>
      <c r="D209" s="31">
        <v>2021205</v>
      </c>
      <c r="E209" s="30" t="s">
        <v>501</v>
      </c>
      <c r="F209" s="53" t="s">
        <v>60</v>
      </c>
      <c r="G209" s="32">
        <v>44197</v>
      </c>
      <c r="H209" s="33">
        <v>0.69174103523314923</v>
      </c>
      <c r="I209" s="30" t="s">
        <v>502</v>
      </c>
      <c r="J209" s="34">
        <v>460950</v>
      </c>
      <c r="K209" s="35" t="s">
        <v>17</v>
      </c>
      <c r="L209" s="36">
        <v>82971</v>
      </c>
      <c r="M209" s="30" t="s">
        <v>32</v>
      </c>
      <c r="N209" s="30" t="s">
        <v>68</v>
      </c>
      <c r="O209" s="30" t="s">
        <v>1542</v>
      </c>
      <c r="P209" s="30" t="s">
        <v>1542</v>
      </c>
      <c r="Q209" s="30" t="str">
        <f t="shared" si="15"/>
        <v>AM</v>
      </c>
      <c r="R209" s="30" t="str">
        <f t="shared" si="16"/>
        <v>DM</v>
      </c>
      <c r="S209" s="30" t="str">
        <f>VLOOKUP(M209,'Data - Employee Rights Master'!$C$3:$D$32,2,0)</f>
        <v>AM</v>
      </c>
      <c r="T209" s="30" t="str">
        <f>VLOOKUP(N209,'Data - Employee Rights Master'!$C$3:$D$32,2,0)</f>
        <v>DM</v>
      </c>
      <c r="U209" s="41" t="str">
        <f t="shared" si="17"/>
        <v>PASS</v>
      </c>
      <c r="V209" s="41" t="str">
        <f t="shared" si="18"/>
        <v>NA</v>
      </c>
      <c r="W209" s="30" t="str">
        <f t="shared" si="19"/>
        <v>2021</v>
      </c>
      <c r="X209" s="30" t="str">
        <f>VLOOKUP(MONTH(G209),Key!$F$3:$G$14,2,0)</f>
        <v>Jan</v>
      </c>
      <c r="Y209" s="30" t="str">
        <f>IFERROR(IF(MATCH(F209,'Test 6'!C$5:C$9,0)&gt;0,"RP"),"NON-RP")</f>
        <v>NON-RP</v>
      </c>
    </row>
    <row r="210" spans="2:25" x14ac:dyDescent="0.5">
      <c r="B210" s="30">
        <v>206</v>
      </c>
      <c r="C210" s="30" t="s">
        <v>503</v>
      </c>
      <c r="D210" s="31">
        <v>2021206</v>
      </c>
      <c r="E210" s="30" t="s">
        <v>504</v>
      </c>
      <c r="F210" s="53" t="s">
        <v>269</v>
      </c>
      <c r="G210" s="32">
        <v>44203</v>
      </c>
      <c r="H210" s="33">
        <v>0.53379704095374347</v>
      </c>
      <c r="I210" s="30" t="s">
        <v>502</v>
      </c>
      <c r="J210" s="34">
        <v>497450</v>
      </c>
      <c r="K210" s="35" t="s">
        <v>17</v>
      </c>
      <c r="L210" s="36">
        <v>89541</v>
      </c>
      <c r="M210" s="30" t="s">
        <v>18</v>
      </c>
      <c r="N210" s="30" t="s">
        <v>47</v>
      </c>
      <c r="O210" s="30" t="s">
        <v>1542</v>
      </c>
      <c r="P210" s="30" t="s">
        <v>1542</v>
      </c>
      <c r="Q210" s="30" t="str">
        <f t="shared" si="15"/>
        <v>AM</v>
      </c>
      <c r="R210" s="30" t="str">
        <f t="shared" si="16"/>
        <v>DM</v>
      </c>
      <c r="S210" s="30" t="str">
        <f>VLOOKUP(M210,'Data - Employee Rights Master'!$C$3:$D$32,2,0)</f>
        <v>AM</v>
      </c>
      <c r="T210" s="30" t="str">
        <f>VLOOKUP(N210,'Data - Employee Rights Master'!$C$3:$D$32,2,0)</f>
        <v>DM</v>
      </c>
      <c r="U210" s="41" t="str">
        <f t="shared" si="17"/>
        <v>PASS</v>
      </c>
      <c r="V210" s="41" t="str">
        <f t="shared" si="18"/>
        <v>NA</v>
      </c>
      <c r="W210" s="30" t="str">
        <f t="shared" si="19"/>
        <v>2021</v>
      </c>
      <c r="X210" s="30" t="str">
        <f>VLOOKUP(MONTH(G210),Key!$F$3:$G$14,2,0)</f>
        <v>Jan</v>
      </c>
      <c r="Y210" s="30" t="str">
        <f>IFERROR(IF(MATCH(F210,'Test 6'!C$5:C$9,0)&gt;0,"RP"),"NON-RP")</f>
        <v>NON-RP</v>
      </c>
    </row>
    <row r="211" spans="2:25" x14ac:dyDescent="0.5">
      <c r="B211" s="30">
        <v>207</v>
      </c>
      <c r="C211" s="30" t="s">
        <v>505</v>
      </c>
      <c r="D211" s="31">
        <v>2021207</v>
      </c>
      <c r="E211" s="30" t="s">
        <v>506</v>
      </c>
      <c r="F211" s="53" t="s">
        <v>153</v>
      </c>
      <c r="G211" s="32">
        <v>44203</v>
      </c>
      <c r="H211" s="33">
        <v>0.43634421733668766</v>
      </c>
      <c r="I211" s="30" t="s">
        <v>502</v>
      </c>
      <c r="J211" s="34">
        <v>325300</v>
      </c>
      <c r="K211" s="35" t="s">
        <v>17</v>
      </c>
      <c r="L211" s="36">
        <v>58554</v>
      </c>
      <c r="M211" s="30" t="s">
        <v>37</v>
      </c>
      <c r="N211" s="30" t="s">
        <v>51</v>
      </c>
      <c r="O211" s="30" t="s">
        <v>1542</v>
      </c>
      <c r="P211" s="30" t="s">
        <v>1542</v>
      </c>
      <c r="Q211" s="30" t="str">
        <f t="shared" si="15"/>
        <v>AM</v>
      </c>
      <c r="R211" s="30" t="str">
        <f t="shared" si="16"/>
        <v>DM</v>
      </c>
      <c r="S211" s="30" t="str">
        <f>VLOOKUP(M211,'Data - Employee Rights Master'!$C$3:$D$32,2,0)</f>
        <v>AM</v>
      </c>
      <c r="T211" s="30" t="str">
        <f>VLOOKUP(N211,'Data - Employee Rights Master'!$C$3:$D$32,2,0)</f>
        <v>DM</v>
      </c>
      <c r="U211" s="41" t="str">
        <f t="shared" si="17"/>
        <v>PASS</v>
      </c>
      <c r="V211" s="41" t="str">
        <f t="shared" si="18"/>
        <v>NA</v>
      </c>
      <c r="W211" s="30" t="str">
        <f t="shared" si="19"/>
        <v>2021</v>
      </c>
      <c r="X211" s="30" t="str">
        <f>VLOOKUP(MONTH(G211),Key!$F$3:$G$14,2,0)</f>
        <v>Jan</v>
      </c>
      <c r="Y211" s="30" t="str">
        <f>IFERROR(IF(MATCH(F211,'Test 6'!C$5:C$9,0)&gt;0,"RP"),"NON-RP")</f>
        <v>NON-RP</v>
      </c>
    </row>
    <row r="212" spans="2:25" x14ac:dyDescent="0.5">
      <c r="B212" s="30">
        <v>208</v>
      </c>
      <c r="C212" s="30" t="s">
        <v>507</v>
      </c>
      <c r="D212" s="31">
        <v>2021208</v>
      </c>
      <c r="E212" s="30" t="s">
        <v>508</v>
      </c>
      <c r="F212" s="53" t="s">
        <v>103</v>
      </c>
      <c r="G212" s="32">
        <v>44203</v>
      </c>
      <c r="H212" s="33">
        <v>0.49463117427973607</v>
      </c>
      <c r="I212" s="30" t="s">
        <v>502</v>
      </c>
      <c r="J212" s="34">
        <v>449520</v>
      </c>
      <c r="K212" s="35" t="s">
        <v>17</v>
      </c>
      <c r="L212" s="36">
        <v>80913.599999999991</v>
      </c>
      <c r="M212" s="30" t="s">
        <v>37</v>
      </c>
      <c r="N212" s="30" t="s">
        <v>51</v>
      </c>
      <c r="O212" s="30" t="s">
        <v>1542</v>
      </c>
      <c r="P212" s="30" t="s">
        <v>1542</v>
      </c>
      <c r="Q212" s="30" t="str">
        <f t="shared" si="15"/>
        <v>AM</v>
      </c>
      <c r="R212" s="30" t="str">
        <f t="shared" si="16"/>
        <v>DM</v>
      </c>
      <c r="S212" s="30" t="str">
        <f>VLOOKUP(M212,'Data - Employee Rights Master'!$C$3:$D$32,2,0)</f>
        <v>AM</v>
      </c>
      <c r="T212" s="30" t="str">
        <f>VLOOKUP(N212,'Data - Employee Rights Master'!$C$3:$D$32,2,0)</f>
        <v>DM</v>
      </c>
      <c r="U212" s="41" t="str">
        <f t="shared" si="17"/>
        <v>PASS</v>
      </c>
      <c r="V212" s="41" t="str">
        <f t="shared" si="18"/>
        <v>NA</v>
      </c>
      <c r="W212" s="30" t="str">
        <f t="shared" si="19"/>
        <v>2021</v>
      </c>
      <c r="X212" s="30" t="str">
        <f>VLOOKUP(MONTH(G212),Key!$F$3:$G$14,2,0)</f>
        <v>Jan</v>
      </c>
      <c r="Y212" s="30" t="str">
        <f>IFERROR(IF(MATCH(F212,'Test 6'!C$5:C$9,0)&gt;0,"RP"),"NON-RP")</f>
        <v>NON-RP</v>
      </c>
    </row>
    <row r="213" spans="2:25" x14ac:dyDescent="0.5">
      <c r="B213" s="30">
        <v>209</v>
      </c>
      <c r="C213" s="30" t="s">
        <v>509</v>
      </c>
      <c r="D213" s="31">
        <v>2021209</v>
      </c>
      <c r="E213" s="30" t="s">
        <v>510</v>
      </c>
      <c r="F213" s="53" t="s">
        <v>128</v>
      </c>
      <c r="G213" s="32">
        <v>44205</v>
      </c>
      <c r="H213" s="33">
        <v>0.58990344429363917</v>
      </c>
      <c r="I213" s="30" t="s">
        <v>502</v>
      </c>
      <c r="J213" s="34">
        <v>237540</v>
      </c>
      <c r="K213" s="35" t="s">
        <v>17</v>
      </c>
      <c r="L213" s="36">
        <v>42757.2</v>
      </c>
      <c r="M213" s="30" t="s">
        <v>61</v>
      </c>
      <c r="N213" s="30" t="s">
        <v>19</v>
      </c>
      <c r="O213" s="30" t="s">
        <v>1542</v>
      </c>
      <c r="P213" s="30" t="s">
        <v>1542</v>
      </c>
      <c r="Q213" s="30" t="str">
        <f t="shared" si="15"/>
        <v>AM</v>
      </c>
      <c r="R213" s="30" t="str">
        <f t="shared" si="16"/>
        <v>DM</v>
      </c>
      <c r="S213" s="30" t="str">
        <f>VLOOKUP(M213,'Data - Employee Rights Master'!$C$3:$D$32,2,0)</f>
        <v>AM</v>
      </c>
      <c r="T213" s="30" t="str">
        <f>VLOOKUP(N213,'Data - Employee Rights Master'!$C$3:$D$32,2,0)</f>
        <v>DM</v>
      </c>
      <c r="U213" s="41" t="str">
        <f t="shared" si="17"/>
        <v>PASS</v>
      </c>
      <c r="V213" s="41" t="str">
        <f t="shared" si="18"/>
        <v>NA</v>
      </c>
      <c r="W213" s="30" t="str">
        <f t="shared" si="19"/>
        <v>2021</v>
      </c>
      <c r="X213" s="30" t="str">
        <f>VLOOKUP(MONTH(G213),Key!$F$3:$G$14,2,0)</f>
        <v>Jan</v>
      </c>
      <c r="Y213" s="30" t="str">
        <f>IFERROR(IF(MATCH(F213,'Test 6'!C$5:C$9,0)&gt;0,"RP"),"NON-RP")</f>
        <v>NON-RP</v>
      </c>
    </row>
    <row r="214" spans="2:25" x14ac:dyDescent="0.5">
      <c r="B214" s="30">
        <v>210</v>
      </c>
      <c r="C214" s="30" t="s">
        <v>511</v>
      </c>
      <c r="D214" s="31">
        <v>2021210</v>
      </c>
      <c r="E214" s="30" t="s">
        <v>512</v>
      </c>
      <c r="F214" s="53" t="s">
        <v>131</v>
      </c>
      <c r="G214" s="32">
        <v>44211</v>
      </c>
      <c r="H214" s="33">
        <v>0.46105710920493859</v>
      </c>
      <c r="I214" s="30" t="s">
        <v>502</v>
      </c>
      <c r="J214" s="34">
        <v>260730</v>
      </c>
      <c r="K214" s="35" t="s">
        <v>17</v>
      </c>
      <c r="L214" s="36">
        <v>46931.4</v>
      </c>
      <c r="M214" s="30" t="s">
        <v>18</v>
      </c>
      <c r="N214" s="30" t="s">
        <v>51</v>
      </c>
      <c r="O214" s="30" t="s">
        <v>1542</v>
      </c>
      <c r="P214" s="30" t="s">
        <v>1542</v>
      </c>
      <c r="Q214" s="30" t="str">
        <f t="shared" si="15"/>
        <v>AM</v>
      </c>
      <c r="R214" s="30" t="str">
        <f t="shared" si="16"/>
        <v>DM</v>
      </c>
      <c r="S214" s="30" t="str">
        <f>VLOOKUP(M214,'Data - Employee Rights Master'!$C$3:$D$32,2,0)</f>
        <v>AM</v>
      </c>
      <c r="T214" s="30" t="str">
        <f>VLOOKUP(N214,'Data - Employee Rights Master'!$C$3:$D$32,2,0)</f>
        <v>DM</v>
      </c>
      <c r="U214" s="41" t="str">
        <f t="shared" si="17"/>
        <v>PASS</v>
      </c>
      <c r="V214" s="41" t="str">
        <f t="shared" si="18"/>
        <v>NA</v>
      </c>
      <c r="W214" s="30" t="str">
        <f t="shared" si="19"/>
        <v>2021</v>
      </c>
      <c r="X214" s="30" t="str">
        <f>VLOOKUP(MONTH(G214),Key!$F$3:$G$14,2,0)</f>
        <v>Jan</v>
      </c>
      <c r="Y214" s="30" t="str">
        <f>IFERROR(IF(MATCH(F214,'Test 6'!C$5:C$9,0)&gt;0,"RP"),"NON-RP")</f>
        <v>NON-RP</v>
      </c>
    </row>
    <row r="215" spans="2:25" x14ac:dyDescent="0.5">
      <c r="B215" s="30">
        <v>211</v>
      </c>
      <c r="C215" s="30" t="s">
        <v>513</v>
      </c>
      <c r="D215" s="31">
        <v>2021211</v>
      </c>
      <c r="E215" s="30" t="s">
        <v>514</v>
      </c>
      <c r="F215" s="53" t="s">
        <v>119</v>
      </c>
      <c r="G215" s="32">
        <v>44212</v>
      </c>
      <c r="H215" s="33">
        <v>0.55566270755658265</v>
      </c>
      <c r="I215" s="30" t="s">
        <v>502</v>
      </c>
      <c r="J215" s="34">
        <v>369470</v>
      </c>
      <c r="K215" s="35" t="s">
        <v>17</v>
      </c>
      <c r="L215" s="36">
        <v>66504.599999999991</v>
      </c>
      <c r="M215" s="30" t="s">
        <v>28</v>
      </c>
      <c r="N215" s="30" t="s">
        <v>24</v>
      </c>
      <c r="O215" s="30" t="s">
        <v>1542</v>
      </c>
      <c r="P215" s="30" t="s">
        <v>1542</v>
      </c>
      <c r="Q215" s="30" t="str">
        <f t="shared" si="15"/>
        <v>AM</v>
      </c>
      <c r="R215" s="30" t="str">
        <f t="shared" si="16"/>
        <v>DM</v>
      </c>
      <c r="S215" s="30" t="str">
        <f>VLOOKUP(M215,'Data - Employee Rights Master'!$C$3:$D$32,2,0)</f>
        <v>AM</v>
      </c>
      <c r="T215" s="30" t="str">
        <f>VLOOKUP(N215,'Data - Employee Rights Master'!$C$3:$D$32,2,0)</f>
        <v>DM</v>
      </c>
      <c r="U215" s="41" t="str">
        <f t="shared" si="17"/>
        <v>PASS</v>
      </c>
      <c r="V215" s="41" t="str">
        <f t="shared" si="18"/>
        <v>NA</v>
      </c>
      <c r="W215" s="30" t="str">
        <f t="shared" si="19"/>
        <v>2021</v>
      </c>
      <c r="X215" s="30" t="str">
        <f>VLOOKUP(MONTH(G215),Key!$F$3:$G$14,2,0)</f>
        <v>Jan</v>
      </c>
      <c r="Y215" s="30" t="str">
        <f>IFERROR(IF(MATCH(F215,'Test 6'!C$5:C$9,0)&gt;0,"RP"),"NON-RP")</f>
        <v>NON-RP</v>
      </c>
    </row>
    <row r="216" spans="2:25" x14ac:dyDescent="0.5">
      <c r="B216" s="30">
        <v>212</v>
      </c>
      <c r="C216" s="30" t="s">
        <v>515</v>
      </c>
      <c r="D216" s="31">
        <v>2021212</v>
      </c>
      <c r="E216" s="30" t="s">
        <v>516</v>
      </c>
      <c r="F216" s="53" t="s">
        <v>203</v>
      </c>
      <c r="G216" s="32">
        <v>44214</v>
      </c>
      <c r="H216" s="33">
        <v>0.62050378586797872</v>
      </c>
      <c r="I216" s="30" t="s">
        <v>502</v>
      </c>
      <c r="J216" s="34">
        <v>395500</v>
      </c>
      <c r="K216" s="35" t="s">
        <v>17</v>
      </c>
      <c r="L216" s="36">
        <v>71190</v>
      </c>
      <c r="M216" s="30" t="s">
        <v>32</v>
      </c>
      <c r="N216" s="30" t="s">
        <v>24</v>
      </c>
      <c r="O216" s="30" t="s">
        <v>1542</v>
      </c>
      <c r="P216" s="30" t="s">
        <v>1542</v>
      </c>
      <c r="Q216" s="30" t="str">
        <f t="shared" si="15"/>
        <v>AM</v>
      </c>
      <c r="R216" s="30" t="str">
        <f t="shared" si="16"/>
        <v>DM</v>
      </c>
      <c r="S216" s="30" t="str">
        <f>VLOOKUP(M216,'Data - Employee Rights Master'!$C$3:$D$32,2,0)</f>
        <v>AM</v>
      </c>
      <c r="T216" s="30" t="str">
        <f>VLOOKUP(N216,'Data - Employee Rights Master'!$C$3:$D$32,2,0)</f>
        <v>DM</v>
      </c>
      <c r="U216" s="41" t="str">
        <f t="shared" si="17"/>
        <v>PASS</v>
      </c>
      <c r="V216" s="41" t="str">
        <f t="shared" si="18"/>
        <v>NA</v>
      </c>
      <c r="W216" s="30" t="str">
        <f t="shared" si="19"/>
        <v>2021</v>
      </c>
      <c r="X216" s="30" t="str">
        <f>VLOOKUP(MONTH(G216),Key!$F$3:$G$14,2,0)</f>
        <v>Jan</v>
      </c>
      <c r="Y216" s="30" t="str">
        <f>IFERROR(IF(MATCH(F216,'Test 6'!C$5:C$9,0)&gt;0,"RP"),"NON-RP")</f>
        <v>NON-RP</v>
      </c>
    </row>
    <row r="217" spans="2:25" x14ac:dyDescent="0.5">
      <c r="B217" s="30">
        <v>213</v>
      </c>
      <c r="C217" s="30" t="s">
        <v>517</v>
      </c>
      <c r="D217" s="31">
        <v>2021213</v>
      </c>
      <c r="E217" s="30" t="s">
        <v>518</v>
      </c>
      <c r="F217" s="53" t="s">
        <v>131</v>
      </c>
      <c r="G217" s="32">
        <v>44214</v>
      </c>
      <c r="H217" s="33">
        <v>0.57187098777898737</v>
      </c>
      <c r="I217" s="30" t="s">
        <v>502</v>
      </c>
      <c r="J217" s="34">
        <v>374810</v>
      </c>
      <c r="K217" s="35" t="s">
        <v>17</v>
      </c>
      <c r="L217" s="36">
        <v>67465.8</v>
      </c>
      <c r="M217" s="30" t="s">
        <v>23</v>
      </c>
      <c r="N217" s="30" t="s">
        <v>24</v>
      </c>
      <c r="O217" s="30" t="s">
        <v>1542</v>
      </c>
      <c r="P217" s="30" t="s">
        <v>1542</v>
      </c>
      <c r="Q217" s="30" t="str">
        <f t="shared" si="15"/>
        <v>AM</v>
      </c>
      <c r="R217" s="30" t="str">
        <f t="shared" si="16"/>
        <v>DM</v>
      </c>
      <c r="S217" s="30" t="str">
        <f>VLOOKUP(M217,'Data - Employee Rights Master'!$C$3:$D$32,2,0)</f>
        <v>AM</v>
      </c>
      <c r="T217" s="30" t="str">
        <f>VLOOKUP(N217,'Data - Employee Rights Master'!$C$3:$D$32,2,0)</f>
        <v>DM</v>
      </c>
      <c r="U217" s="41" t="str">
        <f t="shared" si="17"/>
        <v>PASS</v>
      </c>
      <c r="V217" s="41" t="str">
        <f t="shared" si="18"/>
        <v>NA</v>
      </c>
      <c r="W217" s="30" t="str">
        <f t="shared" si="19"/>
        <v>2021</v>
      </c>
      <c r="X217" s="30" t="str">
        <f>VLOOKUP(MONTH(G217),Key!$F$3:$G$14,2,0)</f>
        <v>Jan</v>
      </c>
      <c r="Y217" s="30" t="str">
        <f>IFERROR(IF(MATCH(F217,'Test 6'!C$5:C$9,0)&gt;0,"RP"),"NON-RP")</f>
        <v>NON-RP</v>
      </c>
    </row>
    <row r="218" spans="2:25" x14ac:dyDescent="0.5">
      <c r="B218" s="30">
        <v>214</v>
      </c>
      <c r="C218" s="30" t="s">
        <v>519</v>
      </c>
      <c r="D218" s="31">
        <v>2021214</v>
      </c>
      <c r="E218" s="30" t="s">
        <v>520</v>
      </c>
      <c r="F218" s="53" t="s">
        <v>67</v>
      </c>
      <c r="G218" s="32">
        <v>44218</v>
      </c>
      <c r="H218" s="33">
        <v>0.47685395530733787</v>
      </c>
      <c r="I218" s="30" t="s">
        <v>502</v>
      </c>
      <c r="J218" s="34">
        <v>433570</v>
      </c>
      <c r="K218" s="35" t="s">
        <v>17</v>
      </c>
      <c r="L218" s="36">
        <v>78042.599999999991</v>
      </c>
      <c r="M218" s="30" t="s">
        <v>32</v>
      </c>
      <c r="N218" s="30" t="s">
        <v>68</v>
      </c>
      <c r="O218" s="30" t="s">
        <v>1542</v>
      </c>
      <c r="P218" s="30" t="s">
        <v>1542</v>
      </c>
      <c r="Q218" s="30" t="str">
        <f t="shared" si="15"/>
        <v>AM</v>
      </c>
      <c r="R218" s="30" t="str">
        <f t="shared" si="16"/>
        <v>DM</v>
      </c>
      <c r="S218" s="30" t="str">
        <f>VLOOKUP(M218,'Data - Employee Rights Master'!$C$3:$D$32,2,0)</f>
        <v>AM</v>
      </c>
      <c r="T218" s="30" t="str">
        <f>VLOOKUP(N218,'Data - Employee Rights Master'!$C$3:$D$32,2,0)</f>
        <v>DM</v>
      </c>
      <c r="U218" s="41" t="str">
        <f t="shared" si="17"/>
        <v>PASS</v>
      </c>
      <c r="V218" s="41" t="str">
        <f t="shared" si="18"/>
        <v>NA</v>
      </c>
      <c r="W218" s="30" t="str">
        <f t="shared" si="19"/>
        <v>2021</v>
      </c>
      <c r="X218" s="30" t="str">
        <f>VLOOKUP(MONTH(G218),Key!$F$3:$G$14,2,0)</f>
        <v>Jan</v>
      </c>
      <c r="Y218" s="30" t="str">
        <f>IFERROR(IF(MATCH(F218,'Test 6'!C$5:C$9,0)&gt;0,"RP"),"NON-RP")</f>
        <v>NON-RP</v>
      </c>
    </row>
    <row r="219" spans="2:25" x14ac:dyDescent="0.5">
      <c r="B219" s="30">
        <v>215</v>
      </c>
      <c r="C219" s="30" t="s">
        <v>521</v>
      </c>
      <c r="D219" s="31">
        <v>2021215</v>
      </c>
      <c r="E219" s="30" t="s">
        <v>522</v>
      </c>
      <c r="F219" s="53" t="s">
        <v>241</v>
      </c>
      <c r="G219" s="32">
        <v>44219</v>
      </c>
      <c r="H219" s="33">
        <v>0.61198088150954422</v>
      </c>
      <c r="I219" s="30" t="s">
        <v>502</v>
      </c>
      <c r="J219" s="34">
        <v>302470</v>
      </c>
      <c r="K219" s="35" t="s">
        <v>17</v>
      </c>
      <c r="L219" s="36">
        <v>54444.6</v>
      </c>
      <c r="M219" s="30" t="s">
        <v>23</v>
      </c>
      <c r="N219" s="30" t="s">
        <v>19</v>
      </c>
      <c r="O219" s="30" t="s">
        <v>1542</v>
      </c>
      <c r="P219" s="30" t="s">
        <v>1542</v>
      </c>
      <c r="Q219" s="30" t="str">
        <f t="shared" si="15"/>
        <v>AM</v>
      </c>
      <c r="R219" s="30" t="str">
        <f t="shared" si="16"/>
        <v>DM</v>
      </c>
      <c r="S219" s="30" t="str">
        <f>VLOOKUP(M219,'Data - Employee Rights Master'!$C$3:$D$32,2,0)</f>
        <v>AM</v>
      </c>
      <c r="T219" s="30" t="str">
        <f>VLOOKUP(N219,'Data - Employee Rights Master'!$C$3:$D$32,2,0)</f>
        <v>DM</v>
      </c>
      <c r="U219" s="41" t="str">
        <f t="shared" si="17"/>
        <v>PASS</v>
      </c>
      <c r="V219" s="41" t="str">
        <f t="shared" si="18"/>
        <v>NA</v>
      </c>
      <c r="W219" s="30" t="str">
        <f t="shared" si="19"/>
        <v>2021</v>
      </c>
      <c r="X219" s="30" t="str">
        <f>VLOOKUP(MONTH(G219),Key!$F$3:$G$14,2,0)</f>
        <v>Jan</v>
      </c>
      <c r="Y219" s="30" t="str">
        <f>IFERROR(IF(MATCH(F219,'Test 6'!C$5:C$9,0)&gt;0,"RP"),"NON-RP")</f>
        <v>RP</v>
      </c>
    </row>
    <row r="220" spans="2:25" x14ac:dyDescent="0.5">
      <c r="B220" s="30">
        <v>216</v>
      </c>
      <c r="C220" s="30" t="s">
        <v>523</v>
      </c>
      <c r="D220" s="31">
        <v>2021216</v>
      </c>
      <c r="E220" s="30" t="s">
        <v>524</v>
      </c>
      <c r="F220" s="53" t="s">
        <v>272</v>
      </c>
      <c r="G220" s="32">
        <v>44221</v>
      </c>
      <c r="H220" s="33">
        <v>0.54762976353893222</v>
      </c>
      <c r="I220" s="30" t="s">
        <v>502</v>
      </c>
      <c r="J220" s="34">
        <v>388980</v>
      </c>
      <c r="K220" s="35" t="s">
        <v>17</v>
      </c>
      <c r="L220" s="36">
        <v>70016.399999999994</v>
      </c>
      <c r="M220" s="30" t="s">
        <v>37</v>
      </c>
      <c r="N220" s="30" t="s">
        <v>19</v>
      </c>
      <c r="O220" s="30" t="s">
        <v>1542</v>
      </c>
      <c r="P220" s="30" t="s">
        <v>1542</v>
      </c>
      <c r="Q220" s="30" t="str">
        <f t="shared" si="15"/>
        <v>AM</v>
      </c>
      <c r="R220" s="30" t="str">
        <f t="shared" si="16"/>
        <v>DM</v>
      </c>
      <c r="S220" s="30" t="str">
        <f>VLOOKUP(M220,'Data - Employee Rights Master'!$C$3:$D$32,2,0)</f>
        <v>AM</v>
      </c>
      <c r="T220" s="30" t="str">
        <f>VLOOKUP(N220,'Data - Employee Rights Master'!$C$3:$D$32,2,0)</f>
        <v>DM</v>
      </c>
      <c r="U220" s="41" t="str">
        <f t="shared" si="17"/>
        <v>PASS</v>
      </c>
      <c r="V220" s="41" t="str">
        <f t="shared" si="18"/>
        <v>NA</v>
      </c>
      <c r="W220" s="30" t="str">
        <f t="shared" si="19"/>
        <v>2021</v>
      </c>
      <c r="X220" s="30" t="str">
        <f>VLOOKUP(MONTH(G220),Key!$F$3:$G$14,2,0)</f>
        <v>Jan</v>
      </c>
      <c r="Y220" s="30" t="str">
        <f>IFERROR(IF(MATCH(F220,'Test 6'!C$5:C$9,0)&gt;0,"RP"),"NON-RP")</f>
        <v>NON-RP</v>
      </c>
    </row>
    <row r="221" spans="2:25" x14ac:dyDescent="0.5">
      <c r="B221" s="30">
        <v>217</v>
      </c>
      <c r="C221" s="30" t="s">
        <v>525</v>
      </c>
      <c r="D221" s="31">
        <v>2021217</v>
      </c>
      <c r="E221" s="30" t="s">
        <v>526</v>
      </c>
      <c r="F221" s="53" t="s">
        <v>84</v>
      </c>
      <c r="G221" s="32">
        <v>44221</v>
      </c>
      <c r="H221" s="33">
        <v>0.73828907949223954</v>
      </c>
      <c r="I221" s="30" t="s">
        <v>502</v>
      </c>
      <c r="J221" s="34">
        <v>21830</v>
      </c>
      <c r="K221" s="35" t="s">
        <v>17</v>
      </c>
      <c r="L221" s="36">
        <v>3929.3999999999996</v>
      </c>
      <c r="M221" s="30" t="s">
        <v>200</v>
      </c>
      <c r="N221" s="30" t="s">
        <v>18</v>
      </c>
      <c r="O221" s="30" t="s">
        <v>1542</v>
      </c>
      <c r="P221" s="30" t="s">
        <v>1542</v>
      </c>
      <c r="Q221" s="30" t="str">
        <f t="shared" si="15"/>
        <v>SE</v>
      </c>
      <c r="R221" s="30" t="str">
        <f t="shared" si="16"/>
        <v>AM</v>
      </c>
      <c r="S221" s="30" t="str">
        <f>VLOOKUP(M221,'Data - Employee Rights Master'!$C$3:$D$32,2,0)</f>
        <v>SE</v>
      </c>
      <c r="T221" s="30" t="str">
        <f>VLOOKUP(N221,'Data - Employee Rights Master'!$C$3:$D$32,2,0)</f>
        <v>AM</v>
      </c>
      <c r="U221" s="41" t="str">
        <f t="shared" si="17"/>
        <v>PASS</v>
      </c>
      <c r="V221" s="41" t="str">
        <f t="shared" si="18"/>
        <v>NA</v>
      </c>
      <c r="W221" s="30" t="str">
        <f t="shared" si="19"/>
        <v>2021</v>
      </c>
      <c r="X221" s="30" t="str">
        <f>VLOOKUP(MONTH(G221),Key!$F$3:$G$14,2,0)</f>
        <v>Jan</v>
      </c>
      <c r="Y221" s="30" t="str">
        <f>IFERROR(IF(MATCH(F221,'Test 6'!C$5:C$9,0)&gt;0,"RP"),"NON-RP")</f>
        <v>NON-RP</v>
      </c>
    </row>
    <row r="222" spans="2:25" x14ac:dyDescent="0.5">
      <c r="B222" s="30">
        <v>218</v>
      </c>
      <c r="C222" s="30" t="s">
        <v>527</v>
      </c>
      <c r="D222" s="31">
        <v>2021218</v>
      </c>
      <c r="E222" s="30" t="s">
        <v>528</v>
      </c>
      <c r="F222" s="53" t="s">
        <v>50</v>
      </c>
      <c r="G222" s="32">
        <v>44221</v>
      </c>
      <c r="H222" s="33">
        <v>0.69847669238537669</v>
      </c>
      <c r="I222" s="30" t="s">
        <v>502</v>
      </c>
      <c r="J222" s="34">
        <v>434470</v>
      </c>
      <c r="K222" s="35" t="s">
        <v>17</v>
      </c>
      <c r="L222" s="36">
        <v>78204.599999999991</v>
      </c>
      <c r="M222" s="30" t="s">
        <v>46</v>
      </c>
      <c r="N222" s="30" t="s">
        <v>24</v>
      </c>
      <c r="O222" s="30" t="s">
        <v>1542</v>
      </c>
      <c r="P222" s="30" t="s">
        <v>1542</v>
      </c>
      <c r="Q222" s="30" t="str">
        <f t="shared" si="15"/>
        <v>AM</v>
      </c>
      <c r="R222" s="30" t="str">
        <f t="shared" si="16"/>
        <v>DM</v>
      </c>
      <c r="S222" s="30" t="str">
        <f>VLOOKUP(M222,'Data - Employee Rights Master'!$C$3:$D$32,2,0)</f>
        <v>AM</v>
      </c>
      <c r="T222" s="30" t="str">
        <f>VLOOKUP(N222,'Data - Employee Rights Master'!$C$3:$D$32,2,0)</f>
        <v>DM</v>
      </c>
      <c r="U222" s="41" t="str">
        <f t="shared" si="17"/>
        <v>PASS</v>
      </c>
      <c r="V222" s="41" t="str">
        <f t="shared" si="18"/>
        <v>NA</v>
      </c>
      <c r="W222" s="30" t="str">
        <f t="shared" si="19"/>
        <v>2021</v>
      </c>
      <c r="X222" s="30" t="str">
        <f>VLOOKUP(MONTH(G222),Key!$F$3:$G$14,2,0)</f>
        <v>Jan</v>
      </c>
      <c r="Y222" s="30" t="str">
        <f>IFERROR(IF(MATCH(F222,'Test 6'!C$5:C$9,0)&gt;0,"RP"),"NON-RP")</f>
        <v>NON-RP</v>
      </c>
    </row>
    <row r="223" spans="2:25" x14ac:dyDescent="0.5">
      <c r="B223" s="30">
        <v>219</v>
      </c>
      <c r="C223" s="30" t="s">
        <v>529</v>
      </c>
      <c r="D223" s="31">
        <v>2021219</v>
      </c>
      <c r="E223" s="30" t="s">
        <v>530</v>
      </c>
      <c r="F223" s="53" t="s">
        <v>95</v>
      </c>
      <c r="G223" s="32">
        <v>44223</v>
      </c>
      <c r="H223" s="33">
        <v>0.65375057455900487</v>
      </c>
      <c r="I223" s="30" t="s">
        <v>502</v>
      </c>
      <c r="J223" s="34">
        <v>359170</v>
      </c>
      <c r="K223" s="35" t="s">
        <v>17</v>
      </c>
      <c r="L223" s="36">
        <v>64650.6</v>
      </c>
      <c r="M223" s="30" t="s">
        <v>61</v>
      </c>
      <c r="N223" s="30" t="s">
        <v>51</v>
      </c>
      <c r="O223" s="30" t="s">
        <v>1542</v>
      </c>
      <c r="P223" s="30" t="s">
        <v>1542</v>
      </c>
      <c r="Q223" s="30" t="str">
        <f t="shared" si="15"/>
        <v>AM</v>
      </c>
      <c r="R223" s="30" t="str">
        <f t="shared" si="16"/>
        <v>DM</v>
      </c>
      <c r="S223" s="30" t="str">
        <f>VLOOKUP(M223,'Data - Employee Rights Master'!$C$3:$D$32,2,0)</f>
        <v>AM</v>
      </c>
      <c r="T223" s="30" t="str">
        <f>VLOOKUP(N223,'Data - Employee Rights Master'!$C$3:$D$32,2,0)</f>
        <v>DM</v>
      </c>
      <c r="U223" s="41" t="str">
        <f t="shared" si="17"/>
        <v>PASS</v>
      </c>
      <c r="V223" s="41" t="str">
        <f t="shared" si="18"/>
        <v>NA</v>
      </c>
      <c r="W223" s="30" t="str">
        <f t="shared" si="19"/>
        <v>2021</v>
      </c>
      <c r="X223" s="30" t="str">
        <f>VLOOKUP(MONTH(G223),Key!$F$3:$G$14,2,0)</f>
        <v>Jan</v>
      </c>
      <c r="Y223" s="30" t="str">
        <f>IFERROR(IF(MATCH(F223,'Test 6'!C$5:C$9,0)&gt;0,"RP"),"NON-RP")</f>
        <v>NON-RP</v>
      </c>
    </row>
    <row r="224" spans="2:25" x14ac:dyDescent="0.5">
      <c r="B224" s="30">
        <v>220</v>
      </c>
      <c r="C224" s="30" t="s">
        <v>531</v>
      </c>
      <c r="D224" s="31">
        <v>2021220</v>
      </c>
      <c r="E224" s="30" t="s">
        <v>532</v>
      </c>
      <c r="F224" s="53" t="s">
        <v>60</v>
      </c>
      <c r="G224" s="32">
        <v>44225</v>
      </c>
      <c r="H224" s="33">
        <v>0.57966944752341587</v>
      </c>
      <c r="I224" s="30" t="s">
        <v>502</v>
      </c>
      <c r="J224" s="34">
        <v>464740</v>
      </c>
      <c r="K224" s="35" t="s">
        <v>17</v>
      </c>
      <c r="L224" s="36">
        <v>83653.2</v>
      </c>
      <c r="M224" s="30" t="s">
        <v>37</v>
      </c>
      <c r="N224" s="30" t="s">
        <v>51</v>
      </c>
      <c r="O224" s="30" t="s">
        <v>1542</v>
      </c>
      <c r="P224" s="30" t="s">
        <v>1542</v>
      </c>
      <c r="Q224" s="30" t="str">
        <f t="shared" si="15"/>
        <v>AM</v>
      </c>
      <c r="R224" s="30" t="str">
        <f t="shared" si="16"/>
        <v>DM</v>
      </c>
      <c r="S224" s="30" t="str">
        <f>VLOOKUP(M224,'Data - Employee Rights Master'!$C$3:$D$32,2,0)</f>
        <v>AM</v>
      </c>
      <c r="T224" s="30" t="str">
        <f>VLOOKUP(N224,'Data - Employee Rights Master'!$C$3:$D$32,2,0)</f>
        <v>DM</v>
      </c>
      <c r="U224" s="41" t="str">
        <f t="shared" si="17"/>
        <v>PASS</v>
      </c>
      <c r="V224" s="41" t="str">
        <f t="shared" si="18"/>
        <v>NA</v>
      </c>
      <c r="W224" s="30" t="str">
        <f t="shared" si="19"/>
        <v>2021</v>
      </c>
      <c r="X224" s="30" t="str">
        <f>VLOOKUP(MONTH(G224),Key!$F$3:$G$14,2,0)</f>
        <v>Jan</v>
      </c>
      <c r="Y224" s="30" t="str">
        <f>IFERROR(IF(MATCH(F224,'Test 6'!C$5:C$9,0)&gt;0,"RP"),"NON-RP")</f>
        <v>NON-RP</v>
      </c>
    </row>
    <row r="225" spans="2:25" x14ac:dyDescent="0.5">
      <c r="B225" s="30">
        <v>221</v>
      </c>
      <c r="C225" s="30" t="s">
        <v>533</v>
      </c>
      <c r="D225" s="31">
        <v>2021221</v>
      </c>
      <c r="E225" s="30" t="s">
        <v>534</v>
      </c>
      <c r="F225" s="53" t="s">
        <v>238</v>
      </c>
      <c r="G225" s="32">
        <v>44229</v>
      </c>
      <c r="H225" s="33">
        <v>0.61740353920966917</v>
      </c>
      <c r="I225" s="30" t="s">
        <v>535</v>
      </c>
      <c r="J225" s="34">
        <v>343880</v>
      </c>
      <c r="K225" s="35" t="s">
        <v>17</v>
      </c>
      <c r="L225" s="36">
        <v>61898.399999999994</v>
      </c>
      <c r="M225" s="30" t="s">
        <v>32</v>
      </c>
      <c r="N225" s="30" t="s">
        <v>24</v>
      </c>
      <c r="O225" s="30" t="s">
        <v>1542</v>
      </c>
      <c r="P225" s="30" t="s">
        <v>1542</v>
      </c>
      <c r="Q225" s="30" t="str">
        <f t="shared" si="15"/>
        <v>AM</v>
      </c>
      <c r="R225" s="30" t="str">
        <f t="shared" si="16"/>
        <v>DM</v>
      </c>
      <c r="S225" s="30" t="str">
        <f>VLOOKUP(M225,'Data - Employee Rights Master'!$C$3:$D$32,2,0)</f>
        <v>AM</v>
      </c>
      <c r="T225" s="30" t="str">
        <f>VLOOKUP(N225,'Data - Employee Rights Master'!$C$3:$D$32,2,0)</f>
        <v>DM</v>
      </c>
      <c r="U225" s="41" t="str">
        <f t="shared" si="17"/>
        <v>PASS</v>
      </c>
      <c r="V225" s="41" t="str">
        <f t="shared" si="18"/>
        <v>NA</v>
      </c>
      <c r="W225" s="30" t="str">
        <f t="shared" si="19"/>
        <v>2021</v>
      </c>
      <c r="X225" s="30" t="str">
        <f>VLOOKUP(MONTH(G225),Key!$F$3:$G$14,2,0)</f>
        <v>Feb</v>
      </c>
      <c r="Y225" s="30" t="str">
        <f>IFERROR(IF(MATCH(F225,'Test 6'!C$5:C$9,0)&gt;0,"RP"),"NON-RP")</f>
        <v>NON-RP</v>
      </c>
    </row>
    <row r="226" spans="2:25" x14ac:dyDescent="0.5">
      <c r="B226" s="30">
        <v>222</v>
      </c>
      <c r="C226" s="30" t="s">
        <v>536</v>
      </c>
      <c r="D226" s="31">
        <v>2021222</v>
      </c>
      <c r="E226" s="30" t="s">
        <v>537</v>
      </c>
      <c r="F226" s="53" t="s">
        <v>114</v>
      </c>
      <c r="G226" s="32">
        <v>44230</v>
      </c>
      <c r="H226" s="33">
        <v>0.50069775193521182</v>
      </c>
      <c r="I226" s="30" t="s">
        <v>535</v>
      </c>
      <c r="J226" s="34">
        <v>464470</v>
      </c>
      <c r="K226" s="35" t="s">
        <v>17</v>
      </c>
      <c r="L226" s="36">
        <v>83604.599999999991</v>
      </c>
      <c r="M226" s="30" t="s">
        <v>61</v>
      </c>
      <c r="N226" s="30" t="s">
        <v>68</v>
      </c>
      <c r="O226" s="30" t="s">
        <v>1542</v>
      </c>
      <c r="P226" s="30" t="s">
        <v>1542</v>
      </c>
      <c r="Q226" s="30" t="str">
        <f t="shared" si="15"/>
        <v>AM</v>
      </c>
      <c r="R226" s="30" t="str">
        <f t="shared" si="16"/>
        <v>DM</v>
      </c>
      <c r="S226" s="30" t="str">
        <f>VLOOKUP(M226,'Data - Employee Rights Master'!$C$3:$D$32,2,0)</f>
        <v>AM</v>
      </c>
      <c r="T226" s="30" t="str">
        <f>VLOOKUP(N226,'Data - Employee Rights Master'!$C$3:$D$32,2,0)</f>
        <v>DM</v>
      </c>
      <c r="U226" s="41" t="str">
        <f t="shared" si="17"/>
        <v>PASS</v>
      </c>
      <c r="V226" s="41" t="str">
        <f t="shared" si="18"/>
        <v>NA</v>
      </c>
      <c r="W226" s="30" t="str">
        <f t="shared" si="19"/>
        <v>2021</v>
      </c>
      <c r="X226" s="30" t="str">
        <f>VLOOKUP(MONTH(G226),Key!$F$3:$G$14,2,0)</f>
        <v>Feb</v>
      </c>
      <c r="Y226" s="30" t="str">
        <f>IFERROR(IF(MATCH(F226,'Test 6'!C$5:C$9,0)&gt;0,"RP"),"NON-RP")</f>
        <v>NON-RP</v>
      </c>
    </row>
    <row r="227" spans="2:25" x14ac:dyDescent="0.5">
      <c r="B227" s="30">
        <v>223</v>
      </c>
      <c r="C227" s="30" t="s">
        <v>538</v>
      </c>
      <c r="D227" s="31">
        <v>2021223</v>
      </c>
      <c r="E227" s="30" t="s">
        <v>539</v>
      </c>
      <c r="F227" s="53" t="s">
        <v>131</v>
      </c>
      <c r="G227" s="32">
        <v>44231</v>
      </c>
      <c r="H227" s="33">
        <v>0.58772481449210212</v>
      </c>
      <c r="I227" s="30" t="s">
        <v>535</v>
      </c>
      <c r="J227" s="34">
        <v>207340</v>
      </c>
      <c r="K227" s="35" t="s">
        <v>17</v>
      </c>
      <c r="L227" s="36">
        <v>37321.199999999997</v>
      </c>
      <c r="M227" s="30" t="s">
        <v>46</v>
      </c>
      <c r="N227" s="30" t="s">
        <v>51</v>
      </c>
      <c r="O227" s="30" t="s">
        <v>1542</v>
      </c>
      <c r="P227" s="30" t="s">
        <v>1542</v>
      </c>
      <c r="Q227" s="30" t="str">
        <f t="shared" si="15"/>
        <v>AM</v>
      </c>
      <c r="R227" s="30" t="str">
        <f t="shared" si="16"/>
        <v>DM</v>
      </c>
      <c r="S227" s="30" t="str">
        <f>VLOOKUP(M227,'Data - Employee Rights Master'!$C$3:$D$32,2,0)</f>
        <v>AM</v>
      </c>
      <c r="T227" s="30" t="str">
        <f>VLOOKUP(N227,'Data - Employee Rights Master'!$C$3:$D$32,2,0)</f>
        <v>DM</v>
      </c>
      <c r="U227" s="41" t="str">
        <f t="shared" si="17"/>
        <v>PASS</v>
      </c>
      <c r="V227" s="41" t="str">
        <f t="shared" si="18"/>
        <v>NA</v>
      </c>
      <c r="W227" s="30" t="str">
        <f t="shared" si="19"/>
        <v>2021</v>
      </c>
      <c r="X227" s="30" t="str">
        <f>VLOOKUP(MONTH(G227),Key!$F$3:$G$14,2,0)</f>
        <v>Feb</v>
      </c>
      <c r="Y227" s="30" t="str">
        <f>IFERROR(IF(MATCH(F227,'Test 6'!C$5:C$9,0)&gt;0,"RP"),"NON-RP")</f>
        <v>NON-RP</v>
      </c>
    </row>
    <row r="228" spans="2:25" x14ac:dyDescent="0.5">
      <c r="B228" s="30">
        <v>224</v>
      </c>
      <c r="C228" s="30" t="s">
        <v>540</v>
      </c>
      <c r="D228" s="31">
        <v>2021224</v>
      </c>
      <c r="E228" s="30" t="s">
        <v>541</v>
      </c>
      <c r="F228" s="53" t="s">
        <v>229</v>
      </c>
      <c r="G228" s="32">
        <v>44231</v>
      </c>
      <c r="H228" s="33">
        <v>0.539099886373274</v>
      </c>
      <c r="I228" s="30" t="s">
        <v>535</v>
      </c>
      <c r="J228" s="34">
        <v>235030</v>
      </c>
      <c r="K228" s="35" t="s">
        <v>17</v>
      </c>
      <c r="L228" s="36">
        <v>42305.4</v>
      </c>
      <c r="M228" s="30" t="s">
        <v>18</v>
      </c>
      <c r="N228" s="30" t="s">
        <v>51</v>
      </c>
      <c r="O228" s="30" t="s">
        <v>1542</v>
      </c>
      <c r="P228" s="30" t="s">
        <v>1542</v>
      </c>
      <c r="Q228" s="30" t="str">
        <f t="shared" si="15"/>
        <v>AM</v>
      </c>
      <c r="R228" s="30" t="str">
        <f t="shared" si="16"/>
        <v>DM</v>
      </c>
      <c r="S228" s="30" t="str">
        <f>VLOOKUP(M228,'Data - Employee Rights Master'!$C$3:$D$32,2,0)</f>
        <v>AM</v>
      </c>
      <c r="T228" s="30" t="str">
        <f>VLOOKUP(N228,'Data - Employee Rights Master'!$C$3:$D$32,2,0)</f>
        <v>DM</v>
      </c>
      <c r="U228" s="41" t="str">
        <f t="shared" si="17"/>
        <v>PASS</v>
      </c>
      <c r="V228" s="41" t="str">
        <f t="shared" si="18"/>
        <v>NA</v>
      </c>
      <c r="W228" s="30" t="str">
        <f t="shared" si="19"/>
        <v>2021</v>
      </c>
      <c r="X228" s="30" t="str">
        <f>VLOOKUP(MONTH(G228),Key!$F$3:$G$14,2,0)</f>
        <v>Feb</v>
      </c>
      <c r="Y228" s="30" t="str">
        <f>IFERROR(IF(MATCH(F228,'Test 6'!C$5:C$9,0)&gt;0,"RP"),"NON-RP")</f>
        <v>NON-RP</v>
      </c>
    </row>
    <row r="229" spans="2:25" x14ac:dyDescent="0.5">
      <c r="B229" s="30">
        <v>225</v>
      </c>
      <c r="C229" s="30" t="s">
        <v>542</v>
      </c>
      <c r="D229" s="31">
        <v>2021225</v>
      </c>
      <c r="E229" s="30" t="s">
        <v>543</v>
      </c>
      <c r="F229" s="53" t="s">
        <v>262</v>
      </c>
      <c r="G229" s="32">
        <v>44231</v>
      </c>
      <c r="H229" s="33">
        <v>0.66842696245482547</v>
      </c>
      <c r="I229" s="30" t="s">
        <v>502</v>
      </c>
      <c r="J229" s="34">
        <v>289800</v>
      </c>
      <c r="K229" s="35" t="s">
        <v>17</v>
      </c>
      <c r="L229" s="36">
        <v>52164</v>
      </c>
      <c r="M229" s="30" t="s">
        <v>46</v>
      </c>
      <c r="N229" s="30" t="s">
        <v>51</v>
      </c>
      <c r="O229" s="30" t="s">
        <v>1542</v>
      </c>
      <c r="P229" s="30" t="s">
        <v>1542</v>
      </c>
      <c r="Q229" s="30" t="str">
        <f t="shared" si="15"/>
        <v>AM</v>
      </c>
      <c r="R229" s="30" t="str">
        <f t="shared" si="16"/>
        <v>DM</v>
      </c>
      <c r="S229" s="30" t="str">
        <f>VLOOKUP(M229,'Data - Employee Rights Master'!$C$3:$D$32,2,0)</f>
        <v>AM</v>
      </c>
      <c r="T229" s="30" t="str">
        <f>VLOOKUP(N229,'Data - Employee Rights Master'!$C$3:$D$32,2,0)</f>
        <v>DM</v>
      </c>
      <c r="U229" s="41" t="str">
        <f t="shared" si="17"/>
        <v>PASS</v>
      </c>
      <c r="V229" s="41" t="str">
        <f t="shared" si="18"/>
        <v>NA</v>
      </c>
      <c r="W229" s="30" t="str">
        <f t="shared" si="19"/>
        <v>2021</v>
      </c>
      <c r="X229" s="30" t="str">
        <f>VLOOKUP(MONTH(G229),Key!$F$3:$G$14,2,0)</f>
        <v>Feb</v>
      </c>
      <c r="Y229" s="30" t="str">
        <f>IFERROR(IF(MATCH(F229,'Test 6'!C$5:C$9,0)&gt;0,"RP"),"NON-RP")</f>
        <v>NON-RP</v>
      </c>
    </row>
    <row r="230" spans="2:25" x14ac:dyDescent="0.5">
      <c r="B230" s="30">
        <v>226</v>
      </c>
      <c r="C230" s="30" t="s">
        <v>544</v>
      </c>
      <c r="D230" s="31">
        <v>2021226</v>
      </c>
      <c r="E230" s="30" t="s">
        <v>545</v>
      </c>
      <c r="F230" s="53" t="s">
        <v>72</v>
      </c>
      <c r="G230" s="32">
        <v>44231</v>
      </c>
      <c r="H230" s="33">
        <v>0.42777106947416538</v>
      </c>
      <c r="I230" s="30" t="s">
        <v>502</v>
      </c>
      <c r="J230" s="34">
        <v>452530</v>
      </c>
      <c r="K230" s="35" t="s">
        <v>17</v>
      </c>
      <c r="L230" s="36">
        <v>81455.399999999994</v>
      </c>
      <c r="M230" s="30" t="s">
        <v>46</v>
      </c>
      <c r="N230" s="30" t="s">
        <v>47</v>
      </c>
      <c r="O230" s="30" t="s">
        <v>1542</v>
      </c>
      <c r="P230" s="30" t="s">
        <v>1542</v>
      </c>
      <c r="Q230" s="30" t="str">
        <f t="shared" si="15"/>
        <v>AM</v>
      </c>
      <c r="R230" s="30" t="str">
        <f t="shared" si="16"/>
        <v>DM</v>
      </c>
      <c r="S230" s="30" t="str">
        <f>VLOOKUP(M230,'Data - Employee Rights Master'!$C$3:$D$32,2,0)</f>
        <v>AM</v>
      </c>
      <c r="T230" s="30" t="str">
        <f>VLOOKUP(N230,'Data - Employee Rights Master'!$C$3:$D$32,2,0)</f>
        <v>DM</v>
      </c>
      <c r="U230" s="41" t="str">
        <f t="shared" si="17"/>
        <v>PASS</v>
      </c>
      <c r="V230" s="41" t="str">
        <f t="shared" si="18"/>
        <v>NA</v>
      </c>
      <c r="W230" s="30" t="str">
        <f t="shared" si="19"/>
        <v>2021</v>
      </c>
      <c r="X230" s="30" t="str">
        <f>VLOOKUP(MONTH(G230),Key!$F$3:$G$14,2,0)</f>
        <v>Feb</v>
      </c>
      <c r="Y230" s="30" t="str">
        <f>IFERROR(IF(MATCH(F230,'Test 6'!C$5:C$9,0)&gt;0,"RP"),"NON-RP")</f>
        <v>NON-RP</v>
      </c>
    </row>
    <row r="231" spans="2:25" x14ac:dyDescent="0.5">
      <c r="B231" s="30">
        <v>227</v>
      </c>
      <c r="C231" s="30" t="s">
        <v>546</v>
      </c>
      <c r="D231" s="31">
        <v>2021227</v>
      </c>
      <c r="E231" s="30" t="s">
        <v>547</v>
      </c>
      <c r="F231" s="53" t="s">
        <v>81</v>
      </c>
      <c r="G231" s="32">
        <v>44232</v>
      </c>
      <c r="H231" s="33">
        <v>0.69370339399231062</v>
      </c>
      <c r="I231" s="30" t="s">
        <v>535</v>
      </c>
      <c r="J231" s="34">
        <v>461930</v>
      </c>
      <c r="K231" s="35" t="s">
        <v>17</v>
      </c>
      <c r="L231" s="36">
        <v>83147.399999999994</v>
      </c>
      <c r="M231" s="30" t="s">
        <v>46</v>
      </c>
      <c r="N231" s="30" t="s">
        <v>24</v>
      </c>
      <c r="O231" s="30" t="s">
        <v>1542</v>
      </c>
      <c r="P231" s="30" t="s">
        <v>1542</v>
      </c>
      <c r="Q231" s="30" t="str">
        <f t="shared" si="15"/>
        <v>AM</v>
      </c>
      <c r="R231" s="30" t="str">
        <f t="shared" si="16"/>
        <v>DM</v>
      </c>
      <c r="S231" s="30" t="str">
        <f>VLOOKUP(M231,'Data - Employee Rights Master'!$C$3:$D$32,2,0)</f>
        <v>AM</v>
      </c>
      <c r="T231" s="30" t="str">
        <f>VLOOKUP(N231,'Data - Employee Rights Master'!$C$3:$D$32,2,0)</f>
        <v>DM</v>
      </c>
      <c r="U231" s="41" t="str">
        <f t="shared" si="17"/>
        <v>PASS</v>
      </c>
      <c r="V231" s="41" t="str">
        <f t="shared" si="18"/>
        <v>NA</v>
      </c>
      <c r="W231" s="30" t="str">
        <f t="shared" si="19"/>
        <v>2021</v>
      </c>
      <c r="X231" s="30" t="str">
        <f>VLOOKUP(MONTH(G231),Key!$F$3:$G$14,2,0)</f>
        <v>Feb</v>
      </c>
      <c r="Y231" s="30" t="str">
        <f>IFERROR(IF(MATCH(F231,'Test 6'!C$5:C$9,0)&gt;0,"RP"),"NON-RP")</f>
        <v>NON-RP</v>
      </c>
    </row>
    <row r="232" spans="2:25" x14ac:dyDescent="0.5">
      <c r="B232" s="30">
        <v>228</v>
      </c>
      <c r="C232" s="30" t="s">
        <v>548</v>
      </c>
      <c r="D232" s="31">
        <v>2021228</v>
      </c>
      <c r="E232" s="30" t="s">
        <v>549</v>
      </c>
      <c r="F232" s="53" t="s">
        <v>114</v>
      </c>
      <c r="G232" s="32">
        <v>44235</v>
      </c>
      <c r="H232" s="33">
        <v>0.46399394051463089</v>
      </c>
      <c r="I232" s="30" t="s">
        <v>535</v>
      </c>
      <c r="J232" s="34">
        <v>380650</v>
      </c>
      <c r="K232" s="35" t="s">
        <v>17</v>
      </c>
      <c r="L232" s="36">
        <v>68517</v>
      </c>
      <c r="M232" s="30" t="s">
        <v>37</v>
      </c>
      <c r="N232" s="30" t="s">
        <v>47</v>
      </c>
      <c r="O232" s="30" t="s">
        <v>1542</v>
      </c>
      <c r="P232" s="30" t="s">
        <v>1542</v>
      </c>
      <c r="Q232" s="30" t="str">
        <f t="shared" si="15"/>
        <v>AM</v>
      </c>
      <c r="R232" s="30" t="str">
        <f t="shared" si="16"/>
        <v>DM</v>
      </c>
      <c r="S232" s="30" t="str">
        <f>VLOOKUP(M232,'Data - Employee Rights Master'!$C$3:$D$32,2,0)</f>
        <v>AM</v>
      </c>
      <c r="T232" s="30" t="str">
        <f>VLOOKUP(N232,'Data - Employee Rights Master'!$C$3:$D$32,2,0)</f>
        <v>DM</v>
      </c>
      <c r="U232" s="41" t="str">
        <f t="shared" si="17"/>
        <v>PASS</v>
      </c>
      <c r="V232" s="41" t="str">
        <f t="shared" si="18"/>
        <v>NA</v>
      </c>
      <c r="W232" s="30" t="str">
        <f t="shared" si="19"/>
        <v>2021</v>
      </c>
      <c r="X232" s="30" t="str">
        <f>VLOOKUP(MONTH(G232),Key!$F$3:$G$14,2,0)</f>
        <v>Feb</v>
      </c>
      <c r="Y232" s="30" t="str">
        <f>IFERROR(IF(MATCH(F232,'Test 6'!C$5:C$9,0)&gt;0,"RP"),"NON-RP")</f>
        <v>NON-RP</v>
      </c>
    </row>
    <row r="233" spans="2:25" x14ac:dyDescent="0.5">
      <c r="B233" s="30">
        <v>229</v>
      </c>
      <c r="C233" s="30" t="s">
        <v>550</v>
      </c>
      <c r="D233" s="31">
        <v>2021229</v>
      </c>
      <c r="E233" s="30" t="s">
        <v>551</v>
      </c>
      <c r="F233" s="53" t="s">
        <v>27</v>
      </c>
      <c r="G233" s="32">
        <v>44239</v>
      </c>
      <c r="H233" s="33">
        <v>0.70273975075252959</v>
      </c>
      <c r="I233" s="30" t="s">
        <v>535</v>
      </c>
      <c r="J233" s="34">
        <v>362410</v>
      </c>
      <c r="K233" s="35" t="s">
        <v>17</v>
      </c>
      <c r="L233" s="36">
        <v>65233.799999999996</v>
      </c>
      <c r="M233" s="30" t="s">
        <v>18</v>
      </c>
      <c r="N233" s="30" t="s">
        <v>19</v>
      </c>
      <c r="O233" s="30" t="s">
        <v>1542</v>
      </c>
      <c r="P233" s="30" t="s">
        <v>1542</v>
      </c>
      <c r="Q233" s="30" t="str">
        <f t="shared" si="15"/>
        <v>AM</v>
      </c>
      <c r="R233" s="30" t="str">
        <f t="shared" si="16"/>
        <v>DM</v>
      </c>
      <c r="S233" s="30" t="str">
        <f>VLOOKUP(M233,'Data - Employee Rights Master'!$C$3:$D$32,2,0)</f>
        <v>AM</v>
      </c>
      <c r="T233" s="30" t="str">
        <f>VLOOKUP(N233,'Data - Employee Rights Master'!$C$3:$D$32,2,0)</f>
        <v>DM</v>
      </c>
      <c r="U233" s="41" t="str">
        <f t="shared" si="17"/>
        <v>PASS</v>
      </c>
      <c r="V233" s="41" t="str">
        <f t="shared" si="18"/>
        <v>NA</v>
      </c>
      <c r="W233" s="30" t="str">
        <f t="shared" si="19"/>
        <v>2021</v>
      </c>
      <c r="X233" s="30" t="str">
        <f>VLOOKUP(MONTH(G233),Key!$F$3:$G$14,2,0)</f>
        <v>Feb</v>
      </c>
      <c r="Y233" s="30" t="str">
        <f>IFERROR(IF(MATCH(F233,'Test 6'!C$5:C$9,0)&gt;0,"RP"),"NON-RP")</f>
        <v>NON-RP</v>
      </c>
    </row>
    <row r="234" spans="2:25" x14ac:dyDescent="0.5">
      <c r="B234" s="30">
        <v>230</v>
      </c>
      <c r="C234" s="30" t="s">
        <v>552</v>
      </c>
      <c r="D234" s="31">
        <v>2021230</v>
      </c>
      <c r="E234" s="30" t="s">
        <v>553</v>
      </c>
      <c r="F234" s="53" t="s">
        <v>293</v>
      </c>
      <c r="G234" s="32">
        <v>44239</v>
      </c>
      <c r="H234" s="33">
        <v>0.56936444808695252</v>
      </c>
      <c r="I234" s="30" t="s">
        <v>535</v>
      </c>
      <c r="J234" s="34">
        <v>6899270</v>
      </c>
      <c r="K234" s="35" t="s">
        <v>17</v>
      </c>
      <c r="L234" s="36">
        <v>1241868.5999999999</v>
      </c>
      <c r="M234" s="30" t="s">
        <v>41</v>
      </c>
      <c r="N234" s="30" t="s">
        <v>42</v>
      </c>
      <c r="O234" s="30" t="s">
        <v>1575</v>
      </c>
      <c r="P234" s="30" t="s">
        <v>1582</v>
      </c>
      <c r="Q234" s="30" t="str">
        <f t="shared" si="15"/>
        <v>CM</v>
      </c>
      <c r="R234" s="30" t="str">
        <f t="shared" si="16"/>
        <v>CFO</v>
      </c>
      <c r="S234" s="30" t="str">
        <f>VLOOKUP(M234,'Data - Employee Rights Master'!$C$3:$D$32,2,0)</f>
        <v>CM</v>
      </c>
      <c r="T234" s="30" t="str">
        <f>VLOOKUP(N234,'Data - Employee Rights Master'!$C$3:$D$32,2,0)</f>
        <v>CFO</v>
      </c>
      <c r="U234" s="41" t="str">
        <f t="shared" si="17"/>
        <v>PASS</v>
      </c>
      <c r="V234" s="41" t="str">
        <f t="shared" si="18"/>
        <v>PASS</v>
      </c>
      <c r="W234" s="30" t="str">
        <f t="shared" si="19"/>
        <v>2021</v>
      </c>
      <c r="X234" s="30" t="str">
        <f>VLOOKUP(MONTH(G234),Key!$F$3:$G$14,2,0)</f>
        <v>Feb</v>
      </c>
      <c r="Y234" s="30" t="str">
        <f>IFERROR(IF(MATCH(F234,'Test 6'!C$5:C$9,0)&gt;0,"RP"),"NON-RP")</f>
        <v>NON-RP</v>
      </c>
    </row>
    <row r="235" spans="2:25" x14ac:dyDescent="0.5">
      <c r="B235" s="30">
        <v>231</v>
      </c>
      <c r="C235" s="30" t="s">
        <v>554</v>
      </c>
      <c r="D235" s="31">
        <v>2021231</v>
      </c>
      <c r="E235" s="30" t="s">
        <v>555</v>
      </c>
      <c r="F235" s="53" t="s">
        <v>143</v>
      </c>
      <c r="G235" s="32">
        <v>44240</v>
      </c>
      <c r="H235" s="33">
        <v>0.65763525439433601</v>
      </c>
      <c r="I235" s="30" t="s">
        <v>535</v>
      </c>
      <c r="J235" s="34">
        <v>417340</v>
      </c>
      <c r="K235" s="35" t="s">
        <v>17</v>
      </c>
      <c r="L235" s="36">
        <v>75121.2</v>
      </c>
      <c r="M235" s="30" t="s">
        <v>18</v>
      </c>
      <c r="N235" s="30" t="s">
        <v>24</v>
      </c>
      <c r="O235" s="30" t="s">
        <v>1542</v>
      </c>
      <c r="P235" s="30" t="s">
        <v>1542</v>
      </c>
      <c r="Q235" s="30" t="str">
        <f t="shared" si="15"/>
        <v>AM</v>
      </c>
      <c r="R235" s="30" t="str">
        <f t="shared" si="16"/>
        <v>DM</v>
      </c>
      <c r="S235" s="30" t="str">
        <f>VLOOKUP(M235,'Data - Employee Rights Master'!$C$3:$D$32,2,0)</f>
        <v>AM</v>
      </c>
      <c r="T235" s="30" t="str">
        <f>VLOOKUP(N235,'Data - Employee Rights Master'!$C$3:$D$32,2,0)</f>
        <v>DM</v>
      </c>
      <c r="U235" s="41" t="str">
        <f t="shared" si="17"/>
        <v>PASS</v>
      </c>
      <c r="V235" s="41" t="str">
        <f t="shared" si="18"/>
        <v>NA</v>
      </c>
      <c r="W235" s="30" t="str">
        <f t="shared" si="19"/>
        <v>2021</v>
      </c>
      <c r="X235" s="30" t="str">
        <f>VLOOKUP(MONTH(G235),Key!$F$3:$G$14,2,0)</f>
        <v>Feb</v>
      </c>
      <c r="Y235" s="30" t="str">
        <f>IFERROR(IF(MATCH(F235,'Test 6'!C$5:C$9,0)&gt;0,"RP"),"NON-RP")</f>
        <v>NON-RP</v>
      </c>
    </row>
    <row r="236" spans="2:25" x14ac:dyDescent="0.5">
      <c r="B236" s="30">
        <v>232</v>
      </c>
      <c r="C236" s="30" t="s">
        <v>556</v>
      </c>
      <c r="D236" s="31">
        <v>2021232</v>
      </c>
      <c r="E236" s="30" t="s">
        <v>557</v>
      </c>
      <c r="F236" s="53" t="s">
        <v>190</v>
      </c>
      <c r="G236" s="32">
        <v>44242</v>
      </c>
      <c r="H236" s="33">
        <v>0.64103911585861872</v>
      </c>
      <c r="I236" s="30" t="s">
        <v>535</v>
      </c>
      <c r="J236" s="34">
        <v>214490</v>
      </c>
      <c r="K236" s="35" t="s">
        <v>17</v>
      </c>
      <c r="L236" s="36">
        <v>38608.199999999997</v>
      </c>
      <c r="M236" s="30" t="s">
        <v>61</v>
      </c>
      <c r="N236" s="30" t="s">
        <v>51</v>
      </c>
      <c r="O236" s="30" t="s">
        <v>1542</v>
      </c>
      <c r="P236" s="30" t="s">
        <v>1542</v>
      </c>
      <c r="Q236" s="30" t="str">
        <f t="shared" si="15"/>
        <v>AM</v>
      </c>
      <c r="R236" s="30" t="str">
        <f t="shared" si="16"/>
        <v>DM</v>
      </c>
      <c r="S236" s="30" t="str">
        <f>VLOOKUP(M236,'Data - Employee Rights Master'!$C$3:$D$32,2,0)</f>
        <v>AM</v>
      </c>
      <c r="T236" s="30" t="str">
        <f>VLOOKUP(N236,'Data - Employee Rights Master'!$C$3:$D$32,2,0)</f>
        <v>DM</v>
      </c>
      <c r="U236" s="41" t="str">
        <f t="shared" si="17"/>
        <v>PASS</v>
      </c>
      <c r="V236" s="41" t="str">
        <f t="shared" si="18"/>
        <v>NA</v>
      </c>
      <c r="W236" s="30" t="str">
        <f t="shared" si="19"/>
        <v>2021</v>
      </c>
      <c r="X236" s="30" t="str">
        <f>VLOOKUP(MONTH(G236),Key!$F$3:$G$14,2,0)</f>
        <v>Feb</v>
      </c>
      <c r="Y236" s="30" t="str">
        <f>IFERROR(IF(MATCH(F236,'Test 6'!C$5:C$9,0)&gt;0,"RP"),"NON-RP")</f>
        <v>NON-RP</v>
      </c>
    </row>
    <row r="237" spans="2:25" x14ac:dyDescent="0.5">
      <c r="B237" s="30">
        <v>233</v>
      </c>
      <c r="C237" s="30" t="s">
        <v>558</v>
      </c>
      <c r="D237" s="31">
        <v>2021233</v>
      </c>
      <c r="E237" s="30" t="s">
        <v>559</v>
      </c>
      <c r="F237" s="53" t="s">
        <v>67</v>
      </c>
      <c r="G237" s="32">
        <v>44242</v>
      </c>
      <c r="H237" s="33">
        <v>0.58447943357107202</v>
      </c>
      <c r="I237" s="30" t="s">
        <v>502</v>
      </c>
      <c r="J237" s="34">
        <v>395980</v>
      </c>
      <c r="K237" s="35" t="s">
        <v>17</v>
      </c>
      <c r="L237" s="36">
        <v>71276.399999999994</v>
      </c>
      <c r="M237" s="30" t="s">
        <v>28</v>
      </c>
      <c r="N237" s="30" t="s">
        <v>51</v>
      </c>
      <c r="O237" s="30" t="s">
        <v>1542</v>
      </c>
      <c r="P237" s="30" t="s">
        <v>1542</v>
      </c>
      <c r="Q237" s="30" t="str">
        <f t="shared" si="15"/>
        <v>AM</v>
      </c>
      <c r="R237" s="30" t="str">
        <f t="shared" si="16"/>
        <v>DM</v>
      </c>
      <c r="S237" s="30" t="str">
        <f>VLOOKUP(M237,'Data - Employee Rights Master'!$C$3:$D$32,2,0)</f>
        <v>AM</v>
      </c>
      <c r="T237" s="30" t="str">
        <f>VLOOKUP(N237,'Data - Employee Rights Master'!$C$3:$D$32,2,0)</f>
        <v>DM</v>
      </c>
      <c r="U237" s="41" t="str">
        <f t="shared" si="17"/>
        <v>PASS</v>
      </c>
      <c r="V237" s="41" t="str">
        <f t="shared" si="18"/>
        <v>NA</v>
      </c>
      <c r="W237" s="30" t="str">
        <f t="shared" si="19"/>
        <v>2021</v>
      </c>
      <c r="X237" s="30" t="str">
        <f>VLOOKUP(MONTH(G237),Key!$F$3:$G$14,2,0)</f>
        <v>Feb</v>
      </c>
      <c r="Y237" s="30" t="str">
        <f>IFERROR(IF(MATCH(F237,'Test 6'!C$5:C$9,0)&gt;0,"RP"),"NON-RP")</f>
        <v>NON-RP</v>
      </c>
    </row>
    <row r="238" spans="2:25" x14ac:dyDescent="0.5">
      <c r="B238" s="30">
        <v>234</v>
      </c>
      <c r="C238" s="30" t="s">
        <v>560</v>
      </c>
      <c r="D238" s="31">
        <v>2021234</v>
      </c>
      <c r="E238" s="30" t="s">
        <v>561</v>
      </c>
      <c r="F238" s="53" t="s">
        <v>153</v>
      </c>
      <c r="G238" s="32">
        <v>44245</v>
      </c>
      <c r="H238" s="33">
        <v>0.68926048374803017</v>
      </c>
      <c r="I238" s="30" t="s">
        <v>535</v>
      </c>
      <c r="J238" s="34">
        <v>278800</v>
      </c>
      <c r="K238" s="35" t="s">
        <v>17</v>
      </c>
      <c r="L238" s="36">
        <v>50184</v>
      </c>
      <c r="M238" s="30" t="s">
        <v>61</v>
      </c>
      <c r="N238" s="30" t="s">
        <v>24</v>
      </c>
      <c r="O238" s="30" t="s">
        <v>1542</v>
      </c>
      <c r="P238" s="30" t="s">
        <v>1542</v>
      </c>
      <c r="Q238" s="30" t="str">
        <f t="shared" si="15"/>
        <v>AM</v>
      </c>
      <c r="R238" s="30" t="str">
        <f t="shared" si="16"/>
        <v>DM</v>
      </c>
      <c r="S238" s="30" t="str">
        <f>VLOOKUP(M238,'Data - Employee Rights Master'!$C$3:$D$32,2,0)</f>
        <v>AM</v>
      </c>
      <c r="T238" s="30" t="str">
        <f>VLOOKUP(N238,'Data - Employee Rights Master'!$C$3:$D$32,2,0)</f>
        <v>DM</v>
      </c>
      <c r="U238" s="41" t="str">
        <f t="shared" si="17"/>
        <v>PASS</v>
      </c>
      <c r="V238" s="41" t="str">
        <f t="shared" si="18"/>
        <v>NA</v>
      </c>
      <c r="W238" s="30" t="str">
        <f t="shared" si="19"/>
        <v>2021</v>
      </c>
      <c r="X238" s="30" t="str">
        <f>VLOOKUP(MONTH(G238),Key!$F$3:$G$14,2,0)</f>
        <v>Feb</v>
      </c>
      <c r="Y238" s="30" t="str">
        <f>IFERROR(IF(MATCH(F238,'Test 6'!C$5:C$9,0)&gt;0,"RP"),"NON-RP")</f>
        <v>NON-RP</v>
      </c>
    </row>
    <row r="239" spans="2:25" x14ac:dyDescent="0.5">
      <c r="B239" s="30">
        <v>235</v>
      </c>
      <c r="C239" s="30" t="s">
        <v>562</v>
      </c>
      <c r="D239" s="31">
        <v>2021235</v>
      </c>
      <c r="E239" s="30" t="s">
        <v>563</v>
      </c>
      <c r="F239" s="53" t="s">
        <v>57</v>
      </c>
      <c r="G239" s="32">
        <v>44247</v>
      </c>
      <c r="H239" s="33">
        <v>0.55442766859178894</v>
      </c>
      <c r="I239" s="30" t="s">
        <v>535</v>
      </c>
      <c r="J239" s="34">
        <v>431320</v>
      </c>
      <c r="K239" s="35" t="s">
        <v>17</v>
      </c>
      <c r="L239" s="36">
        <v>77637.599999999991</v>
      </c>
      <c r="M239" s="30" t="s">
        <v>32</v>
      </c>
      <c r="N239" s="30" t="s">
        <v>51</v>
      </c>
      <c r="O239" s="30" t="s">
        <v>1542</v>
      </c>
      <c r="P239" s="30" t="s">
        <v>1542</v>
      </c>
      <c r="Q239" s="30" t="str">
        <f t="shared" si="15"/>
        <v>AM</v>
      </c>
      <c r="R239" s="30" t="str">
        <f t="shared" si="16"/>
        <v>DM</v>
      </c>
      <c r="S239" s="30" t="str">
        <f>VLOOKUP(M239,'Data - Employee Rights Master'!$C$3:$D$32,2,0)</f>
        <v>AM</v>
      </c>
      <c r="T239" s="30" t="str">
        <f>VLOOKUP(N239,'Data - Employee Rights Master'!$C$3:$D$32,2,0)</f>
        <v>DM</v>
      </c>
      <c r="U239" s="41" t="str">
        <f t="shared" si="17"/>
        <v>PASS</v>
      </c>
      <c r="V239" s="41" t="str">
        <f t="shared" si="18"/>
        <v>NA</v>
      </c>
      <c r="W239" s="30" t="str">
        <f t="shared" si="19"/>
        <v>2021</v>
      </c>
      <c r="X239" s="30" t="str">
        <f>VLOOKUP(MONTH(G239),Key!$F$3:$G$14,2,0)</f>
        <v>Feb</v>
      </c>
      <c r="Y239" s="30" t="str">
        <f>IFERROR(IF(MATCH(F239,'Test 6'!C$5:C$9,0)&gt;0,"RP"),"NON-RP")</f>
        <v>NON-RP</v>
      </c>
    </row>
    <row r="240" spans="2:25" x14ac:dyDescent="0.5">
      <c r="B240" s="30">
        <v>236</v>
      </c>
      <c r="C240" s="30" t="s">
        <v>564</v>
      </c>
      <c r="D240" s="31">
        <v>2021236</v>
      </c>
      <c r="E240" s="30" t="s">
        <v>565</v>
      </c>
      <c r="F240" s="53" t="s">
        <v>95</v>
      </c>
      <c r="G240" s="32">
        <v>44250</v>
      </c>
      <c r="H240" s="33">
        <v>0.52145476715205274</v>
      </c>
      <c r="I240" s="30" t="s">
        <v>535</v>
      </c>
      <c r="J240" s="34">
        <v>216430</v>
      </c>
      <c r="K240" s="35" t="s">
        <v>17</v>
      </c>
      <c r="L240" s="36">
        <v>38957.4</v>
      </c>
      <c r="M240" s="30" t="s">
        <v>37</v>
      </c>
      <c r="N240" s="30" t="s">
        <v>19</v>
      </c>
      <c r="O240" s="30" t="s">
        <v>1542</v>
      </c>
      <c r="P240" s="30" t="s">
        <v>1542</v>
      </c>
      <c r="Q240" s="30" t="str">
        <f t="shared" si="15"/>
        <v>AM</v>
      </c>
      <c r="R240" s="30" t="str">
        <f t="shared" si="16"/>
        <v>DM</v>
      </c>
      <c r="S240" s="30" t="str">
        <f>VLOOKUP(M240,'Data - Employee Rights Master'!$C$3:$D$32,2,0)</f>
        <v>AM</v>
      </c>
      <c r="T240" s="30" t="str">
        <f>VLOOKUP(N240,'Data - Employee Rights Master'!$C$3:$D$32,2,0)</f>
        <v>DM</v>
      </c>
      <c r="U240" s="41" t="str">
        <f t="shared" si="17"/>
        <v>PASS</v>
      </c>
      <c r="V240" s="41" t="str">
        <f t="shared" si="18"/>
        <v>NA</v>
      </c>
      <c r="W240" s="30" t="str">
        <f t="shared" si="19"/>
        <v>2021</v>
      </c>
      <c r="X240" s="30" t="str">
        <f>VLOOKUP(MONTH(G240),Key!$F$3:$G$14,2,0)</f>
        <v>Feb</v>
      </c>
      <c r="Y240" s="30" t="str">
        <f>IFERROR(IF(MATCH(F240,'Test 6'!C$5:C$9,0)&gt;0,"RP"),"NON-RP")</f>
        <v>NON-RP</v>
      </c>
    </row>
    <row r="241" spans="2:25" x14ac:dyDescent="0.5">
      <c r="B241" s="30">
        <v>237</v>
      </c>
      <c r="C241" s="30" t="s">
        <v>566</v>
      </c>
      <c r="D241" s="31">
        <v>2021237</v>
      </c>
      <c r="E241" s="30" t="s">
        <v>567</v>
      </c>
      <c r="F241" s="53" t="s">
        <v>184</v>
      </c>
      <c r="G241" s="32">
        <v>44251</v>
      </c>
      <c r="H241" s="33">
        <v>0.66366029487213551</v>
      </c>
      <c r="I241" s="30" t="s">
        <v>535</v>
      </c>
      <c r="J241" s="34">
        <v>201920</v>
      </c>
      <c r="K241" s="35" t="s">
        <v>17</v>
      </c>
      <c r="L241" s="36">
        <v>36345.599999999999</v>
      </c>
      <c r="M241" s="30" t="s">
        <v>18</v>
      </c>
      <c r="N241" s="30" t="s">
        <v>24</v>
      </c>
      <c r="O241" s="30" t="s">
        <v>1542</v>
      </c>
      <c r="P241" s="30" t="s">
        <v>1542</v>
      </c>
      <c r="Q241" s="30" t="str">
        <f t="shared" si="15"/>
        <v>AM</v>
      </c>
      <c r="R241" s="30" t="str">
        <f t="shared" si="16"/>
        <v>DM</v>
      </c>
      <c r="S241" s="30" t="str">
        <f>VLOOKUP(M241,'Data - Employee Rights Master'!$C$3:$D$32,2,0)</f>
        <v>AM</v>
      </c>
      <c r="T241" s="30" t="str">
        <f>VLOOKUP(N241,'Data - Employee Rights Master'!$C$3:$D$32,2,0)</f>
        <v>DM</v>
      </c>
      <c r="U241" s="41" t="str">
        <f t="shared" si="17"/>
        <v>PASS</v>
      </c>
      <c r="V241" s="41" t="str">
        <f t="shared" si="18"/>
        <v>NA</v>
      </c>
      <c r="W241" s="30" t="str">
        <f t="shared" si="19"/>
        <v>2021</v>
      </c>
      <c r="X241" s="30" t="str">
        <f>VLOOKUP(MONTH(G241),Key!$F$3:$G$14,2,0)</f>
        <v>Feb</v>
      </c>
      <c r="Y241" s="30" t="str">
        <f>IFERROR(IF(MATCH(F241,'Test 6'!C$5:C$9,0)&gt;0,"RP"),"NON-RP")</f>
        <v>NON-RP</v>
      </c>
    </row>
    <row r="242" spans="2:25" x14ac:dyDescent="0.5">
      <c r="B242" s="30">
        <v>238</v>
      </c>
      <c r="C242" s="30" t="s">
        <v>568</v>
      </c>
      <c r="D242" s="31">
        <v>2021238</v>
      </c>
      <c r="E242" s="30" t="s">
        <v>569</v>
      </c>
      <c r="F242" s="53" t="s">
        <v>57</v>
      </c>
      <c r="G242" s="32">
        <v>44251</v>
      </c>
      <c r="H242" s="33">
        <v>0.48530030476134517</v>
      </c>
      <c r="I242" s="30" t="s">
        <v>535</v>
      </c>
      <c r="J242" s="34">
        <v>383620</v>
      </c>
      <c r="K242" s="35" t="s">
        <v>17</v>
      </c>
      <c r="L242" s="36">
        <v>69051.599999999991</v>
      </c>
      <c r="M242" s="30" t="s">
        <v>28</v>
      </c>
      <c r="N242" s="30" t="s">
        <v>51</v>
      </c>
      <c r="O242" s="30" t="s">
        <v>1542</v>
      </c>
      <c r="P242" s="30" t="s">
        <v>1542</v>
      </c>
      <c r="Q242" s="30" t="str">
        <f t="shared" si="15"/>
        <v>AM</v>
      </c>
      <c r="R242" s="30" t="str">
        <f t="shared" si="16"/>
        <v>DM</v>
      </c>
      <c r="S242" s="30" t="str">
        <f>VLOOKUP(M242,'Data - Employee Rights Master'!$C$3:$D$32,2,0)</f>
        <v>AM</v>
      </c>
      <c r="T242" s="30" t="str">
        <f>VLOOKUP(N242,'Data - Employee Rights Master'!$C$3:$D$32,2,0)</f>
        <v>DM</v>
      </c>
      <c r="U242" s="41" t="str">
        <f t="shared" si="17"/>
        <v>PASS</v>
      </c>
      <c r="V242" s="41" t="str">
        <f t="shared" si="18"/>
        <v>NA</v>
      </c>
      <c r="W242" s="30" t="str">
        <f t="shared" si="19"/>
        <v>2021</v>
      </c>
      <c r="X242" s="30" t="str">
        <f>VLOOKUP(MONTH(G242),Key!$F$3:$G$14,2,0)</f>
        <v>Feb</v>
      </c>
      <c r="Y242" s="30" t="str">
        <f>IFERROR(IF(MATCH(F242,'Test 6'!C$5:C$9,0)&gt;0,"RP"),"NON-RP")</f>
        <v>NON-RP</v>
      </c>
    </row>
    <row r="243" spans="2:25" x14ac:dyDescent="0.5">
      <c r="B243" s="30">
        <v>239</v>
      </c>
      <c r="C243" s="30" t="s">
        <v>570</v>
      </c>
      <c r="D243" s="31">
        <v>2021239</v>
      </c>
      <c r="E243" s="30" t="s">
        <v>571</v>
      </c>
      <c r="F243" s="53" t="s">
        <v>72</v>
      </c>
      <c r="G243" s="32">
        <v>44254</v>
      </c>
      <c r="H243" s="33">
        <v>0.70542442816670192</v>
      </c>
      <c r="I243" s="30" t="s">
        <v>502</v>
      </c>
      <c r="J243" s="34">
        <v>495540</v>
      </c>
      <c r="K243" s="35" t="s">
        <v>17</v>
      </c>
      <c r="L243" s="36">
        <v>89197.2</v>
      </c>
      <c r="M243" s="30" t="s">
        <v>37</v>
      </c>
      <c r="N243" s="30" t="s">
        <v>68</v>
      </c>
      <c r="O243" s="30" t="s">
        <v>1542</v>
      </c>
      <c r="P243" s="30" t="s">
        <v>1542</v>
      </c>
      <c r="Q243" s="30" t="str">
        <f t="shared" si="15"/>
        <v>AM</v>
      </c>
      <c r="R243" s="30" t="str">
        <f t="shared" si="16"/>
        <v>DM</v>
      </c>
      <c r="S243" s="30" t="str">
        <f>VLOOKUP(M243,'Data - Employee Rights Master'!$C$3:$D$32,2,0)</f>
        <v>AM</v>
      </c>
      <c r="T243" s="30" t="str">
        <f>VLOOKUP(N243,'Data - Employee Rights Master'!$C$3:$D$32,2,0)</f>
        <v>DM</v>
      </c>
      <c r="U243" s="41" t="str">
        <f t="shared" si="17"/>
        <v>PASS</v>
      </c>
      <c r="V243" s="41" t="str">
        <f t="shared" si="18"/>
        <v>NA</v>
      </c>
      <c r="W243" s="30" t="str">
        <f t="shared" si="19"/>
        <v>2021</v>
      </c>
      <c r="X243" s="30" t="str">
        <f>VLOOKUP(MONTH(G243),Key!$F$3:$G$14,2,0)</f>
        <v>Feb</v>
      </c>
      <c r="Y243" s="30" t="str">
        <f>IFERROR(IF(MATCH(F243,'Test 6'!C$5:C$9,0)&gt;0,"RP"),"NON-RP")</f>
        <v>NON-RP</v>
      </c>
    </row>
    <row r="244" spans="2:25" x14ac:dyDescent="0.5">
      <c r="B244" s="30">
        <v>240</v>
      </c>
      <c r="C244" s="30" t="s">
        <v>572</v>
      </c>
      <c r="D244" s="31">
        <v>2021240</v>
      </c>
      <c r="E244" s="30" t="s">
        <v>573</v>
      </c>
      <c r="F244" s="53" t="s">
        <v>64</v>
      </c>
      <c r="G244" s="32">
        <v>44256</v>
      </c>
      <c r="H244" s="33">
        <v>0.66756103532082212</v>
      </c>
      <c r="I244" s="30" t="s">
        <v>574</v>
      </c>
      <c r="J244" s="34">
        <v>285080</v>
      </c>
      <c r="K244" s="35" t="s">
        <v>17</v>
      </c>
      <c r="L244" s="36">
        <v>51314.400000000001</v>
      </c>
      <c r="M244" s="30" t="s">
        <v>32</v>
      </c>
      <c r="N244" s="30" t="s">
        <v>24</v>
      </c>
      <c r="O244" s="30" t="s">
        <v>1542</v>
      </c>
      <c r="P244" s="30" t="s">
        <v>1542</v>
      </c>
      <c r="Q244" s="30" t="str">
        <f t="shared" si="15"/>
        <v>AM</v>
      </c>
      <c r="R244" s="30" t="str">
        <f t="shared" si="16"/>
        <v>DM</v>
      </c>
      <c r="S244" s="30" t="str">
        <f>VLOOKUP(M244,'Data - Employee Rights Master'!$C$3:$D$32,2,0)</f>
        <v>AM</v>
      </c>
      <c r="T244" s="30" t="str">
        <f>VLOOKUP(N244,'Data - Employee Rights Master'!$C$3:$D$32,2,0)</f>
        <v>DM</v>
      </c>
      <c r="U244" s="41" t="str">
        <f t="shared" si="17"/>
        <v>PASS</v>
      </c>
      <c r="V244" s="41" t="str">
        <f t="shared" si="18"/>
        <v>NA</v>
      </c>
      <c r="W244" s="30" t="str">
        <f t="shared" si="19"/>
        <v>2021</v>
      </c>
      <c r="X244" s="30" t="str">
        <f>VLOOKUP(MONTH(G244),Key!$F$3:$G$14,2,0)</f>
        <v>Mar</v>
      </c>
      <c r="Y244" s="30" t="str">
        <f>IFERROR(IF(MATCH(F244,'Test 6'!C$5:C$9,0)&gt;0,"RP"),"NON-RP")</f>
        <v>NON-RP</v>
      </c>
    </row>
    <row r="245" spans="2:25" x14ac:dyDescent="0.5">
      <c r="B245" s="30">
        <v>241</v>
      </c>
      <c r="C245" s="30" t="s">
        <v>575</v>
      </c>
      <c r="D245" s="31">
        <v>2021241</v>
      </c>
      <c r="E245" s="30" t="s">
        <v>576</v>
      </c>
      <c r="F245" s="53" t="s">
        <v>577</v>
      </c>
      <c r="G245" s="32">
        <v>44256</v>
      </c>
      <c r="H245" s="33">
        <v>0.59026401510312965</v>
      </c>
      <c r="I245" s="30" t="s">
        <v>574</v>
      </c>
      <c r="J245" s="34">
        <v>441790</v>
      </c>
      <c r="K245" s="35" t="s">
        <v>17</v>
      </c>
      <c r="L245" s="36">
        <v>79522.2</v>
      </c>
      <c r="M245" s="30" t="s">
        <v>28</v>
      </c>
      <c r="N245" s="30" t="s">
        <v>68</v>
      </c>
      <c r="O245" s="30" t="s">
        <v>1542</v>
      </c>
      <c r="P245" s="30" t="s">
        <v>1542</v>
      </c>
      <c r="Q245" s="30" t="str">
        <f t="shared" si="15"/>
        <v>AM</v>
      </c>
      <c r="R245" s="30" t="str">
        <f t="shared" si="16"/>
        <v>DM</v>
      </c>
      <c r="S245" s="30" t="str">
        <f>VLOOKUP(M245,'Data - Employee Rights Master'!$C$3:$D$32,2,0)</f>
        <v>AM</v>
      </c>
      <c r="T245" s="30" t="str">
        <f>VLOOKUP(N245,'Data - Employee Rights Master'!$C$3:$D$32,2,0)</f>
        <v>DM</v>
      </c>
      <c r="U245" s="41" t="str">
        <f t="shared" si="17"/>
        <v>PASS</v>
      </c>
      <c r="V245" s="41" t="str">
        <f t="shared" si="18"/>
        <v>NA</v>
      </c>
      <c r="W245" s="30" t="str">
        <f t="shared" si="19"/>
        <v>2021</v>
      </c>
      <c r="X245" s="30" t="str">
        <f>VLOOKUP(MONTH(G245),Key!$F$3:$G$14,2,0)</f>
        <v>Mar</v>
      </c>
      <c r="Y245" s="30" t="str">
        <f>IFERROR(IF(MATCH(F245,'Test 6'!C$5:C$9,0)&gt;0,"RP"),"NON-RP")</f>
        <v>RP</v>
      </c>
    </row>
    <row r="246" spans="2:25" x14ac:dyDescent="0.5">
      <c r="B246" s="30">
        <v>242</v>
      </c>
      <c r="C246" s="30" t="s">
        <v>578</v>
      </c>
      <c r="D246" s="31">
        <v>2021242</v>
      </c>
      <c r="E246" s="30" t="s">
        <v>579</v>
      </c>
      <c r="F246" s="53" t="s">
        <v>35</v>
      </c>
      <c r="G246" s="32">
        <v>44257</v>
      </c>
      <c r="H246" s="33">
        <v>0.50059930668011288</v>
      </c>
      <c r="I246" s="30" t="s">
        <v>574</v>
      </c>
      <c r="J246" s="34">
        <v>339640</v>
      </c>
      <c r="K246" s="35" t="s">
        <v>17</v>
      </c>
      <c r="L246" s="36">
        <v>61135.199999999997</v>
      </c>
      <c r="M246" s="30" t="s">
        <v>18</v>
      </c>
      <c r="N246" s="30" t="s">
        <v>24</v>
      </c>
      <c r="O246" s="30" t="s">
        <v>1542</v>
      </c>
      <c r="P246" s="30" t="s">
        <v>1542</v>
      </c>
      <c r="Q246" s="30" t="str">
        <f t="shared" si="15"/>
        <v>AM</v>
      </c>
      <c r="R246" s="30" t="str">
        <f t="shared" si="16"/>
        <v>DM</v>
      </c>
      <c r="S246" s="30" t="str">
        <f>VLOOKUP(M246,'Data - Employee Rights Master'!$C$3:$D$32,2,0)</f>
        <v>AM</v>
      </c>
      <c r="T246" s="30" t="str">
        <f>VLOOKUP(N246,'Data - Employee Rights Master'!$C$3:$D$32,2,0)</f>
        <v>DM</v>
      </c>
      <c r="U246" s="41" t="str">
        <f t="shared" si="17"/>
        <v>PASS</v>
      </c>
      <c r="V246" s="41" t="str">
        <f t="shared" si="18"/>
        <v>NA</v>
      </c>
      <c r="W246" s="30" t="str">
        <f t="shared" si="19"/>
        <v>2021</v>
      </c>
      <c r="X246" s="30" t="str">
        <f>VLOOKUP(MONTH(G246),Key!$F$3:$G$14,2,0)</f>
        <v>Mar</v>
      </c>
      <c r="Y246" s="30" t="str">
        <f>IFERROR(IF(MATCH(F246,'Test 6'!C$5:C$9,0)&gt;0,"RP"),"NON-RP")</f>
        <v>NON-RP</v>
      </c>
    </row>
    <row r="247" spans="2:25" x14ac:dyDescent="0.5">
      <c r="B247" s="30">
        <v>243</v>
      </c>
      <c r="C247" s="30" t="s">
        <v>580</v>
      </c>
      <c r="D247" s="31">
        <v>2021243</v>
      </c>
      <c r="E247" s="30" t="s">
        <v>581</v>
      </c>
      <c r="F247" s="53" t="s">
        <v>262</v>
      </c>
      <c r="G247" s="32">
        <v>44264</v>
      </c>
      <c r="H247" s="33">
        <v>0.47843728974486294</v>
      </c>
      <c r="I247" s="30" t="s">
        <v>574</v>
      </c>
      <c r="J247" s="34">
        <v>494660</v>
      </c>
      <c r="K247" s="35" t="s">
        <v>17</v>
      </c>
      <c r="L247" s="36">
        <v>89038.8</v>
      </c>
      <c r="M247" s="30" t="s">
        <v>37</v>
      </c>
      <c r="N247" s="30" t="s">
        <v>68</v>
      </c>
      <c r="O247" s="30" t="s">
        <v>1542</v>
      </c>
      <c r="P247" s="30" t="s">
        <v>1542</v>
      </c>
      <c r="Q247" s="30" t="str">
        <f t="shared" si="15"/>
        <v>AM</v>
      </c>
      <c r="R247" s="30" t="str">
        <f t="shared" si="16"/>
        <v>DM</v>
      </c>
      <c r="S247" s="30" t="str">
        <f>VLOOKUP(M247,'Data - Employee Rights Master'!$C$3:$D$32,2,0)</f>
        <v>AM</v>
      </c>
      <c r="T247" s="30" t="str">
        <f>VLOOKUP(N247,'Data - Employee Rights Master'!$C$3:$D$32,2,0)</f>
        <v>DM</v>
      </c>
      <c r="U247" s="41" t="str">
        <f t="shared" si="17"/>
        <v>PASS</v>
      </c>
      <c r="V247" s="41" t="str">
        <f t="shared" si="18"/>
        <v>NA</v>
      </c>
      <c r="W247" s="30" t="str">
        <f t="shared" si="19"/>
        <v>2021</v>
      </c>
      <c r="X247" s="30" t="str">
        <f>VLOOKUP(MONTH(G247),Key!$F$3:$G$14,2,0)</f>
        <v>Mar</v>
      </c>
      <c r="Y247" s="30" t="str">
        <f>IFERROR(IF(MATCH(F247,'Test 6'!C$5:C$9,0)&gt;0,"RP"),"NON-RP")</f>
        <v>NON-RP</v>
      </c>
    </row>
    <row r="248" spans="2:25" x14ac:dyDescent="0.5">
      <c r="B248" s="30">
        <v>244</v>
      </c>
      <c r="C248" s="30" t="s">
        <v>582</v>
      </c>
      <c r="D248" s="31">
        <v>2021244</v>
      </c>
      <c r="E248" s="30" t="s">
        <v>583</v>
      </c>
      <c r="F248" s="53" t="s">
        <v>95</v>
      </c>
      <c r="G248" s="32">
        <v>44264</v>
      </c>
      <c r="H248" s="33">
        <v>0.58405750109927468</v>
      </c>
      <c r="I248" s="30" t="s">
        <v>574</v>
      </c>
      <c r="J248" s="34">
        <v>463590</v>
      </c>
      <c r="K248" s="35" t="s">
        <v>17</v>
      </c>
      <c r="L248" s="36">
        <v>83446.2</v>
      </c>
      <c r="M248" s="30" t="s">
        <v>18</v>
      </c>
      <c r="N248" s="30" t="s">
        <v>19</v>
      </c>
      <c r="O248" s="30" t="s">
        <v>1542</v>
      </c>
      <c r="P248" s="30" t="s">
        <v>1542</v>
      </c>
      <c r="Q248" s="30" t="str">
        <f t="shared" si="15"/>
        <v>AM</v>
      </c>
      <c r="R248" s="30" t="str">
        <f t="shared" si="16"/>
        <v>DM</v>
      </c>
      <c r="S248" s="30" t="str">
        <f>VLOOKUP(M248,'Data - Employee Rights Master'!$C$3:$D$32,2,0)</f>
        <v>AM</v>
      </c>
      <c r="T248" s="30" t="str">
        <f>VLOOKUP(N248,'Data - Employee Rights Master'!$C$3:$D$32,2,0)</f>
        <v>DM</v>
      </c>
      <c r="U248" s="41" t="str">
        <f t="shared" si="17"/>
        <v>PASS</v>
      </c>
      <c r="V248" s="41" t="str">
        <f t="shared" si="18"/>
        <v>NA</v>
      </c>
      <c r="W248" s="30" t="str">
        <f t="shared" si="19"/>
        <v>2021</v>
      </c>
      <c r="X248" s="30" t="str">
        <f>VLOOKUP(MONTH(G248),Key!$F$3:$G$14,2,0)</f>
        <v>Mar</v>
      </c>
      <c r="Y248" s="30" t="str">
        <f>IFERROR(IF(MATCH(F248,'Test 6'!C$5:C$9,0)&gt;0,"RP"),"NON-RP")</f>
        <v>NON-RP</v>
      </c>
    </row>
    <row r="249" spans="2:25" x14ac:dyDescent="0.5">
      <c r="B249" s="30">
        <v>245</v>
      </c>
      <c r="C249" s="30" t="s">
        <v>584</v>
      </c>
      <c r="D249" s="31">
        <v>2021245</v>
      </c>
      <c r="E249" s="30" t="s">
        <v>585</v>
      </c>
      <c r="F249" s="53" t="s">
        <v>122</v>
      </c>
      <c r="G249" s="32">
        <v>44265</v>
      </c>
      <c r="H249" s="33">
        <v>0.54707942594790449</v>
      </c>
      <c r="I249" s="30" t="s">
        <v>574</v>
      </c>
      <c r="J249" s="34">
        <v>474470</v>
      </c>
      <c r="K249" s="35" t="s">
        <v>17</v>
      </c>
      <c r="L249" s="36">
        <v>85404.599999999991</v>
      </c>
      <c r="M249" s="30" t="s">
        <v>46</v>
      </c>
      <c r="N249" s="30" t="s">
        <v>51</v>
      </c>
      <c r="O249" s="30" t="s">
        <v>1542</v>
      </c>
      <c r="P249" s="30" t="s">
        <v>1542</v>
      </c>
      <c r="Q249" s="30" t="str">
        <f t="shared" si="15"/>
        <v>AM</v>
      </c>
      <c r="R249" s="30" t="str">
        <f t="shared" si="16"/>
        <v>DM</v>
      </c>
      <c r="S249" s="30" t="str">
        <f>VLOOKUP(M249,'Data - Employee Rights Master'!$C$3:$D$32,2,0)</f>
        <v>AM</v>
      </c>
      <c r="T249" s="30" t="str">
        <f>VLOOKUP(N249,'Data - Employee Rights Master'!$C$3:$D$32,2,0)</f>
        <v>DM</v>
      </c>
      <c r="U249" s="41" t="str">
        <f t="shared" si="17"/>
        <v>PASS</v>
      </c>
      <c r="V249" s="41" t="str">
        <f t="shared" si="18"/>
        <v>NA</v>
      </c>
      <c r="W249" s="30" t="str">
        <f t="shared" si="19"/>
        <v>2021</v>
      </c>
      <c r="X249" s="30" t="str">
        <f>VLOOKUP(MONTH(G249),Key!$F$3:$G$14,2,0)</f>
        <v>Mar</v>
      </c>
      <c r="Y249" s="30" t="str">
        <f>IFERROR(IF(MATCH(F249,'Test 6'!C$5:C$9,0)&gt;0,"RP"),"NON-RP")</f>
        <v>NON-RP</v>
      </c>
    </row>
    <row r="250" spans="2:25" x14ac:dyDescent="0.5">
      <c r="B250" s="30">
        <v>246</v>
      </c>
      <c r="C250" s="30" t="s">
        <v>586</v>
      </c>
      <c r="D250" s="31">
        <v>2021246</v>
      </c>
      <c r="E250" s="30" t="s">
        <v>587</v>
      </c>
      <c r="F250" s="53" t="s">
        <v>143</v>
      </c>
      <c r="G250" s="32">
        <v>44266</v>
      </c>
      <c r="H250" s="33">
        <v>0.57959665580513198</v>
      </c>
      <c r="I250" s="30" t="s">
        <v>574</v>
      </c>
      <c r="J250" s="34">
        <v>236850</v>
      </c>
      <c r="K250" s="35" t="s">
        <v>17</v>
      </c>
      <c r="L250" s="36">
        <v>42633</v>
      </c>
      <c r="M250" s="30" t="s">
        <v>37</v>
      </c>
      <c r="N250" s="30" t="s">
        <v>47</v>
      </c>
      <c r="O250" s="30" t="s">
        <v>1542</v>
      </c>
      <c r="P250" s="30" t="s">
        <v>1542</v>
      </c>
      <c r="Q250" s="30" t="str">
        <f t="shared" si="15"/>
        <v>AM</v>
      </c>
      <c r="R250" s="30" t="str">
        <f t="shared" si="16"/>
        <v>DM</v>
      </c>
      <c r="S250" s="30" t="str">
        <f>VLOOKUP(M250,'Data - Employee Rights Master'!$C$3:$D$32,2,0)</f>
        <v>AM</v>
      </c>
      <c r="T250" s="30" t="str">
        <f>VLOOKUP(N250,'Data - Employee Rights Master'!$C$3:$D$32,2,0)</f>
        <v>DM</v>
      </c>
      <c r="U250" s="41" t="str">
        <f t="shared" si="17"/>
        <v>PASS</v>
      </c>
      <c r="V250" s="41" t="str">
        <f t="shared" si="18"/>
        <v>NA</v>
      </c>
      <c r="W250" s="30" t="str">
        <f t="shared" si="19"/>
        <v>2021</v>
      </c>
      <c r="X250" s="30" t="str">
        <f>VLOOKUP(MONTH(G250),Key!$F$3:$G$14,2,0)</f>
        <v>Mar</v>
      </c>
      <c r="Y250" s="30" t="str">
        <f>IFERROR(IF(MATCH(F250,'Test 6'!C$5:C$9,0)&gt;0,"RP"),"NON-RP")</f>
        <v>NON-RP</v>
      </c>
    </row>
    <row r="251" spans="2:25" x14ac:dyDescent="0.5">
      <c r="B251" s="30">
        <v>247</v>
      </c>
      <c r="C251" s="30" t="s">
        <v>588</v>
      </c>
      <c r="D251" s="31">
        <v>2021247</v>
      </c>
      <c r="E251" s="30" t="s">
        <v>589</v>
      </c>
      <c r="F251" s="53" t="s">
        <v>67</v>
      </c>
      <c r="G251" s="32">
        <v>44267</v>
      </c>
      <c r="H251" s="33">
        <v>0.52897164899242055</v>
      </c>
      <c r="I251" s="30" t="s">
        <v>574</v>
      </c>
      <c r="J251" s="34">
        <v>37380</v>
      </c>
      <c r="K251" s="35" t="s">
        <v>17</v>
      </c>
      <c r="L251" s="36">
        <v>6728.4</v>
      </c>
      <c r="M251" s="30" t="s">
        <v>78</v>
      </c>
      <c r="N251" s="30" t="s">
        <v>32</v>
      </c>
      <c r="O251" s="30" t="s">
        <v>1542</v>
      </c>
      <c r="P251" s="30" t="s">
        <v>1542</v>
      </c>
      <c r="Q251" s="30" t="str">
        <f t="shared" si="15"/>
        <v>SE</v>
      </c>
      <c r="R251" s="30" t="str">
        <f t="shared" si="16"/>
        <v>AM</v>
      </c>
      <c r="S251" s="30" t="str">
        <f>VLOOKUP(M251,'Data - Employee Rights Master'!$C$3:$D$32,2,0)</f>
        <v>SE</v>
      </c>
      <c r="T251" s="30" t="str">
        <f>VLOOKUP(N251,'Data - Employee Rights Master'!$C$3:$D$32,2,0)</f>
        <v>AM</v>
      </c>
      <c r="U251" s="41" t="str">
        <f t="shared" si="17"/>
        <v>PASS</v>
      </c>
      <c r="V251" s="41" t="str">
        <f t="shared" si="18"/>
        <v>NA</v>
      </c>
      <c r="W251" s="30" t="str">
        <f t="shared" si="19"/>
        <v>2021</v>
      </c>
      <c r="X251" s="30" t="str">
        <f>VLOOKUP(MONTH(G251),Key!$F$3:$G$14,2,0)</f>
        <v>Mar</v>
      </c>
      <c r="Y251" s="30" t="str">
        <f>IFERROR(IF(MATCH(F251,'Test 6'!C$5:C$9,0)&gt;0,"RP"),"NON-RP")</f>
        <v>NON-RP</v>
      </c>
    </row>
    <row r="252" spans="2:25" x14ac:dyDescent="0.5">
      <c r="B252" s="30">
        <v>248</v>
      </c>
      <c r="C252" s="30" t="s">
        <v>590</v>
      </c>
      <c r="D252" s="31">
        <v>2021248</v>
      </c>
      <c r="E252" s="30" t="s">
        <v>591</v>
      </c>
      <c r="F252" s="53" t="s">
        <v>15</v>
      </c>
      <c r="G252" s="32">
        <v>44268</v>
      </c>
      <c r="H252" s="33">
        <v>0.61041701855279473</v>
      </c>
      <c r="I252" s="30" t="s">
        <v>574</v>
      </c>
      <c r="J252" s="34">
        <v>474250</v>
      </c>
      <c r="K252" s="35" t="s">
        <v>17</v>
      </c>
      <c r="L252" s="36">
        <v>85365</v>
      </c>
      <c r="M252" s="30" t="s">
        <v>61</v>
      </c>
      <c r="N252" s="30" t="s">
        <v>47</v>
      </c>
      <c r="O252" s="30" t="s">
        <v>1542</v>
      </c>
      <c r="P252" s="30" t="s">
        <v>1542</v>
      </c>
      <c r="Q252" s="30" t="str">
        <f t="shared" si="15"/>
        <v>AM</v>
      </c>
      <c r="R252" s="30" t="str">
        <f t="shared" si="16"/>
        <v>DM</v>
      </c>
      <c r="S252" s="30" t="str">
        <f>VLOOKUP(M252,'Data - Employee Rights Master'!$C$3:$D$32,2,0)</f>
        <v>AM</v>
      </c>
      <c r="T252" s="30" t="str">
        <f>VLOOKUP(N252,'Data - Employee Rights Master'!$C$3:$D$32,2,0)</f>
        <v>DM</v>
      </c>
      <c r="U252" s="41" t="str">
        <f t="shared" si="17"/>
        <v>PASS</v>
      </c>
      <c r="V252" s="41" t="str">
        <f t="shared" si="18"/>
        <v>NA</v>
      </c>
      <c r="W252" s="30" t="str">
        <f t="shared" si="19"/>
        <v>2021</v>
      </c>
      <c r="X252" s="30" t="str">
        <f>VLOOKUP(MONTH(G252),Key!$F$3:$G$14,2,0)</f>
        <v>Mar</v>
      </c>
      <c r="Y252" s="30" t="str">
        <f>IFERROR(IF(MATCH(F252,'Test 6'!C$5:C$9,0)&gt;0,"RP"),"NON-RP")</f>
        <v>NON-RP</v>
      </c>
    </row>
    <row r="253" spans="2:25" x14ac:dyDescent="0.5">
      <c r="B253" s="30">
        <v>249</v>
      </c>
      <c r="C253" s="30" t="s">
        <v>592</v>
      </c>
      <c r="D253" s="31">
        <v>2021249</v>
      </c>
      <c r="E253" s="30" t="s">
        <v>593</v>
      </c>
      <c r="F253" s="53" t="s">
        <v>45</v>
      </c>
      <c r="G253" s="32">
        <v>44270</v>
      </c>
      <c r="H253" s="33">
        <v>0.55993156446794667</v>
      </c>
      <c r="I253" s="30" t="s">
        <v>574</v>
      </c>
      <c r="J253" s="34">
        <v>322680</v>
      </c>
      <c r="K253" s="35" t="s">
        <v>17</v>
      </c>
      <c r="L253" s="36">
        <v>58082.400000000001</v>
      </c>
      <c r="M253" s="30" t="s">
        <v>23</v>
      </c>
      <c r="N253" s="30" t="s">
        <v>24</v>
      </c>
      <c r="O253" s="30" t="s">
        <v>1542</v>
      </c>
      <c r="P253" s="30" t="s">
        <v>1542</v>
      </c>
      <c r="Q253" s="30" t="str">
        <f t="shared" si="15"/>
        <v>AM</v>
      </c>
      <c r="R253" s="30" t="str">
        <f t="shared" si="16"/>
        <v>DM</v>
      </c>
      <c r="S253" s="30" t="str">
        <f>VLOOKUP(M253,'Data - Employee Rights Master'!$C$3:$D$32,2,0)</f>
        <v>AM</v>
      </c>
      <c r="T253" s="30" t="str">
        <f>VLOOKUP(N253,'Data - Employee Rights Master'!$C$3:$D$32,2,0)</f>
        <v>DM</v>
      </c>
      <c r="U253" s="41" t="str">
        <f t="shared" si="17"/>
        <v>PASS</v>
      </c>
      <c r="V253" s="41" t="str">
        <f t="shared" si="18"/>
        <v>NA</v>
      </c>
      <c r="W253" s="30" t="str">
        <f t="shared" si="19"/>
        <v>2021</v>
      </c>
      <c r="X253" s="30" t="str">
        <f>VLOOKUP(MONTH(G253),Key!$F$3:$G$14,2,0)</f>
        <v>Mar</v>
      </c>
      <c r="Y253" s="30" t="str">
        <f>IFERROR(IF(MATCH(F253,'Test 6'!C$5:C$9,0)&gt;0,"RP"),"NON-RP")</f>
        <v>NON-RP</v>
      </c>
    </row>
    <row r="254" spans="2:25" x14ac:dyDescent="0.5">
      <c r="B254" s="30">
        <v>250</v>
      </c>
      <c r="C254" s="30" t="s">
        <v>594</v>
      </c>
      <c r="D254" s="31">
        <v>2021250</v>
      </c>
      <c r="E254" s="30" t="s">
        <v>595</v>
      </c>
      <c r="F254" s="53" t="s">
        <v>57</v>
      </c>
      <c r="G254" s="32">
        <v>44270</v>
      </c>
      <c r="H254" s="33">
        <v>0.60554892019005679</v>
      </c>
      <c r="I254" s="30" t="s">
        <v>574</v>
      </c>
      <c r="J254" s="34">
        <v>245600</v>
      </c>
      <c r="K254" s="35" t="s">
        <v>17</v>
      </c>
      <c r="L254" s="36">
        <v>44208</v>
      </c>
      <c r="M254" s="30" t="s">
        <v>32</v>
      </c>
      <c r="N254" s="30" t="s">
        <v>68</v>
      </c>
      <c r="O254" s="30" t="s">
        <v>1542</v>
      </c>
      <c r="P254" s="30" t="s">
        <v>1542</v>
      </c>
      <c r="Q254" s="30" t="str">
        <f t="shared" si="15"/>
        <v>AM</v>
      </c>
      <c r="R254" s="30" t="str">
        <f t="shared" si="16"/>
        <v>DM</v>
      </c>
      <c r="S254" s="30" t="str">
        <f>VLOOKUP(M254,'Data - Employee Rights Master'!$C$3:$D$32,2,0)</f>
        <v>AM</v>
      </c>
      <c r="T254" s="30" t="str">
        <f>VLOOKUP(N254,'Data - Employee Rights Master'!$C$3:$D$32,2,0)</f>
        <v>DM</v>
      </c>
      <c r="U254" s="41" t="str">
        <f t="shared" si="17"/>
        <v>PASS</v>
      </c>
      <c r="V254" s="41" t="str">
        <f t="shared" si="18"/>
        <v>NA</v>
      </c>
      <c r="W254" s="30" t="str">
        <f t="shared" si="19"/>
        <v>2021</v>
      </c>
      <c r="X254" s="30" t="str">
        <f>VLOOKUP(MONTH(G254),Key!$F$3:$G$14,2,0)</f>
        <v>Mar</v>
      </c>
      <c r="Y254" s="30" t="str">
        <f>IFERROR(IF(MATCH(F254,'Test 6'!C$5:C$9,0)&gt;0,"RP"),"NON-RP")</f>
        <v>NON-RP</v>
      </c>
    </row>
    <row r="255" spans="2:25" x14ac:dyDescent="0.5">
      <c r="B255" s="30">
        <v>251</v>
      </c>
      <c r="C255" s="30" t="s">
        <v>596</v>
      </c>
      <c r="D255" s="31">
        <v>2021251</v>
      </c>
      <c r="E255" s="30" t="s">
        <v>597</v>
      </c>
      <c r="F255" s="53" t="s">
        <v>122</v>
      </c>
      <c r="G255" s="32">
        <v>44270</v>
      </c>
      <c r="H255" s="33">
        <v>0.69245700111964381</v>
      </c>
      <c r="I255" s="30" t="s">
        <v>574</v>
      </c>
      <c r="J255" s="34">
        <v>276510</v>
      </c>
      <c r="K255" s="35" t="s">
        <v>17</v>
      </c>
      <c r="L255" s="36">
        <v>49771.799999999996</v>
      </c>
      <c r="M255" s="30" t="s">
        <v>61</v>
      </c>
      <c r="N255" s="30" t="s">
        <v>19</v>
      </c>
      <c r="O255" s="30" t="s">
        <v>1542</v>
      </c>
      <c r="P255" s="30" t="s">
        <v>1542</v>
      </c>
      <c r="Q255" s="30" t="str">
        <f t="shared" si="15"/>
        <v>AM</v>
      </c>
      <c r="R255" s="30" t="str">
        <f t="shared" si="16"/>
        <v>DM</v>
      </c>
      <c r="S255" s="30" t="str">
        <f>VLOOKUP(M255,'Data - Employee Rights Master'!$C$3:$D$32,2,0)</f>
        <v>AM</v>
      </c>
      <c r="T255" s="30" t="str">
        <f>VLOOKUP(N255,'Data - Employee Rights Master'!$C$3:$D$32,2,0)</f>
        <v>DM</v>
      </c>
      <c r="U255" s="41" t="str">
        <f t="shared" si="17"/>
        <v>PASS</v>
      </c>
      <c r="V255" s="41" t="str">
        <f t="shared" si="18"/>
        <v>NA</v>
      </c>
      <c r="W255" s="30" t="str">
        <f t="shared" si="19"/>
        <v>2021</v>
      </c>
      <c r="X255" s="30" t="str">
        <f>VLOOKUP(MONTH(G255),Key!$F$3:$G$14,2,0)</f>
        <v>Mar</v>
      </c>
      <c r="Y255" s="30" t="str">
        <f>IFERROR(IF(MATCH(F255,'Test 6'!C$5:C$9,0)&gt;0,"RP"),"NON-RP")</f>
        <v>NON-RP</v>
      </c>
    </row>
    <row r="256" spans="2:25" x14ac:dyDescent="0.5">
      <c r="B256" s="30">
        <v>252</v>
      </c>
      <c r="C256" s="30" t="s">
        <v>598</v>
      </c>
      <c r="D256" s="31">
        <v>2021252</v>
      </c>
      <c r="E256" s="30" t="s">
        <v>599</v>
      </c>
      <c r="F256" s="53" t="s">
        <v>27</v>
      </c>
      <c r="G256" s="32">
        <v>44272</v>
      </c>
      <c r="H256" s="33">
        <v>0.55598279784640825</v>
      </c>
      <c r="I256" s="30" t="s">
        <v>574</v>
      </c>
      <c r="J256" s="34">
        <v>290150</v>
      </c>
      <c r="K256" s="35" t="s">
        <v>17</v>
      </c>
      <c r="L256" s="36">
        <v>52227</v>
      </c>
      <c r="M256" s="30" t="s">
        <v>28</v>
      </c>
      <c r="N256" s="30" t="s">
        <v>51</v>
      </c>
      <c r="O256" s="30" t="s">
        <v>1542</v>
      </c>
      <c r="P256" s="30" t="s">
        <v>1542</v>
      </c>
      <c r="Q256" s="30" t="str">
        <f t="shared" si="15"/>
        <v>AM</v>
      </c>
      <c r="R256" s="30" t="str">
        <f t="shared" si="16"/>
        <v>DM</v>
      </c>
      <c r="S256" s="30" t="str">
        <f>VLOOKUP(M256,'Data - Employee Rights Master'!$C$3:$D$32,2,0)</f>
        <v>AM</v>
      </c>
      <c r="T256" s="30" t="str">
        <f>VLOOKUP(N256,'Data - Employee Rights Master'!$C$3:$D$32,2,0)</f>
        <v>DM</v>
      </c>
      <c r="U256" s="41" t="str">
        <f t="shared" si="17"/>
        <v>PASS</v>
      </c>
      <c r="V256" s="41" t="str">
        <f t="shared" si="18"/>
        <v>NA</v>
      </c>
      <c r="W256" s="30" t="str">
        <f t="shared" si="19"/>
        <v>2021</v>
      </c>
      <c r="X256" s="30" t="str">
        <f>VLOOKUP(MONTH(G256),Key!$F$3:$G$14,2,0)</f>
        <v>Mar</v>
      </c>
      <c r="Y256" s="30" t="str">
        <f>IFERROR(IF(MATCH(F256,'Test 6'!C$5:C$9,0)&gt;0,"RP"),"NON-RP")</f>
        <v>NON-RP</v>
      </c>
    </row>
    <row r="257" spans="2:25" x14ac:dyDescent="0.5">
      <c r="B257" s="30">
        <v>253</v>
      </c>
      <c r="C257" s="30" t="s">
        <v>600</v>
      </c>
      <c r="D257" s="31">
        <v>2021253</v>
      </c>
      <c r="E257" s="30" t="s">
        <v>601</v>
      </c>
      <c r="F257" s="53" t="s">
        <v>84</v>
      </c>
      <c r="G257" s="32">
        <v>44272</v>
      </c>
      <c r="H257" s="33">
        <v>0.60522117639267969</v>
      </c>
      <c r="I257" s="30" t="s">
        <v>574</v>
      </c>
      <c r="J257" s="34">
        <v>215830</v>
      </c>
      <c r="K257" s="35" t="s">
        <v>17</v>
      </c>
      <c r="L257" s="36">
        <v>38849.4</v>
      </c>
      <c r="M257" s="30" t="s">
        <v>23</v>
      </c>
      <c r="N257" s="30" t="s">
        <v>24</v>
      </c>
      <c r="O257" s="30" t="s">
        <v>1542</v>
      </c>
      <c r="P257" s="30" t="s">
        <v>1542</v>
      </c>
      <c r="Q257" s="30" t="str">
        <f t="shared" si="15"/>
        <v>AM</v>
      </c>
      <c r="R257" s="30" t="str">
        <f t="shared" si="16"/>
        <v>DM</v>
      </c>
      <c r="S257" s="30" t="str">
        <f>VLOOKUP(M257,'Data - Employee Rights Master'!$C$3:$D$32,2,0)</f>
        <v>AM</v>
      </c>
      <c r="T257" s="30" t="str">
        <f>VLOOKUP(N257,'Data - Employee Rights Master'!$C$3:$D$32,2,0)</f>
        <v>DM</v>
      </c>
      <c r="U257" s="41" t="str">
        <f t="shared" si="17"/>
        <v>PASS</v>
      </c>
      <c r="V257" s="41" t="str">
        <f t="shared" si="18"/>
        <v>NA</v>
      </c>
      <c r="W257" s="30" t="str">
        <f t="shared" si="19"/>
        <v>2021</v>
      </c>
      <c r="X257" s="30" t="str">
        <f>VLOOKUP(MONTH(G257),Key!$F$3:$G$14,2,0)</f>
        <v>Mar</v>
      </c>
      <c r="Y257" s="30" t="str">
        <f>IFERROR(IF(MATCH(F257,'Test 6'!C$5:C$9,0)&gt;0,"RP"),"NON-RP")</f>
        <v>NON-RP</v>
      </c>
    </row>
    <row r="258" spans="2:25" x14ac:dyDescent="0.5">
      <c r="B258" s="30">
        <v>254</v>
      </c>
      <c r="C258" s="30" t="s">
        <v>602</v>
      </c>
      <c r="D258" s="31">
        <v>2021254</v>
      </c>
      <c r="E258" s="30" t="s">
        <v>603</v>
      </c>
      <c r="F258" s="53" t="s">
        <v>114</v>
      </c>
      <c r="G258" s="32">
        <v>44273</v>
      </c>
      <c r="H258" s="33">
        <v>0.58944765927992415</v>
      </c>
      <c r="I258" s="30" t="s">
        <v>574</v>
      </c>
      <c r="J258" s="34">
        <v>310790</v>
      </c>
      <c r="K258" s="35" t="s">
        <v>17</v>
      </c>
      <c r="L258" s="36">
        <v>55942.2</v>
      </c>
      <c r="M258" s="30" t="s">
        <v>61</v>
      </c>
      <c r="N258" s="30" t="s">
        <v>68</v>
      </c>
      <c r="O258" s="30" t="s">
        <v>1542</v>
      </c>
      <c r="P258" s="30" t="s">
        <v>1542</v>
      </c>
      <c r="Q258" s="30" t="str">
        <f t="shared" si="15"/>
        <v>AM</v>
      </c>
      <c r="R258" s="30" t="str">
        <f t="shared" si="16"/>
        <v>DM</v>
      </c>
      <c r="S258" s="30" t="str">
        <f>VLOOKUP(M258,'Data - Employee Rights Master'!$C$3:$D$32,2,0)</f>
        <v>AM</v>
      </c>
      <c r="T258" s="30" t="str">
        <f>VLOOKUP(N258,'Data - Employee Rights Master'!$C$3:$D$32,2,0)</f>
        <v>DM</v>
      </c>
      <c r="U258" s="41" t="str">
        <f t="shared" si="17"/>
        <v>PASS</v>
      </c>
      <c r="V258" s="41" t="str">
        <f t="shared" si="18"/>
        <v>NA</v>
      </c>
      <c r="W258" s="30" t="str">
        <f t="shared" si="19"/>
        <v>2021</v>
      </c>
      <c r="X258" s="30" t="str">
        <f>VLOOKUP(MONTH(G258),Key!$F$3:$G$14,2,0)</f>
        <v>Mar</v>
      </c>
      <c r="Y258" s="30" t="str">
        <f>IFERROR(IF(MATCH(F258,'Test 6'!C$5:C$9,0)&gt;0,"RP"),"NON-RP")</f>
        <v>NON-RP</v>
      </c>
    </row>
    <row r="259" spans="2:25" x14ac:dyDescent="0.5">
      <c r="B259" s="30">
        <v>255</v>
      </c>
      <c r="C259" s="30" t="s">
        <v>604</v>
      </c>
      <c r="D259" s="31">
        <v>2021255</v>
      </c>
      <c r="E259" s="30" t="s">
        <v>605</v>
      </c>
      <c r="F259" s="53" t="s">
        <v>111</v>
      </c>
      <c r="G259" s="32">
        <v>44278</v>
      </c>
      <c r="H259" s="33">
        <v>0.5626872830556271</v>
      </c>
      <c r="I259" s="30" t="s">
        <v>574</v>
      </c>
      <c r="J259" s="34">
        <v>275200</v>
      </c>
      <c r="K259" s="35" t="s">
        <v>17</v>
      </c>
      <c r="L259" s="36">
        <v>49536</v>
      </c>
      <c r="M259" s="30" t="s">
        <v>37</v>
      </c>
      <c r="N259" s="30" t="s">
        <v>24</v>
      </c>
      <c r="O259" s="30" t="s">
        <v>1542</v>
      </c>
      <c r="P259" s="30" t="s">
        <v>1542</v>
      </c>
      <c r="Q259" s="30" t="str">
        <f t="shared" si="15"/>
        <v>AM</v>
      </c>
      <c r="R259" s="30" t="str">
        <f t="shared" si="16"/>
        <v>DM</v>
      </c>
      <c r="S259" s="30" t="str">
        <f>VLOOKUP(M259,'Data - Employee Rights Master'!$C$3:$D$32,2,0)</f>
        <v>AM</v>
      </c>
      <c r="T259" s="30" t="str">
        <f>VLOOKUP(N259,'Data - Employee Rights Master'!$C$3:$D$32,2,0)</f>
        <v>DM</v>
      </c>
      <c r="U259" s="41" t="str">
        <f t="shared" si="17"/>
        <v>PASS</v>
      </c>
      <c r="V259" s="41" t="str">
        <f t="shared" si="18"/>
        <v>NA</v>
      </c>
      <c r="W259" s="30" t="str">
        <f t="shared" si="19"/>
        <v>2021</v>
      </c>
      <c r="X259" s="30" t="str">
        <f>VLOOKUP(MONTH(G259),Key!$F$3:$G$14,2,0)</f>
        <v>Mar</v>
      </c>
      <c r="Y259" s="30" t="str">
        <f>IFERROR(IF(MATCH(F259,'Test 6'!C$5:C$9,0)&gt;0,"RP"),"NON-RP")</f>
        <v>RP</v>
      </c>
    </row>
    <row r="260" spans="2:25" x14ac:dyDescent="0.5">
      <c r="B260" s="30">
        <v>256</v>
      </c>
      <c r="C260" s="30" t="s">
        <v>606</v>
      </c>
      <c r="D260" s="31">
        <v>2021256</v>
      </c>
      <c r="E260" s="30" t="s">
        <v>607</v>
      </c>
      <c r="F260" s="53" t="s">
        <v>608</v>
      </c>
      <c r="G260" s="32">
        <v>44279</v>
      </c>
      <c r="H260" s="33">
        <v>0.60143778020847671</v>
      </c>
      <c r="I260" s="30" t="s">
        <v>574</v>
      </c>
      <c r="J260" s="34">
        <v>347560</v>
      </c>
      <c r="K260" s="35" t="s">
        <v>17</v>
      </c>
      <c r="L260" s="36">
        <v>62560.799999999996</v>
      </c>
      <c r="M260" s="30" t="s">
        <v>18</v>
      </c>
      <c r="N260" s="30" t="s">
        <v>19</v>
      </c>
      <c r="O260" s="30" t="s">
        <v>1542</v>
      </c>
      <c r="P260" s="30" t="s">
        <v>1542</v>
      </c>
      <c r="Q260" s="30" t="str">
        <f t="shared" si="15"/>
        <v>AM</v>
      </c>
      <c r="R260" s="30" t="str">
        <f t="shared" si="16"/>
        <v>DM</v>
      </c>
      <c r="S260" s="30" t="str">
        <f>VLOOKUP(M260,'Data - Employee Rights Master'!$C$3:$D$32,2,0)</f>
        <v>AM</v>
      </c>
      <c r="T260" s="30" t="str">
        <f>VLOOKUP(N260,'Data - Employee Rights Master'!$C$3:$D$32,2,0)</f>
        <v>DM</v>
      </c>
      <c r="U260" s="41" t="str">
        <f t="shared" si="17"/>
        <v>PASS</v>
      </c>
      <c r="V260" s="41" t="str">
        <f t="shared" si="18"/>
        <v>NA</v>
      </c>
      <c r="W260" s="30" t="str">
        <f t="shared" si="19"/>
        <v>2021</v>
      </c>
      <c r="X260" s="30" t="str">
        <f>VLOOKUP(MONTH(G260),Key!$F$3:$G$14,2,0)</f>
        <v>Mar</v>
      </c>
      <c r="Y260" s="30" t="str">
        <f>IFERROR(IF(MATCH(F260,'Test 6'!C$5:C$9,0)&gt;0,"RP"),"NON-RP")</f>
        <v>NON-RP</v>
      </c>
    </row>
    <row r="261" spans="2:25" x14ac:dyDescent="0.5">
      <c r="B261" s="30">
        <v>257</v>
      </c>
      <c r="C261" s="30" t="s">
        <v>609</v>
      </c>
      <c r="D261" s="31">
        <v>2021257</v>
      </c>
      <c r="E261" s="30" t="s">
        <v>610</v>
      </c>
      <c r="F261" s="53" t="s">
        <v>184</v>
      </c>
      <c r="G261" s="32">
        <v>44280</v>
      </c>
      <c r="H261" s="33">
        <v>0.64287669521964863</v>
      </c>
      <c r="I261" s="30" t="s">
        <v>574</v>
      </c>
      <c r="J261" s="34">
        <v>463330</v>
      </c>
      <c r="K261" s="35" t="s">
        <v>17</v>
      </c>
      <c r="L261" s="36">
        <v>83399.399999999994</v>
      </c>
      <c r="M261" s="30" t="s">
        <v>46</v>
      </c>
      <c r="N261" s="30" t="s">
        <v>24</v>
      </c>
      <c r="O261" s="30" t="s">
        <v>1542</v>
      </c>
      <c r="P261" s="30" t="s">
        <v>1542</v>
      </c>
      <c r="Q261" s="30" t="str">
        <f t="shared" si="15"/>
        <v>AM</v>
      </c>
      <c r="R261" s="30" t="str">
        <f t="shared" si="16"/>
        <v>DM</v>
      </c>
      <c r="S261" s="30" t="str">
        <f>VLOOKUP(M261,'Data - Employee Rights Master'!$C$3:$D$32,2,0)</f>
        <v>AM</v>
      </c>
      <c r="T261" s="30" t="str">
        <f>VLOOKUP(N261,'Data - Employee Rights Master'!$C$3:$D$32,2,0)</f>
        <v>DM</v>
      </c>
      <c r="U261" s="41" t="str">
        <f t="shared" si="17"/>
        <v>PASS</v>
      </c>
      <c r="V261" s="41" t="str">
        <f t="shared" si="18"/>
        <v>NA</v>
      </c>
      <c r="W261" s="30" t="str">
        <f t="shared" si="19"/>
        <v>2021</v>
      </c>
      <c r="X261" s="30" t="str">
        <f>VLOOKUP(MONTH(G261),Key!$F$3:$G$14,2,0)</f>
        <v>Mar</v>
      </c>
      <c r="Y261" s="30" t="str">
        <f>IFERROR(IF(MATCH(F261,'Test 6'!C$5:C$9,0)&gt;0,"RP"),"NON-RP")</f>
        <v>NON-RP</v>
      </c>
    </row>
    <row r="262" spans="2:25" x14ac:dyDescent="0.5">
      <c r="B262" s="30">
        <v>258</v>
      </c>
      <c r="C262" s="30" t="s">
        <v>611</v>
      </c>
      <c r="D262" s="31">
        <v>2021258</v>
      </c>
      <c r="E262" s="30" t="s">
        <v>612</v>
      </c>
      <c r="F262" s="53" t="s">
        <v>143</v>
      </c>
      <c r="G262" s="32">
        <v>44286</v>
      </c>
      <c r="H262" s="33">
        <v>0.70154181135287619</v>
      </c>
      <c r="I262" s="30" t="s">
        <v>574</v>
      </c>
      <c r="J262" s="34">
        <v>237420</v>
      </c>
      <c r="K262" s="35" t="s">
        <v>17</v>
      </c>
      <c r="L262" s="36">
        <v>42735.6</v>
      </c>
      <c r="M262" s="30" t="s">
        <v>32</v>
      </c>
      <c r="N262" s="30" t="s">
        <v>47</v>
      </c>
      <c r="O262" s="30" t="s">
        <v>1542</v>
      </c>
      <c r="P262" s="30" t="s">
        <v>1542</v>
      </c>
      <c r="Q262" s="30" t="str">
        <f t="shared" ref="Q262:Q325" si="20">IF(J262&lt;200000,"SE",IF(J262&lt;500000,"AM",IF(J262&lt;1000000,"DM",IF(J262&lt;4500000,"SM",IF(J262&gt;=4500000,"CM")))))</f>
        <v>AM</v>
      </c>
      <c r="R262" s="30" t="str">
        <f t="shared" ref="R262:R325" si="21">IF(Q262="SE","AM",IF(Q262="AM","DM",IF(Q262="DM","SM",IF(Q262="SM","CM",IF(Q262="CM","CFO")))))</f>
        <v>DM</v>
      </c>
      <c r="S262" s="30" t="str">
        <f>VLOOKUP(M262,'Data - Employee Rights Master'!$C$3:$D$32,2,0)</f>
        <v>AM</v>
      </c>
      <c r="T262" s="30" t="str">
        <f>VLOOKUP(N262,'Data - Employee Rights Master'!$C$3:$D$32,2,0)</f>
        <v>DM</v>
      </c>
      <c r="U262" s="41" t="str">
        <f t="shared" ref="U262:U325" si="22">IF(AND(S262=Q262,T262=R262),"PASS","DEVIATION")</f>
        <v>PASS</v>
      </c>
      <c r="V262" s="41" t="str">
        <f t="shared" ref="V262:V325" si="23">IF(J262&gt;5000000,IF(AND(O262="Approved",P262&lt;&gt;"NA"),"PASS","FLAG"),"NA")</f>
        <v>NA</v>
      </c>
      <c r="W262" s="30" t="str">
        <f t="shared" ref="W262:W325" si="24">LEFT(C262,4)</f>
        <v>2021</v>
      </c>
      <c r="X262" s="30" t="str">
        <f>VLOOKUP(MONTH(G262),Key!$F$3:$G$14,2,0)</f>
        <v>Mar</v>
      </c>
      <c r="Y262" s="30" t="str">
        <f>IFERROR(IF(MATCH(F262,'Test 6'!C$5:C$9,0)&gt;0,"RP"),"NON-RP")</f>
        <v>NON-RP</v>
      </c>
    </row>
    <row r="263" spans="2:25" x14ac:dyDescent="0.5">
      <c r="B263" s="30">
        <v>259</v>
      </c>
      <c r="C263" s="30" t="s">
        <v>613</v>
      </c>
      <c r="D263" s="31">
        <v>2021259</v>
      </c>
      <c r="E263" s="30" t="s">
        <v>614</v>
      </c>
      <c r="F263" s="53" t="s">
        <v>229</v>
      </c>
      <c r="G263" s="32">
        <v>44286</v>
      </c>
      <c r="H263" s="33">
        <v>0.5866953913450349</v>
      </c>
      <c r="I263" s="30" t="s">
        <v>574</v>
      </c>
      <c r="J263" s="34">
        <v>367870</v>
      </c>
      <c r="K263" s="35" t="s">
        <v>17</v>
      </c>
      <c r="L263" s="36">
        <v>66216.599999999991</v>
      </c>
      <c r="M263" s="30" t="s">
        <v>32</v>
      </c>
      <c r="N263" s="30" t="s">
        <v>19</v>
      </c>
      <c r="O263" s="30" t="s">
        <v>1542</v>
      </c>
      <c r="P263" s="30" t="s">
        <v>1542</v>
      </c>
      <c r="Q263" s="30" t="str">
        <f t="shared" si="20"/>
        <v>AM</v>
      </c>
      <c r="R263" s="30" t="str">
        <f t="shared" si="21"/>
        <v>DM</v>
      </c>
      <c r="S263" s="30" t="str">
        <f>VLOOKUP(M263,'Data - Employee Rights Master'!$C$3:$D$32,2,0)</f>
        <v>AM</v>
      </c>
      <c r="T263" s="30" t="str">
        <f>VLOOKUP(N263,'Data - Employee Rights Master'!$C$3:$D$32,2,0)</f>
        <v>DM</v>
      </c>
      <c r="U263" s="41" t="str">
        <f t="shared" si="22"/>
        <v>PASS</v>
      </c>
      <c r="V263" s="41" t="str">
        <f t="shared" si="23"/>
        <v>NA</v>
      </c>
      <c r="W263" s="30" t="str">
        <f t="shared" si="24"/>
        <v>2021</v>
      </c>
      <c r="X263" s="30" t="str">
        <f>VLOOKUP(MONTH(G263),Key!$F$3:$G$14,2,0)</f>
        <v>Mar</v>
      </c>
      <c r="Y263" s="30" t="str">
        <f>IFERROR(IF(MATCH(F263,'Test 6'!C$5:C$9,0)&gt;0,"RP"),"NON-RP")</f>
        <v>NON-RP</v>
      </c>
    </row>
    <row r="264" spans="2:25" x14ac:dyDescent="0.5">
      <c r="B264" s="30">
        <v>260</v>
      </c>
      <c r="C264" s="30" t="s">
        <v>615</v>
      </c>
      <c r="D264" s="31">
        <v>21221</v>
      </c>
      <c r="E264" s="30" t="s">
        <v>616</v>
      </c>
      <c r="F264" s="53" t="s">
        <v>77</v>
      </c>
      <c r="G264" s="32">
        <v>44287</v>
      </c>
      <c r="H264" s="33">
        <v>0.68717400963776609</v>
      </c>
      <c r="I264" s="30" t="s">
        <v>16</v>
      </c>
      <c r="J264" s="34">
        <v>10252420</v>
      </c>
      <c r="K264" s="35" t="s">
        <v>17</v>
      </c>
      <c r="L264" s="36">
        <v>1845435.5999999999</v>
      </c>
      <c r="M264" s="30" t="s">
        <v>41</v>
      </c>
      <c r="N264" s="30" t="s">
        <v>42</v>
      </c>
      <c r="O264" s="30" t="s">
        <v>1575</v>
      </c>
      <c r="P264" s="30" t="s">
        <v>1583</v>
      </c>
      <c r="Q264" s="30" t="str">
        <f t="shared" si="20"/>
        <v>CM</v>
      </c>
      <c r="R264" s="30" t="str">
        <f t="shared" si="21"/>
        <v>CFO</v>
      </c>
      <c r="S264" s="30" t="str">
        <f>VLOOKUP(M264,'Data - Employee Rights Master'!$C$3:$D$32,2,0)</f>
        <v>CM</v>
      </c>
      <c r="T264" s="30" t="str">
        <f>VLOOKUP(N264,'Data - Employee Rights Master'!$C$3:$D$32,2,0)</f>
        <v>CFO</v>
      </c>
      <c r="U264" s="41" t="str">
        <f t="shared" si="22"/>
        <v>PASS</v>
      </c>
      <c r="V264" s="41" t="str">
        <f t="shared" si="23"/>
        <v>PASS</v>
      </c>
      <c r="W264" s="30" t="str">
        <f t="shared" si="24"/>
        <v>2122</v>
      </c>
      <c r="X264" s="30" t="str">
        <f>VLOOKUP(MONTH(G264),Key!$F$3:$G$14,2,0)</f>
        <v>Apr</v>
      </c>
      <c r="Y264" s="30" t="str">
        <f>IFERROR(IF(MATCH(F264,'Test 6'!C$5:C$9,0)&gt;0,"RP"),"NON-RP")</f>
        <v>NON-RP</v>
      </c>
    </row>
    <row r="265" spans="2:25" x14ac:dyDescent="0.5">
      <c r="B265" s="30">
        <v>261</v>
      </c>
      <c r="C265" s="30" t="s">
        <v>617</v>
      </c>
      <c r="D265" s="31">
        <v>21222</v>
      </c>
      <c r="E265" s="30" t="s">
        <v>618</v>
      </c>
      <c r="F265" s="53" t="s">
        <v>67</v>
      </c>
      <c r="G265" s="32">
        <v>44289</v>
      </c>
      <c r="H265" s="33">
        <v>0.71326469396817038</v>
      </c>
      <c r="I265" s="30" t="s">
        <v>16</v>
      </c>
      <c r="J265" s="34">
        <v>277050</v>
      </c>
      <c r="K265" s="35" t="s">
        <v>17</v>
      </c>
      <c r="L265" s="36">
        <v>49869</v>
      </c>
      <c r="M265" s="30" t="s">
        <v>28</v>
      </c>
      <c r="N265" s="30" t="s">
        <v>19</v>
      </c>
      <c r="O265" s="30" t="s">
        <v>1542</v>
      </c>
      <c r="P265" s="30" t="s">
        <v>1542</v>
      </c>
      <c r="Q265" s="30" t="str">
        <f t="shared" si="20"/>
        <v>AM</v>
      </c>
      <c r="R265" s="30" t="str">
        <f t="shared" si="21"/>
        <v>DM</v>
      </c>
      <c r="S265" s="30" t="str">
        <f>VLOOKUP(M265,'Data - Employee Rights Master'!$C$3:$D$32,2,0)</f>
        <v>AM</v>
      </c>
      <c r="T265" s="30" t="str">
        <f>VLOOKUP(N265,'Data - Employee Rights Master'!$C$3:$D$32,2,0)</f>
        <v>DM</v>
      </c>
      <c r="U265" s="41" t="str">
        <f t="shared" si="22"/>
        <v>PASS</v>
      </c>
      <c r="V265" s="41" t="str">
        <f t="shared" si="23"/>
        <v>NA</v>
      </c>
      <c r="W265" s="30" t="str">
        <f t="shared" si="24"/>
        <v>2122</v>
      </c>
      <c r="X265" s="30" t="str">
        <f>VLOOKUP(MONTH(G265),Key!$F$3:$G$14,2,0)</f>
        <v>Apr</v>
      </c>
      <c r="Y265" s="30" t="str">
        <f>IFERROR(IF(MATCH(F265,'Test 6'!C$5:C$9,0)&gt;0,"RP"),"NON-RP")</f>
        <v>NON-RP</v>
      </c>
    </row>
    <row r="266" spans="2:25" x14ac:dyDescent="0.5">
      <c r="B266" s="30">
        <v>262</v>
      </c>
      <c r="C266" s="30" t="s">
        <v>619</v>
      </c>
      <c r="D266" s="31">
        <v>21223</v>
      </c>
      <c r="E266" s="30" t="s">
        <v>620</v>
      </c>
      <c r="F266" s="53" t="s">
        <v>184</v>
      </c>
      <c r="G266" s="32">
        <v>44289</v>
      </c>
      <c r="H266" s="33">
        <v>0.45250037116445874</v>
      </c>
      <c r="I266" s="30" t="s">
        <v>16</v>
      </c>
      <c r="J266" s="34">
        <v>234800</v>
      </c>
      <c r="K266" s="35" t="s">
        <v>17</v>
      </c>
      <c r="L266" s="36">
        <v>42264</v>
      </c>
      <c r="M266" s="30" t="s">
        <v>18</v>
      </c>
      <c r="N266" s="30" t="s">
        <v>24</v>
      </c>
      <c r="O266" s="30" t="s">
        <v>1542</v>
      </c>
      <c r="P266" s="30" t="s">
        <v>1542</v>
      </c>
      <c r="Q266" s="30" t="str">
        <f t="shared" si="20"/>
        <v>AM</v>
      </c>
      <c r="R266" s="30" t="str">
        <f t="shared" si="21"/>
        <v>DM</v>
      </c>
      <c r="S266" s="30" t="str">
        <f>VLOOKUP(M266,'Data - Employee Rights Master'!$C$3:$D$32,2,0)</f>
        <v>AM</v>
      </c>
      <c r="T266" s="30" t="str">
        <f>VLOOKUP(N266,'Data - Employee Rights Master'!$C$3:$D$32,2,0)</f>
        <v>DM</v>
      </c>
      <c r="U266" s="41" t="str">
        <f t="shared" si="22"/>
        <v>PASS</v>
      </c>
      <c r="V266" s="41" t="str">
        <f t="shared" si="23"/>
        <v>NA</v>
      </c>
      <c r="W266" s="30" t="str">
        <f t="shared" si="24"/>
        <v>2122</v>
      </c>
      <c r="X266" s="30" t="str">
        <f>VLOOKUP(MONTH(G266),Key!$F$3:$G$14,2,0)</f>
        <v>Apr</v>
      </c>
      <c r="Y266" s="30" t="str">
        <f>IFERROR(IF(MATCH(F266,'Test 6'!C$5:C$9,0)&gt;0,"RP"),"NON-RP")</f>
        <v>NON-RP</v>
      </c>
    </row>
    <row r="267" spans="2:25" x14ac:dyDescent="0.5">
      <c r="B267" s="30">
        <v>263</v>
      </c>
      <c r="C267" s="30" t="s">
        <v>621</v>
      </c>
      <c r="D267" s="31">
        <v>21224</v>
      </c>
      <c r="E267" s="30" t="s">
        <v>622</v>
      </c>
      <c r="F267" s="53" t="s">
        <v>290</v>
      </c>
      <c r="G267" s="32">
        <v>44291</v>
      </c>
      <c r="H267" s="33">
        <v>0.66234818984976052</v>
      </c>
      <c r="I267" s="30" t="s">
        <v>16</v>
      </c>
      <c r="J267" s="34">
        <v>491400</v>
      </c>
      <c r="K267" s="35" t="s">
        <v>17</v>
      </c>
      <c r="L267" s="36">
        <v>88452</v>
      </c>
      <c r="M267" s="30" t="s">
        <v>46</v>
      </c>
      <c r="N267" s="30" t="s">
        <v>19</v>
      </c>
      <c r="O267" s="30" t="s">
        <v>1542</v>
      </c>
      <c r="P267" s="30" t="s">
        <v>1542</v>
      </c>
      <c r="Q267" s="30" t="str">
        <f t="shared" si="20"/>
        <v>AM</v>
      </c>
      <c r="R267" s="30" t="str">
        <f t="shared" si="21"/>
        <v>DM</v>
      </c>
      <c r="S267" s="30" t="str">
        <f>VLOOKUP(M267,'Data - Employee Rights Master'!$C$3:$D$32,2,0)</f>
        <v>AM</v>
      </c>
      <c r="T267" s="30" t="str">
        <f>VLOOKUP(N267,'Data - Employee Rights Master'!$C$3:$D$32,2,0)</f>
        <v>DM</v>
      </c>
      <c r="U267" s="41" t="str">
        <f t="shared" si="22"/>
        <v>PASS</v>
      </c>
      <c r="V267" s="41" t="str">
        <f t="shared" si="23"/>
        <v>NA</v>
      </c>
      <c r="W267" s="30" t="str">
        <f t="shared" si="24"/>
        <v>2122</v>
      </c>
      <c r="X267" s="30" t="str">
        <f>VLOOKUP(MONTH(G267),Key!$F$3:$G$14,2,0)</f>
        <v>Apr</v>
      </c>
      <c r="Y267" s="30" t="str">
        <f>IFERROR(IF(MATCH(F267,'Test 6'!C$5:C$9,0)&gt;0,"RP"),"NON-RP")</f>
        <v>NON-RP</v>
      </c>
    </row>
    <row r="268" spans="2:25" x14ac:dyDescent="0.5">
      <c r="B268" s="30">
        <v>264</v>
      </c>
      <c r="C268" s="30" t="s">
        <v>623</v>
      </c>
      <c r="D268" s="31">
        <v>21225</v>
      </c>
      <c r="E268" s="30" t="s">
        <v>624</v>
      </c>
      <c r="F268" s="53" t="s">
        <v>241</v>
      </c>
      <c r="G268" s="32">
        <v>44292</v>
      </c>
      <c r="H268" s="33">
        <v>0.57868741500716192</v>
      </c>
      <c r="I268" s="30" t="s">
        <v>16</v>
      </c>
      <c r="J268" s="34">
        <v>203540</v>
      </c>
      <c r="K268" s="35" t="s">
        <v>17</v>
      </c>
      <c r="L268" s="36">
        <v>36637.199999999997</v>
      </c>
      <c r="M268" s="30" t="s">
        <v>32</v>
      </c>
      <c r="N268" s="30" t="s">
        <v>51</v>
      </c>
      <c r="O268" s="30" t="s">
        <v>1542</v>
      </c>
      <c r="P268" s="30" t="s">
        <v>1542</v>
      </c>
      <c r="Q268" s="30" t="str">
        <f t="shared" si="20"/>
        <v>AM</v>
      </c>
      <c r="R268" s="30" t="str">
        <f t="shared" si="21"/>
        <v>DM</v>
      </c>
      <c r="S268" s="30" t="str">
        <f>VLOOKUP(M268,'Data - Employee Rights Master'!$C$3:$D$32,2,0)</f>
        <v>AM</v>
      </c>
      <c r="T268" s="30" t="str">
        <f>VLOOKUP(N268,'Data - Employee Rights Master'!$C$3:$D$32,2,0)</f>
        <v>DM</v>
      </c>
      <c r="U268" s="41" t="str">
        <f t="shared" si="22"/>
        <v>PASS</v>
      </c>
      <c r="V268" s="41" t="str">
        <f t="shared" si="23"/>
        <v>NA</v>
      </c>
      <c r="W268" s="30" t="str">
        <f t="shared" si="24"/>
        <v>2122</v>
      </c>
      <c r="X268" s="30" t="str">
        <f>VLOOKUP(MONTH(G268),Key!$F$3:$G$14,2,0)</f>
        <v>Apr</v>
      </c>
      <c r="Y268" s="30" t="str">
        <f>IFERROR(IF(MATCH(F268,'Test 6'!C$5:C$9,0)&gt;0,"RP"),"NON-RP")</f>
        <v>RP</v>
      </c>
    </row>
    <row r="269" spans="2:25" x14ac:dyDescent="0.5">
      <c r="B269" s="30">
        <v>265</v>
      </c>
      <c r="C269" s="30" t="s">
        <v>625</v>
      </c>
      <c r="D269" s="31">
        <v>21226</v>
      </c>
      <c r="E269" s="30" t="s">
        <v>626</v>
      </c>
      <c r="F269" s="53" t="s">
        <v>131</v>
      </c>
      <c r="G269" s="32">
        <v>44293</v>
      </c>
      <c r="H269" s="33">
        <v>0.7059923434802895</v>
      </c>
      <c r="I269" s="30" t="s">
        <v>16</v>
      </c>
      <c r="J269" s="34">
        <v>255220</v>
      </c>
      <c r="K269" s="35" t="s">
        <v>17</v>
      </c>
      <c r="L269" s="36">
        <v>45939.6</v>
      </c>
      <c r="M269" s="30" t="s">
        <v>46</v>
      </c>
      <c r="N269" s="30" t="s">
        <v>51</v>
      </c>
      <c r="O269" s="30" t="s">
        <v>1542</v>
      </c>
      <c r="P269" s="30" t="s">
        <v>1542</v>
      </c>
      <c r="Q269" s="30" t="str">
        <f t="shared" si="20"/>
        <v>AM</v>
      </c>
      <c r="R269" s="30" t="str">
        <f t="shared" si="21"/>
        <v>DM</v>
      </c>
      <c r="S269" s="30" t="str">
        <f>VLOOKUP(M269,'Data - Employee Rights Master'!$C$3:$D$32,2,0)</f>
        <v>AM</v>
      </c>
      <c r="T269" s="30" t="str">
        <f>VLOOKUP(N269,'Data - Employee Rights Master'!$C$3:$D$32,2,0)</f>
        <v>DM</v>
      </c>
      <c r="U269" s="41" t="str">
        <f t="shared" si="22"/>
        <v>PASS</v>
      </c>
      <c r="V269" s="41" t="str">
        <f t="shared" si="23"/>
        <v>NA</v>
      </c>
      <c r="W269" s="30" t="str">
        <f t="shared" si="24"/>
        <v>2122</v>
      </c>
      <c r="X269" s="30" t="str">
        <f>VLOOKUP(MONTH(G269),Key!$F$3:$G$14,2,0)</f>
        <v>Apr</v>
      </c>
      <c r="Y269" s="30" t="str">
        <f>IFERROR(IF(MATCH(F269,'Test 6'!C$5:C$9,0)&gt;0,"RP"),"NON-RP")</f>
        <v>NON-RP</v>
      </c>
    </row>
    <row r="270" spans="2:25" x14ac:dyDescent="0.5">
      <c r="B270" s="30">
        <v>266</v>
      </c>
      <c r="C270" s="30" t="s">
        <v>627</v>
      </c>
      <c r="D270" s="31">
        <v>21227</v>
      </c>
      <c r="E270" s="30" t="s">
        <v>628</v>
      </c>
      <c r="F270" s="53" t="s">
        <v>77</v>
      </c>
      <c r="G270" s="32">
        <v>44294</v>
      </c>
      <c r="H270" s="33">
        <v>0.67593861754604534</v>
      </c>
      <c r="I270" s="30" t="s">
        <v>16</v>
      </c>
      <c r="J270" s="34">
        <v>233510</v>
      </c>
      <c r="K270" s="35" t="s">
        <v>17</v>
      </c>
      <c r="L270" s="36">
        <v>42031.799999999996</v>
      </c>
      <c r="M270" s="30" t="s">
        <v>61</v>
      </c>
      <c r="N270" s="30" t="s">
        <v>24</v>
      </c>
      <c r="O270" s="30" t="s">
        <v>1542</v>
      </c>
      <c r="P270" s="30" t="s">
        <v>1542</v>
      </c>
      <c r="Q270" s="30" t="str">
        <f t="shared" si="20"/>
        <v>AM</v>
      </c>
      <c r="R270" s="30" t="str">
        <f t="shared" si="21"/>
        <v>DM</v>
      </c>
      <c r="S270" s="30" t="str">
        <f>VLOOKUP(M270,'Data - Employee Rights Master'!$C$3:$D$32,2,0)</f>
        <v>AM</v>
      </c>
      <c r="T270" s="30" t="str">
        <f>VLOOKUP(N270,'Data - Employee Rights Master'!$C$3:$D$32,2,0)</f>
        <v>DM</v>
      </c>
      <c r="U270" s="41" t="str">
        <f t="shared" si="22"/>
        <v>PASS</v>
      </c>
      <c r="V270" s="41" t="str">
        <f t="shared" si="23"/>
        <v>NA</v>
      </c>
      <c r="W270" s="30" t="str">
        <f t="shared" si="24"/>
        <v>2122</v>
      </c>
      <c r="X270" s="30" t="str">
        <f>VLOOKUP(MONTH(G270),Key!$F$3:$G$14,2,0)</f>
        <v>Apr</v>
      </c>
      <c r="Y270" s="30" t="str">
        <f>IFERROR(IF(MATCH(F270,'Test 6'!C$5:C$9,0)&gt;0,"RP"),"NON-RP")</f>
        <v>NON-RP</v>
      </c>
    </row>
    <row r="271" spans="2:25" x14ac:dyDescent="0.5">
      <c r="B271" s="30">
        <v>267</v>
      </c>
      <c r="C271" s="30" t="s">
        <v>629</v>
      </c>
      <c r="D271" s="31">
        <v>21228</v>
      </c>
      <c r="E271" s="30" t="s">
        <v>630</v>
      </c>
      <c r="F271" s="53" t="s">
        <v>35</v>
      </c>
      <c r="G271" s="32">
        <v>44294</v>
      </c>
      <c r="H271" s="33">
        <v>0.51621772735136373</v>
      </c>
      <c r="I271" s="30" t="s">
        <v>16</v>
      </c>
      <c r="J271" s="34">
        <v>287430</v>
      </c>
      <c r="K271" s="35" t="s">
        <v>17</v>
      </c>
      <c r="L271" s="36">
        <v>51737.4</v>
      </c>
      <c r="M271" s="30" t="s">
        <v>32</v>
      </c>
      <c r="N271" s="30" t="s">
        <v>51</v>
      </c>
      <c r="O271" s="30" t="s">
        <v>1542</v>
      </c>
      <c r="P271" s="30" t="s">
        <v>1542</v>
      </c>
      <c r="Q271" s="30" t="str">
        <f t="shared" si="20"/>
        <v>AM</v>
      </c>
      <c r="R271" s="30" t="str">
        <f t="shared" si="21"/>
        <v>DM</v>
      </c>
      <c r="S271" s="30" t="str">
        <f>VLOOKUP(M271,'Data - Employee Rights Master'!$C$3:$D$32,2,0)</f>
        <v>AM</v>
      </c>
      <c r="T271" s="30" t="str">
        <f>VLOOKUP(N271,'Data - Employee Rights Master'!$C$3:$D$32,2,0)</f>
        <v>DM</v>
      </c>
      <c r="U271" s="41" t="str">
        <f t="shared" si="22"/>
        <v>PASS</v>
      </c>
      <c r="V271" s="41" t="str">
        <f t="shared" si="23"/>
        <v>NA</v>
      </c>
      <c r="W271" s="30" t="str">
        <f t="shared" si="24"/>
        <v>2122</v>
      </c>
      <c r="X271" s="30" t="str">
        <f>VLOOKUP(MONTH(G271),Key!$F$3:$G$14,2,0)</f>
        <v>Apr</v>
      </c>
      <c r="Y271" s="30" t="str">
        <f>IFERROR(IF(MATCH(F271,'Test 6'!C$5:C$9,0)&gt;0,"RP"),"NON-RP")</f>
        <v>NON-RP</v>
      </c>
    </row>
    <row r="272" spans="2:25" x14ac:dyDescent="0.5">
      <c r="B272" s="30">
        <v>268</v>
      </c>
      <c r="C272" s="30" t="s">
        <v>631</v>
      </c>
      <c r="D272" s="31">
        <v>21229</v>
      </c>
      <c r="E272" s="30" t="s">
        <v>632</v>
      </c>
      <c r="F272" s="53" t="s">
        <v>84</v>
      </c>
      <c r="G272" s="32">
        <v>44295</v>
      </c>
      <c r="H272" s="33">
        <v>0.5722659981975613</v>
      </c>
      <c r="I272" s="30" t="s">
        <v>16</v>
      </c>
      <c r="J272" s="34">
        <v>448190</v>
      </c>
      <c r="K272" s="35" t="s">
        <v>17</v>
      </c>
      <c r="L272" s="36">
        <v>80674.2</v>
      </c>
      <c r="M272" s="30" t="s">
        <v>61</v>
      </c>
      <c r="N272" s="30" t="s">
        <v>47</v>
      </c>
      <c r="O272" s="30" t="s">
        <v>1542</v>
      </c>
      <c r="P272" s="30" t="s">
        <v>1542</v>
      </c>
      <c r="Q272" s="30" t="str">
        <f t="shared" si="20"/>
        <v>AM</v>
      </c>
      <c r="R272" s="30" t="str">
        <f t="shared" si="21"/>
        <v>DM</v>
      </c>
      <c r="S272" s="30" t="str">
        <f>VLOOKUP(M272,'Data - Employee Rights Master'!$C$3:$D$32,2,0)</f>
        <v>AM</v>
      </c>
      <c r="T272" s="30" t="str">
        <f>VLOOKUP(N272,'Data - Employee Rights Master'!$C$3:$D$32,2,0)</f>
        <v>DM</v>
      </c>
      <c r="U272" s="41" t="str">
        <f t="shared" si="22"/>
        <v>PASS</v>
      </c>
      <c r="V272" s="41" t="str">
        <f t="shared" si="23"/>
        <v>NA</v>
      </c>
      <c r="W272" s="30" t="str">
        <f t="shared" si="24"/>
        <v>2122</v>
      </c>
      <c r="X272" s="30" t="str">
        <f>VLOOKUP(MONTH(G272),Key!$F$3:$G$14,2,0)</f>
        <v>Apr</v>
      </c>
      <c r="Y272" s="30" t="str">
        <f>IFERROR(IF(MATCH(F272,'Test 6'!C$5:C$9,0)&gt;0,"RP"),"NON-RP")</f>
        <v>NON-RP</v>
      </c>
    </row>
    <row r="273" spans="2:25" x14ac:dyDescent="0.5">
      <c r="B273" s="30">
        <v>269</v>
      </c>
      <c r="C273" s="30" t="s">
        <v>633</v>
      </c>
      <c r="D273" s="31">
        <v>212210</v>
      </c>
      <c r="E273" s="30" t="s">
        <v>634</v>
      </c>
      <c r="F273" s="53" t="s">
        <v>190</v>
      </c>
      <c r="G273" s="32">
        <v>44295</v>
      </c>
      <c r="H273" s="33">
        <v>0.71964723592931634</v>
      </c>
      <c r="I273" s="30" t="s">
        <v>16</v>
      </c>
      <c r="J273" s="34">
        <v>443830</v>
      </c>
      <c r="K273" s="35" t="s">
        <v>17</v>
      </c>
      <c r="L273" s="36">
        <v>79889.399999999994</v>
      </c>
      <c r="M273" s="30" t="s">
        <v>32</v>
      </c>
      <c r="N273" s="30" t="s">
        <v>68</v>
      </c>
      <c r="O273" s="30" t="s">
        <v>1542</v>
      </c>
      <c r="P273" s="30" t="s">
        <v>1542</v>
      </c>
      <c r="Q273" s="30" t="str">
        <f t="shared" si="20"/>
        <v>AM</v>
      </c>
      <c r="R273" s="30" t="str">
        <f t="shared" si="21"/>
        <v>DM</v>
      </c>
      <c r="S273" s="30" t="str">
        <f>VLOOKUP(M273,'Data - Employee Rights Master'!$C$3:$D$32,2,0)</f>
        <v>AM</v>
      </c>
      <c r="T273" s="30" t="str">
        <f>VLOOKUP(N273,'Data - Employee Rights Master'!$C$3:$D$32,2,0)</f>
        <v>DM</v>
      </c>
      <c r="U273" s="41" t="str">
        <f t="shared" si="22"/>
        <v>PASS</v>
      </c>
      <c r="V273" s="41" t="str">
        <f t="shared" si="23"/>
        <v>NA</v>
      </c>
      <c r="W273" s="30" t="str">
        <f t="shared" si="24"/>
        <v>2122</v>
      </c>
      <c r="X273" s="30" t="str">
        <f>VLOOKUP(MONTH(G273),Key!$F$3:$G$14,2,0)</f>
        <v>Apr</v>
      </c>
      <c r="Y273" s="30" t="str">
        <f>IFERROR(IF(MATCH(F273,'Test 6'!C$5:C$9,0)&gt;0,"RP"),"NON-RP")</f>
        <v>NON-RP</v>
      </c>
    </row>
    <row r="274" spans="2:25" x14ac:dyDescent="0.5">
      <c r="B274" s="30">
        <v>270</v>
      </c>
      <c r="C274" s="30" t="s">
        <v>635</v>
      </c>
      <c r="D274" s="31">
        <v>212211</v>
      </c>
      <c r="E274" s="30" t="s">
        <v>636</v>
      </c>
      <c r="F274" s="53" t="s">
        <v>229</v>
      </c>
      <c r="G274" s="32">
        <v>44298</v>
      </c>
      <c r="H274" s="33">
        <v>0.64905450160572231</v>
      </c>
      <c r="I274" s="30" t="s">
        <v>16</v>
      </c>
      <c r="J274" s="34">
        <v>322290</v>
      </c>
      <c r="K274" s="35" t="s">
        <v>17</v>
      </c>
      <c r="L274" s="36">
        <v>58012.2</v>
      </c>
      <c r="M274" s="30" t="s">
        <v>46</v>
      </c>
      <c r="N274" s="30" t="s">
        <v>19</v>
      </c>
      <c r="O274" s="30" t="s">
        <v>1542</v>
      </c>
      <c r="P274" s="30" t="s">
        <v>1542</v>
      </c>
      <c r="Q274" s="30" t="str">
        <f t="shared" si="20"/>
        <v>AM</v>
      </c>
      <c r="R274" s="30" t="str">
        <f t="shared" si="21"/>
        <v>DM</v>
      </c>
      <c r="S274" s="30" t="str">
        <f>VLOOKUP(M274,'Data - Employee Rights Master'!$C$3:$D$32,2,0)</f>
        <v>AM</v>
      </c>
      <c r="T274" s="30" t="str">
        <f>VLOOKUP(N274,'Data - Employee Rights Master'!$C$3:$D$32,2,0)</f>
        <v>DM</v>
      </c>
      <c r="U274" s="41" t="str">
        <f t="shared" si="22"/>
        <v>PASS</v>
      </c>
      <c r="V274" s="41" t="str">
        <f t="shared" si="23"/>
        <v>NA</v>
      </c>
      <c r="W274" s="30" t="str">
        <f t="shared" si="24"/>
        <v>2122</v>
      </c>
      <c r="X274" s="30" t="str">
        <f>VLOOKUP(MONTH(G274),Key!$F$3:$G$14,2,0)</f>
        <v>Apr</v>
      </c>
      <c r="Y274" s="30" t="str">
        <f>IFERROR(IF(MATCH(F274,'Test 6'!C$5:C$9,0)&gt;0,"RP"),"NON-RP")</f>
        <v>NON-RP</v>
      </c>
    </row>
    <row r="275" spans="2:25" x14ac:dyDescent="0.5">
      <c r="B275" s="30">
        <v>271</v>
      </c>
      <c r="C275" s="30" t="s">
        <v>637</v>
      </c>
      <c r="D275" s="31">
        <v>212212</v>
      </c>
      <c r="E275" s="30" t="s">
        <v>638</v>
      </c>
      <c r="F275" s="53" t="s">
        <v>577</v>
      </c>
      <c r="G275" s="32">
        <v>44298</v>
      </c>
      <c r="H275" s="33">
        <v>0.72646511506710842</v>
      </c>
      <c r="I275" s="30" t="s">
        <v>16</v>
      </c>
      <c r="J275" s="34">
        <v>202040</v>
      </c>
      <c r="K275" s="35" t="s">
        <v>17</v>
      </c>
      <c r="L275" s="36">
        <v>36367.199999999997</v>
      </c>
      <c r="M275" s="30" t="s">
        <v>23</v>
      </c>
      <c r="N275" s="30" t="s">
        <v>51</v>
      </c>
      <c r="O275" s="30" t="s">
        <v>1542</v>
      </c>
      <c r="P275" s="30" t="s">
        <v>1542</v>
      </c>
      <c r="Q275" s="30" t="str">
        <f t="shared" si="20"/>
        <v>AM</v>
      </c>
      <c r="R275" s="30" t="str">
        <f t="shared" si="21"/>
        <v>DM</v>
      </c>
      <c r="S275" s="30" t="str">
        <f>VLOOKUP(M275,'Data - Employee Rights Master'!$C$3:$D$32,2,0)</f>
        <v>AM</v>
      </c>
      <c r="T275" s="30" t="str">
        <f>VLOOKUP(N275,'Data - Employee Rights Master'!$C$3:$D$32,2,0)</f>
        <v>DM</v>
      </c>
      <c r="U275" s="41" t="str">
        <f t="shared" si="22"/>
        <v>PASS</v>
      </c>
      <c r="V275" s="41" t="str">
        <f t="shared" si="23"/>
        <v>NA</v>
      </c>
      <c r="W275" s="30" t="str">
        <f t="shared" si="24"/>
        <v>2122</v>
      </c>
      <c r="X275" s="30" t="str">
        <f>VLOOKUP(MONTH(G275),Key!$F$3:$G$14,2,0)</f>
        <v>Apr</v>
      </c>
      <c r="Y275" s="30" t="str">
        <f>IFERROR(IF(MATCH(F275,'Test 6'!C$5:C$9,0)&gt;0,"RP"),"NON-RP")</f>
        <v>RP</v>
      </c>
    </row>
    <row r="276" spans="2:25" x14ac:dyDescent="0.5">
      <c r="B276" s="30">
        <v>272</v>
      </c>
      <c r="C276" s="30" t="s">
        <v>639</v>
      </c>
      <c r="D276" s="31">
        <v>212213</v>
      </c>
      <c r="E276" s="30" t="s">
        <v>640</v>
      </c>
      <c r="F276" s="53" t="s">
        <v>77</v>
      </c>
      <c r="G276" s="32">
        <v>44298</v>
      </c>
      <c r="H276" s="33">
        <v>0.54182787809783195</v>
      </c>
      <c r="I276" s="30" t="s">
        <v>16</v>
      </c>
      <c r="J276" s="34">
        <v>254090</v>
      </c>
      <c r="K276" s="35" t="s">
        <v>17</v>
      </c>
      <c r="L276" s="36">
        <v>45736.2</v>
      </c>
      <c r="M276" s="30" t="s">
        <v>61</v>
      </c>
      <c r="N276" s="30" t="s">
        <v>68</v>
      </c>
      <c r="O276" s="30" t="s">
        <v>1542</v>
      </c>
      <c r="P276" s="30" t="s">
        <v>1542</v>
      </c>
      <c r="Q276" s="30" t="str">
        <f t="shared" si="20"/>
        <v>AM</v>
      </c>
      <c r="R276" s="30" t="str">
        <f t="shared" si="21"/>
        <v>DM</v>
      </c>
      <c r="S276" s="30" t="str">
        <f>VLOOKUP(M276,'Data - Employee Rights Master'!$C$3:$D$32,2,0)</f>
        <v>AM</v>
      </c>
      <c r="T276" s="30" t="str">
        <f>VLOOKUP(N276,'Data - Employee Rights Master'!$C$3:$D$32,2,0)</f>
        <v>DM</v>
      </c>
      <c r="U276" s="41" t="str">
        <f t="shared" si="22"/>
        <v>PASS</v>
      </c>
      <c r="V276" s="41" t="str">
        <f t="shared" si="23"/>
        <v>NA</v>
      </c>
      <c r="W276" s="30" t="str">
        <f t="shared" si="24"/>
        <v>2122</v>
      </c>
      <c r="X276" s="30" t="str">
        <f>VLOOKUP(MONTH(G276),Key!$F$3:$G$14,2,0)</f>
        <v>Apr</v>
      </c>
      <c r="Y276" s="30" t="str">
        <f>IFERROR(IF(MATCH(F276,'Test 6'!C$5:C$9,0)&gt;0,"RP"),"NON-RP")</f>
        <v>NON-RP</v>
      </c>
    </row>
    <row r="277" spans="2:25" x14ac:dyDescent="0.5">
      <c r="B277" s="30">
        <v>273</v>
      </c>
      <c r="C277" s="30" t="s">
        <v>641</v>
      </c>
      <c r="D277" s="31">
        <v>212214</v>
      </c>
      <c r="E277" s="30" t="s">
        <v>642</v>
      </c>
      <c r="F277" s="53" t="s">
        <v>187</v>
      </c>
      <c r="G277" s="32">
        <v>44298</v>
      </c>
      <c r="H277" s="33">
        <v>0.52878648590141553</v>
      </c>
      <c r="I277" s="30" t="s">
        <v>16</v>
      </c>
      <c r="J277" s="34">
        <v>449120</v>
      </c>
      <c r="K277" s="35" t="s">
        <v>17</v>
      </c>
      <c r="L277" s="36">
        <v>80841.599999999991</v>
      </c>
      <c r="M277" s="30" t="s">
        <v>32</v>
      </c>
      <c r="N277" s="30" t="s">
        <v>19</v>
      </c>
      <c r="O277" s="30" t="s">
        <v>1542</v>
      </c>
      <c r="P277" s="30" t="s">
        <v>1542</v>
      </c>
      <c r="Q277" s="30" t="str">
        <f t="shared" si="20"/>
        <v>AM</v>
      </c>
      <c r="R277" s="30" t="str">
        <f t="shared" si="21"/>
        <v>DM</v>
      </c>
      <c r="S277" s="30" t="str">
        <f>VLOOKUP(M277,'Data - Employee Rights Master'!$C$3:$D$32,2,0)</f>
        <v>AM</v>
      </c>
      <c r="T277" s="30" t="str">
        <f>VLOOKUP(N277,'Data - Employee Rights Master'!$C$3:$D$32,2,0)</f>
        <v>DM</v>
      </c>
      <c r="U277" s="41" t="str">
        <f t="shared" si="22"/>
        <v>PASS</v>
      </c>
      <c r="V277" s="41" t="str">
        <f t="shared" si="23"/>
        <v>NA</v>
      </c>
      <c r="W277" s="30" t="str">
        <f t="shared" si="24"/>
        <v>2122</v>
      </c>
      <c r="X277" s="30" t="str">
        <f>VLOOKUP(MONTH(G277),Key!$F$3:$G$14,2,0)</f>
        <v>Apr</v>
      </c>
      <c r="Y277" s="30" t="str">
        <f>IFERROR(IF(MATCH(F277,'Test 6'!C$5:C$9,0)&gt;0,"RP"),"NON-RP")</f>
        <v>NON-RP</v>
      </c>
    </row>
    <row r="278" spans="2:25" x14ac:dyDescent="0.5">
      <c r="B278" s="30">
        <v>274</v>
      </c>
      <c r="C278" s="30" t="s">
        <v>643</v>
      </c>
      <c r="D278" s="31">
        <v>212215</v>
      </c>
      <c r="E278" s="30" t="s">
        <v>644</v>
      </c>
      <c r="F278" s="53" t="s">
        <v>229</v>
      </c>
      <c r="G278" s="32">
        <v>44300</v>
      </c>
      <c r="H278" s="33">
        <v>0.54028302997851352</v>
      </c>
      <c r="I278" s="30" t="s">
        <v>16</v>
      </c>
      <c r="J278" s="34">
        <v>403890</v>
      </c>
      <c r="K278" s="35" t="s">
        <v>17</v>
      </c>
      <c r="L278" s="36">
        <v>72700.2</v>
      </c>
      <c r="M278" s="30" t="s">
        <v>46</v>
      </c>
      <c r="N278" s="30" t="s">
        <v>51</v>
      </c>
      <c r="O278" s="30" t="s">
        <v>1542</v>
      </c>
      <c r="P278" s="30" t="s">
        <v>1542</v>
      </c>
      <c r="Q278" s="30" t="str">
        <f t="shared" si="20"/>
        <v>AM</v>
      </c>
      <c r="R278" s="30" t="str">
        <f t="shared" si="21"/>
        <v>DM</v>
      </c>
      <c r="S278" s="30" t="str">
        <f>VLOOKUP(M278,'Data - Employee Rights Master'!$C$3:$D$32,2,0)</f>
        <v>AM</v>
      </c>
      <c r="T278" s="30" t="str">
        <f>VLOOKUP(N278,'Data - Employee Rights Master'!$C$3:$D$32,2,0)</f>
        <v>DM</v>
      </c>
      <c r="U278" s="41" t="str">
        <f t="shared" si="22"/>
        <v>PASS</v>
      </c>
      <c r="V278" s="41" t="str">
        <f t="shared" si="23"/>
        <v>NA</v>
      </c>
      <c r="W278" s="30" t="str">
        <f t="shared" si="24"/>
        <v>2122</v>
      </c>
      <c r="X278" s="30" t="str">
        <f>VLOOKUP(MONTH(G278),Key!$F$3:$G$14,2,0)</f>
        <v>Apr</v>
      </c>
      <c r="Y278" s="30" t="str">
        <f>IFERROR(IF(MATCH(F278,'Test 6'!C$5:C$9,0)&gt;0,"RP"),"NON-RP")</f>
        <v>NON-RP</v>
      </c>
    </row>
    <row r="279" spans="2:25" x14ac:dyDescent="0.5">
      <c r="B279" s="30">
        <v>275</v>
      </c>
      <c r="C279" s="30" t="s">
        <v>645</v>
      </c>
      <c r="D279" s="31">
        <v>212216</v>
      </c>
      <c r="E279" s="30" t="s">
        <v>646</v>
      </c>
      <c r="F279" s="53" t="s">
        <v>308</v>
      </c>
      <c r="G279" s="32">
        <v>44302</v>
      </c>
      <c r="H279" s="33">
        <v>0.61102199617060737</v>
      </c>
      <c r="I279" s="30" t="s">
        <v>16</v>
      </c>
      <c r="J279" s="34">
        <v>284840</v>
      </c>
      <c r="K279" s="35" t="s">
        <v>17</v>
      </c>
      <c r="L279" s="36">
        <v>51271.199999999997</v>
      </c>
      <c r="M279" s="30" t="s">
        <v>28</v>
      </c>
      <c r="N279" s="30" t="s">
        <v>47</v>
      </c>
      <c r="O279" s="30" t="s">
        <v>1542</v>
      </c>
      <c r="P279" s="30" t="s">
        <v>1542</v>
      </c>
      <c r="Q279" s="30" t="str">
        <f t="shared" si="20"/>
        <v>AM</v>
      </c>
      <c r="R279" s="30" t="str">
        <f t="shared" si="21"/>
        <v>DM</v>
      </c>
      <c r="S279" s="30" t="str">
        <f>VLOOKUP(M279,'Data - Employee Rights Master'!$C$3:$D$32,2,0)</f>
        <v>AM</v>
      </c>
      <c r="T279" s="30" t="str">
        <f>VLOOKUP(N279,'Data - Employee Rights Master'!$C$3:$D$32,2,0)</f>
        <v>DM</v>
      </c>
      <c r="U279" s="41" t="str">
        <f t="shared" si="22"/>
        <v>PASS</v>
      </c>
      <c r="V279" s="41" t="str">
        <f t="shared" si="23"/>
        <v>NA</v>
      </c>
      <c r="W279" s="30" t="str">
        <f t="shared" si="24"/>
        <v>2122</v>
      </c>
      <c r="X279" s="30" t="str">
        <f>VLOOKUP(MONTH(G279),Key!$F$3:$G$14,2,0)</f>
        <v>Apr</v>
      </c>
      <c r="Y279" s="30" t="str">
        <f>IFERROR(IF(MATCH(F279,'Test 6'!C$5:C$9,0)&gt;0,"RP"),"NON-RP")</f>
        <v>RP</v>
      </c>
    </row>
    <row r="280" spans="2:25" x14ac:dyDescent="0.5">
      <c r="B280" s="30">
        <v>276</v>
      </c>
      <c r="C280" s="30" t="s">
        <v>647</v>
      </c>
      <c r="D280" s="31">
        <v>212217</v>
      </c>
      <c r="E280" s="30" t="s">
        <v>648</v>
      </c>
      <c r="F280" s="53" t="s">
        <v>577</v>
      </c>
      <c r="G280" s="32">
        <v>44302</v>
      </c>
      <c r="H280" s="33">
        <v>0.73286121582172581</v>
      </c>
      <c r="I280" s="30" t="s">
        <v>16</v>
      </c>
      <c r="J280" s="34">
        <v>400460</v>
      </c>
      <c r="K280" s="35" t="s">
        <v>17</v>
      </c>
      <c r="L280" s="36">
        <v>72082.8</v>
      </c>
      <c r="M280" s="30" t="s">
        <v>23</v>
      </c>
      <c r="N280" s="30" t="s">
        <v>24</v>
      </c>
      <c r="O280" s="30" t="s">
        <v>1542</v>
      </c>
      <c r="P280" s="30" t="s">
        <v>1542</v>
      </c>
      <c r="Q280" s="30" t="str">
        <f t="shared" si="20"/>
        <v>AM</v>
      </c>
      <c r="R280" s="30" t="str">
        <f t="shared" si="21"/>
        <v>DM</v>
      </c>
      <c r="S280" s="30" t="str">
        <f>VLOOKUP(M280,'Data - Employee Rights Master'!$C$3:$D$32,2,0)</f>
        <v>AM</v>
      </c>
      <c r="T280" s="30" t="str">
        <f>VLOOKUP(N280,'Data - Employee Rights Master'!$C$3:$D$32,2,0)</f>
        <v>DM</v>
      </c>
      <c r="U280" s="41" t="str">
        <f t="shared" si="22"/>
        <v>PASS</v>
      </c>
      <c r="V280" s="41" t="str">
        <f t="shared" si="23"/>
        <v>NA</v>
      </c>
      <c r="W280" s="30" t="str">
        <f t="shared" si="24"/>
        <v>2122</v>
      </c>
      <c r="X280" s="30" t="str">
        <f>VLOOKUP(MONTH(G280),Key!$F$3:$G$14,2,0)</f>
        <v>Apr</v>
      </c>
      <c r="Y280" s="30" t="str">
        <f>IFERROR(IF(MATCH(F280,'Test 6'!C$5:C$9,0)&gt;0,"RP"),"NON-RP")</f>
        <v>RP</v>
      </c>
    </row>
    <row r="281" spans="2:25" x14ac:dyDescent="0.5">
      <c r="B281" s="30">
        <v>277</v>
      </c>
      <c r="C281" s="30" t="s">
        <v>649</v>
      </c>
      <c r="D281" s="31">
        <v>212218</v>
      </c>
      <c r="E281" s="30" t="s">
        <v>650</v>
      </c>
      <c r="F281" s="53" t="s">
        <v>332</v>
      </c>
      <c r="G281" s="32">
        <v>44303</v>
      </c>
      <c r="H281" s="33">
        <v>0.4693045191057163</v>
      </c>
      <c r="I281" s="30" t="s">
        <v>16</v>
      </c>
      <c r="J281" s="34">
        <v>281550</v>
      </c>
      <c r="K281" s="35" t="s">
        <v>17</v>
      </c>
      <c r="L281" s="36">
        <v>50679</v>
      </c>
      <c r="M281" s="30" t="s">
        <v>28</v>
      </c>
      <c r="N281" s="30" t="s">
        <v>68</v>
      </c>
      <c r="O281" s="30" t="s">
        <v>1542</v>
      </c>
      <c r="P281" s="30" t="s">
        <v>1542</v>
      </c>
      <c r="Q281" s="30" t="str">
        <f t="shared" si="20"/>
        <v>AM</v>
      </c>
      <c r="R281" s="30" t="str">
        <f t="shared" si="21"/>
        <v>DM</v>
      </c>
      <c r="S281" s="30" t="str">
        <f>VLOOKUP(M281,'Data - Employee Rights Master'!$C$3:$D$32,2,0)</f>
        <v>AM</v>
      </c>
      <c r="T281" s="30" t="str">
        <f>VLOOKUP(N281,'Data - Employee Rights Master'!$C$3:$D$32,2,0)</f>
        <v>DM</v>
      </c>
      <c r="U281" s="41" t="str">
        <f t="shared" si="22"/>
        <v>PASS</v>
      </c>
      <c r="V281" s="41" t="str">
        <f t="shared" si="23"/>
        <v>NA</v>
      </c>
      <c r="W281" s="30" t="str">
        <f t="shared" si="24"/>
        <v>2122</v>
      </c>
      <c r="X281" s="30" t="str">
        <f>VLOOKUP(MONTH(G281),Key!$F$3:$G$14,2,0)</f>
        <v>Apr</v>
      </c>
      <c r="Y281" s="30" t="str">
        <f>IFERROR(IF(MATCH(F281,'Test 6'!C$5:C$9,0)&gt;0,"RP"),"NON-RP")</f>
        <v>NON-RP</v>
      </c>
    </row>
    <row r="282" spans="2:25" x14ac:dyDescent="0.5">
      <c r="B282" s="30">
        <v>278</v>
      </c>
      <c r="C282" s="30" t="s">
        <v>651</v>
      </c>
      <c r="D282" s="31">
        <v>212219</v>
      </c>
      <c r="E282" s="30" t="s">
        <v>652</v>
      </c>
      <c r="F282" s="53" t="s">
        <v>60</v>
      </c>
      <c r="G282" s="32">
        <v>44303</v>
      </c>
      <c r="H282" s="33">
        <v>0.44642476800694869</v>
      </c>
      <c r="I282" s="30" t="s">
        <v>16</v>
      </c>
      <c r="J282" s="34">
        <v>283210</v>
      </c>
      <c r="K282" s="35" t="s">
        <v>17</v>
      </c>
      <c r="L282" s="36">
        <v>50977.799999999996</v>
      </c>
      <c r="M282" s="30" t="s">
        <v>46</v>
      </c>
      <c r="N282" s="30" t="s">
        <v>19</v>
      </c>
      <c r="O282" s="30" t="s">
        <v>1542</v>
      </c>
      <c r="P282" s="30" t="s">
        <v>1542</v>
      </c>
      <c r="Q282" s="30" t="str">
        <f t="shared" si="20"/>
        <v>AM</v>
      </c>
      <c r="R282" s="30" t="str">
        <f t="shared" si="21"/>
        <v>DM</v>
      </c>
      <c r="S282" s="30" t="str">
        <f>VLOOKUP(M282,'Data - Employee Rights Master'!$C$3:$D$32,2,0)</f>
        <v>AM</v>
      </c>
      <c r="T282" s="30" t="str">
        <f>VLOOKUP(N282,'Data - Employee Rights Master'!$C$3:$D$32,2,0)</f>
        <v>DM</v>
      </c>
      <c r="U282" s="41" t="str">
        <f t="shared" si="22"/>
        <v>PASS</v>
      </c>
      <c r="V282" s="41" t="str">
        <f t="shared" si="23"/>
        <v>NA</v>
      </c>
      <c r="W282" s="30" t="str">
        <f t="shared" si="24"/>
        <v>2122</v>
      </c>
      <c r="X282" s="30" t="str">
        <f>VLOOKUP(MONTH(G282),Key!$F$3:$G$14,2,0)</f>
        <v>Apr</v>
      </c>
      <c r="Y282" s="30" t="str">
        <f>IFERROR(IF(MATCH(F282,'Test 6'!C$5:C$9,0)&gt;0,"RP"),"NON-RP")</f>
        <v>NON-RP</v>
      </c>
    </row>
    <row r="283" spans="2:25" x14ac:dyDescent="0.5">
      <c r="B283" s="30">
        <v>279</v>
      </c>
      <c r="C283" s="30" t="s">
        <v>653</v>
      </c>
      <c r="D283" s="31">
        <v>212220</v>
      </c>
      <c r="E283" s="30" t="s">
        <v>654</v>
      </c>
      <c r="F283" s="53" t="s">
        <v>84</v>
      </c>
      <c r="G283" s="32">
        <v>44305</v>
      </c>
      <c r="H283" s="33">
        <v>0.72556613051787955</v>
      </c>
      <c r="I283" s="30" t="s">
        <v>16</v>
      </c>
      <c r="J283" s="34">
        <v>277600</v>
      </c>
      <c r="K283" s="35" t="s">
        <v>17</v>
      </c>
      <c r="L283" s="36">
        <v>49968</v>
      </c>
      <c r="M283" s="30" t="s">
        <v>37</v>
      </c>
      <c r="N283" s="30" t="s">
        <v>68</v>
      </c>
      <c r="O283" s="30" t="s">
        <v>1542</v>
      </c>
      <c r="P283" s="30" t="s">
        <v>1542</v>
      </c>
      <c r="Q283" s="30" t="str">
        <f t="shared" si="20"/>
        <v>AM</v>
      </c>
      <c r="R283" s="30" t="str">
        <f t="shared" si="21"/>
        <v>DM</v>
      </c>
      <c r="S283" s="30" t="str">
        <f>VLOOKUP(M283,'Data - Employee Rights Master'!$C$3:$D$32,2,0)</f>
        <v>AM</v>
      </c>
      <c r="T283" s="30" t="str">
        <f>VLOOKUP(N283,'Data - Employee Rights Master'!$C$3:$D$32,2,0)</f>
        <v>DM</v>
      </c>
      <c r="U283" s="41" t="str">
        <f t="shared" si="22"/>
        <v>PASS</v>
      </c>
      <c r="V283" s="41" t="str">
        <f t="shared" si="23"/>
        <v>NA</v>
      </c>
      <c r="W283" s="30" t="str">
        <f t="shared" si="24"/>
        <v>2122</v>
      </c>
      <c r="X283" s="30" t="str">
        <f>VLOOKUP(MONTH(G283),Key!$F$3:$G$14,2,0)</f>
        <v>Apr</v>
      </c>
      <c r="Y283" s="30" t="str">
        <f>IFERROR(IF(MATCH(F283,'Test 6'!C$5:C$9,0)&gt;0,"RP"),"NON-RP")</f>
        <v>NON-RP</v>
      </c>
    </row>
    <row r="284" spans="2:25" x14ac:dyDescent="0.5">
      <c r="B284" s="30">
        <v>280</v>
      </c>
      <c r="C284" s="30" t="s">
        <v>655</v>
      </c>
      <c r="D284" s="31">
        <v>212221</v>
      </c>
      <c r="E284" s="30" t="s">
        <v>656</v>
      </c>
      <c r="F284" s="53" t="s">
        <v>269</v>
      </c>
      <c r="G284" s="32">
        <v>44305</v>
      </c>
      <c r="H284" s="33">
        <v>0.49675669700460834</v>
      </c>
      <c r="I284" s="30" t="s">
        <v>16</v>
      </c>
      <c r="J284" s="34">
        <v>24700</v>
      </c>
      <c r="K284" s="35" t="s">
        <v>17</v>
      </c>
      <c r="L284" s="36">
        <v>4446</v>
      </c>
      <c r="M284" s="30" t="s">
        <v>168</v>
      </c>
      <c r="N284" s="30" t="s">
        <v>28</v>
      </c>
      <c r="O284" s="30" t="s">
        <v>1542</v>
      </c>
      <c r="P284" s="30" t="s">
        <v>1542</v>
      </c>
      <c r="Q284" s="30" t="str">
        <f t="shared" si="20"/>
        <v>SE</v>
      </c>
      <c r="R284" s="30" t="str">
        <f t="shared" si="21"/>
        <v>AM</v>
      </c>
      <c r="S284" s="30" t="str">
        <f>VLOOKUP(M284,'Data - Employee Rights Master'!$C$3:$D$32,2,0)</f>
        <v>SE</v>
      </c>
      <c r="T284" s="30" t="str">
        <f>VLOOKUP(N284,'Data - Employee Rights Master'!$C$3:$D$32,2,0)</f>
        <v>AM</v>
      </c>
      <c r="U284" s="41" t="str">
        <f t="shared" si="22"/>
        <v>PASS</v>
      </c>
      <c r="V284" s="41" t="str">
        <f t="shared" si="23"/>
        <v>NA</v>
      </c>
      <c r="W284" s="30" t="str">
        <f t="shared" si="24"/>
        <v>2122</v>
      </c>
      <c r="X284" s="30" t="str">
        <f>VLOOKUP(MONTH(G284),Key!$F$3:$G$14,2,0)</f>
        <v>Apr</v>
      </c>
      <c r="Y284" s="30" t="str">
        <f>IFERROR(IF(MATCH(F284,'Test 6'!C$5:C$9,0)&gt;0,"RP"),"NON-RP")</f>
        <v>NON-RP</v>
      </c>
    </row>
    <row r="285" spans="2:25" x14ac:dyDescent="0.5">
      <c r="B285" s="30">
        <v>281</v>
      </c>
      <c r="C285" s="30" t="s">
        <v>657</v>
      </c>
      <c r="D285" s="31">
        <v>212222</v>
      </c>
      <c r="E285" s="30" t="s">
        <v>658</v>
      </c>
      <c r="F285" s="53" t="s">
        <v>187</v>
      </c>
      <c r="G285" s="32">
        <v>44305</v>
      </c>
      <c r="H285" s="33">
        <v>0.49250767562739151</v>
      </c>
      <c r="I285" s="30" t="s">
        <v>16</v>
      </c>
      <c r="J285" s="34">
        <v>449990</v>
      </c>
      <c r="K285" s="35" t="s">
        <v>17</v>
      </c>
      <c r="L285" s="36">
        <v>80998.2</v>
      </c>
      <c r="M285" s="30" t="s">
        <v>18</v>
      </c>
      <c r="N285" s="30" t="s">
        <v>51</v>
      </c>
      <c r="O285" s="30" t="s">
        <v>1542</v>
      </c>
      <c r="P285" s="30" t="s">
        <v>1542</v>
      </c>
      <c r="Q285" s="30" t="str">
        <f t="shared" si="20"/>
        <v>AM</v>
      </c>
      <c r="R285" s="30" t="str">
        <f t="shared" si="21"/>
        <v>DM</v>
      </c>
      <c r="S285" s="30" t="str">
        <f>VLOOKUP(M285,'Data - Employee Rights Master'!$C$3:$D$32,2,0)</f>
        <v>AM</v>
      </c>
      <c r="T285" s="30" t="str">
        <f>VLOOKUP(N285,'Data - Employee Rights Master'!$C$3:$D$32,2,0)</f>
        <v>DM</v>
      </c>
      <c r="U285" s="41" t="str">
        <f t="shared" si="22"/>
        <v>PASS</v>
      </c>
      <c r="V285" s="41" t="str">
        <f t="shared" si="23"/>
        <v>NA</v>
      </c>
      <c r="W285" s="30" t="str">
        <f t="shared" si="24"/>
        <v>2122</v>
      </c>
      <c r="X285" s="30" t="str">
        <f>VLOOKUP(MONTH(G285),Key!$F$3:$G$14,2,0)</f>
        <v>Apr</v>
      </c>
      <c r="Y285" s="30" t="str">
        <f>IFERROR(IF(MATCH(F285,'Test 6'!C$5:C$9,0)&gt;0,"RP"),"NON-RP")</f>
        <v>NON-RP</v>
      </c>
    </row>
    <row r="286" spans="2:25" x14ac:dyDescent="0.5">
      <c r="B286" s="30">
        <v>282</v>
      </c>
      <c r="C286" s="30" t="s">
        <v>659</v>
      </c>
      <c r="D286" s="31">
        <v>212223</v>
      </c>
      <c r="E286" s="30" t="s">
        <v>660</v>
      </c>
      <c r="F286" s="53" t="s">
        <v>114</v>
      </c>
      <c r="G286" s="32">
        <v>44305</v>
      </c>
      <c r="H286" s="33">
        <v>0.70896049808696648</v>
      </c>
      <c r="I286" s="30" t="s">
        <v>16</v>
      </c>
      <c r="J286" s="34">
        <v>397160</v>
      </c>
      <c r="K286" s="35" t="s">
        <v>17</v>
      </c>
      <c r="L286" s="36">
        <v>71488.800000000003</v>
      </c>
      <c r="M286" s="30" t="s">
        <v>61</v>
      </c>
      <c r="N286" s="30" t="s">
        <v>19</v>
      </c>
      <c r="O286" s="30" t="s">
        <v>1542</v>
      </c>
      <c r="P286" s="30" t="s">
        <v>1542</v>
      </c>
      <c r="Q286" s="30" t="str">
        <f t="shared" si="20"/>
        <v>AM</v>
      </c>
      <c r="R286" s="30" t="str">
        <f t="shared" si="21"/>
        <v>DM</v>
      </c>
      <c r="S286" s="30" t="str">
        <f>VLOOKUP(M286,'Data - Employee Rights Master'!$C$3:$D$32,2,0)</f>
        <v>AM</v>
      </c>
      <c r="T286" s="30" t="str">
        <f>VLOOKUP(N286,'Data - Employee Rights Master'!$C$3:$D$32,2,0)</f>
        <v>DM</v>
      </c>
      <c r="U286" s="41" t="str">
        <f t="shared" si="22"/>
        <v>PASS</v>
      </c>
      <c r="V286" s="41" t="str">
        <f t="shared" si="23"/>
        <v>NA</v>
      </c>
      <c r="W286" s="30" t="str">
        <f t="shared" si="24"/>
        <v>2122</v>
      </c>
      <c r="X286" s="30" t="str">
        <f>VLOOKUP(MONTH(G286),Key!$F$3:$G$14,2,0)</f>
        <v>Apr</v>
      </c>
      <c r="Y286" s="30" t="str">
        <f>IFERROR(IF(MATCH(F286,'Test 6'!C$5:C$9,0)&gt;0,"RP"),"NON-RP")</f>
        <v>NON-RP</v>
      </c>
    </row>
    <row r="287" spans="2:25" x14ac:dyDescent="0.5">
      <c r="B287" s="30">
        <v>283</v>
      </c>
      <c r="C287" s="30" t="s">
        <v>661</v>
      </c>
      <c r="D287" s="31">
        <v>212224</v>
      </c>
      <c r="E287" s="30" t="s">
        <v>662</v>
      </c>
      <c r="F287" s="53" t="s">
        <v>72</v>
      </c>
      <c r="G287" s="32">
        <v>44306</v>
      </c>
      <c r="H287" s="33">
        <v>0.46369885443325742</v>
      </c>
      <c r="I287" s="30" t="s">
        <v>16</v>
      </c>
      <c r="J287" s="34">
        <v>428840</v>
      </c>
      <c r="K287" s="35" t="s">
        <v>17</v>
      </c>
      <c r="L287" s="36">
        <v>77191.199999999997</v>
      </c>
      <c r="M287" s="30" t="s">
        <v>23</v>
      </c>
      <c r="N287" s="30" t="s">
        <v>47</v>
      </c>
      <c r="O287" s="30" t="s">
        <v>1542</v>
      </c>
      <c r="P287" s="30" t="s">
        <v>1542</v>
      </c>
      <c r="Q287" s="30" t="str">
        <f t="shared" si="20"/>
        <v>AM</v>
      </c>
      <c r="R287" s="30" t="str">
        <f t="shared" si="21"/>
        <v>DM</v>
      </c>
      <c r="S287" s="30" t="str">
        <f>VLOOKUP(M287,'Data - Employee Rights Master'!$C$3:$D$32,2,0)</f>
        <v>AM</v>
      </c>
      <c r="T287" s="30" t="str">
        <f>VLOOKUP(N287,'Data - Employee Rights Master'!$C$3:$D$32,2,0)</f>
        <v>DM</v>
      </c>
      <c r="U287" s="41" t="str">
        <f t="shared" si="22"/>
        <v>PASS</v>
      </c>
      <c r="V287" s="41" t="str">
        <f t="shared" si="23"/>
        <v>NA</v>
      </c>
      <c r="W287" s="30" t="str">
        <f t="shared" si="24"/>
        <v>2122</v>
      </c>
      <c r="X287" s="30" t="str">
        <f>VLOOKUP(MONTH(G287),Key!$F$3:$G$14,2,0)</f>
        <v>Apr</v>
      </c>
      <c r="Y287" s="30" t="str">
        <f>IFERROR(IF(MATCH(F287,'Test 6'!C$5:C$9,0)&gt;0,"RP"),"NON-RP")</f>
        <v>NON-RP</v>
      </c>
    </row>
    <row r="288" spans="2:25" x14ac:dyDescent="0.5">
      <c r="B288" s="30">
        <v>284</v>
      </c>
      <c r="C288" s="30" t="s">
        <v>663</v>
      </c>
      <c r="D288" s="31">
        <v>212225</v>
      </c>
      <c r="E288" s="30" t="s">
        <v>664</v>
      </c>
      <c r="F288" s="53" t="s">
        <v>64</v>
      </c>
      <c r="G288" s="32">
        <v>44308</v>
      </c>
      <c r="H288" s="33">
        <v>0.50194501290903315</v>
      </c>
      <c r="I288" s="30" t="s">
        <v>16</v>
      </c>
      <c r="J288" s="34">
        <v>397150</v>
      </c>
      <c r="K288" s="35" t="s">
        <v>17</v>
      </c>
      <c r="L288" s="36">
        <v>71487</v>
      </c>
      <c r="M288" s="30" t="s">
        <v>46</v>
      </c>
      <c r="N288" s="30" t="s">
        <v>47</v>
      </c>
      <c r="O288" s="30" t="s">
        <v>1542</v>
      </c>
      <c r="P288" s="30" t="s">
        <v>1542</v>
      </c>
      <c r="Q288" s="30" t="str">
        <f t="shared" si="20"/>
        <v>AM</v>
      </c>
      <c r="R288" s="30" t="str">
        <f t="shared" si="21"/>
        <v>DM</v>
      </c>
      <c r="S288" s="30" t="str">
        <f>VLOOKUP(M288,'Data - Employee Rights Master'!$C$3:$D$32,2,0)</f>
        <v>AM</v>
      </c>
      <c r="T288" s="30" t="str">
        <f>VLOOKUP(N288,'Data - Employee Rights Master'!$C$3:$D$32,2,0)</f>
        <v>DM</v>
      </c>
      <c r="U288" s="41" t="str">
        <f t="shared" si="22"/>
        <v>PASS</v>
      </c>
      <c r="V288" s="41" t="str">
        <f t="shared" si="23"/>
        <v>NA</v>
      </c>
      <c r="W288" s="30" t="str">
        <f t="shared" si="24"/>
        <v>2122</v>
      </c>
      <c r="X288" s="30" t="str">
        <f>VLOOKUP(MONTH(G288),Key!$F$3:$G$14,2,0)</f>
        <v>Apr</v>
      </c>
      <c r="Y288" s="30" t="str">
        <f>IFERROR(IF(MATCH(F288,'Test 6'!C$5:C$9,0)&gt;0,"RP"),"NON-RP")</f>
        <v>NON-RP</v>
      </c>
    </row>
    <row r="289" spans="2:25" x14ac:dyDescent="0.5">
      <c r="B289" s="30">
        <v>285</v>
      </c>
      <c r="C289" s="30" t="s">
        <v>665</v>
      </c>
      <c r="D289" s="31">
        <v>212226</v>
      </c>
      <c r="E289" s="30" t="s">
        <v>666</v>
      </c>
      <c r="F289" s="53" t="s">
        <v>50</v>
      </c>
      <c r="G289" s="32">
        <v>44308</v>
      </c>
      <c r="H289" s="33">
        <v>0.57616679735017429</v>
      </c>
      <c r="I289" s="30" t="s">
        <v>16</v>
      </c>
      <c r="J289" s="34">
        <v>413530</v>
      </c>
      <c r="K289" s="35" t="s">
        <v>17</v>
      </c>
      <c r="L289" s="36">
        <v>74435.399999999994</v>
      </c>
      <c r="M289" s="30" t="s">
        <v>32</v>
      </c>
      <c r="N289" s="30" t="s">
        <v>24</v>
      </c>
      <c r="O289" s="30" t="s">
        <v>1542</v>
      </c>
      <c r="P289" s="30" t="s">
        <v>1542</v>
      </c>
      <c r="Q289" s="30" t="str">
        <f t="shared" si="20"/>
        <v>AM</v>
      </c>
      <c r="R289" s="30" t="str">
        <f t="shared" si="21"/>
        <v>DM</v>
      </c>
      <c r="S289" s="30" t="str">
        <f>VLOOKUP(M289,'Data - Employee Rights Master'!$C$3:$D$32,2,0)</f>
        <v>AM</v>
      </c>
      <c r="T289" s="30" t="str">
        <f>VLOOKUP(N289,'Data - Employee Rights Master'!$C$3:$D$32,2,0)</f>
        <v>DM</v>
      </c>
      <c r="U289" s="41" t="str">
        <f t="shared" si="22"/>
        <v>PASS</v>
      </c>
      <c r="V289" s="41" t="str">
        <f t="shared" si="23"/>
        <v>NA</v>
      </c>
      <c r="W289" s="30" t="str">
        <f t="shared" si="24"/>
        <v>2122</v>
      </c>
      <c r="X289" s="30" t="str">
        <f>VLOOKUP(MONTH(G289),Key!$F$3:$G$14,2,0)</f>
        <v>Apr</v>
      </c>
      <c r="Y289" s="30" t="str">
        <f>IFERROR(IF(MATCH(F289,'Test 6'!C$5:C$9,0)&gt;0,"RP"),"NON-RP")</f>
        <v>NON-RP</v>
      </c>
    </row>
    <row r="290" spans="2:25" x14ac:dyDescent="0.5">
      <c r="B290" s="30">
        <v>286</v>
      </c>
      <c r="C290" s="30" t="s">
        <v>667</v>
      </c>
      <c r="D290" s="31">
        <v>212227</v>
      </c>
      <c r="E290" s="30" t="s">
        <v>668</v>
      </c>
      <c r="F290" s="53" t="s">
        <v>15</v>
      </c>
      <c r="G290" s="32">
        <v>44309</v>
      </c>
      <c r="H290" s="33">
        <v>0.67335251062583179</v>
      </c>
      <c r="I290" s="30" t="s">
        <v>16</v>
      </c>
      <c r="J290" s="34">
        <v>489190</v>
      </c>
      <c r="K290" s="35" t="s">
        <v>17</v>
      </c>
      <c r="L290" s="36">
        <v>88054.2</v>
      </c>
      <c r="M290" s="30" t="s">
        <v>28</v>
      </c>
      <c r="N290" s="30" t="s">
        <v>24</v>
      </c>
      <c r="O290" s="30" t="s">
        <v>1542</v>
      </c>
      <c r="P290" s="30" t="s">
        <v>1542</v>
      </c>
      <c r="Q290" s="30" t="str">
        <f t="shared" si="20"/>
        <v>AM</v>
      </c>
      <c r="R290" s="30" t="str">
        <f t="shared" si="21"/>
        <v>DM</v>
      </c>
      <c r="S290" s="30" t="str">
        <f>VLOOKUP(M290,'Data - Employee Rights Master'!$C$3:$D$32,2,0)</f>
        <v>AM</v>
      </c>
      <c r="T290" s="30" t="str">
        <f>VLOOKUP(N290,'Data - Employee Rights Master'!$C$3:$D$32,2,0)</f>
        <v>DM</v>
      </c>
      <c r="U290" s="41" t="str">
        <f t="shared" si="22"/>
        <v>PASS</v>
      </c>
      <c r="V290" s="41" t="str">
        <f t="shared" si="23"/>
        <v>NA</v>
      </c>
      <c r="W290" s="30" t="str">
        <f t="shared" si="24"/>
        <v>2122</v>
      </c>
      <c r="X290" s="30" t="str">
        <f>VLOOKUP(MONTH(G290),Key!$F$3:$G$14,2,0)</f>
        <v>Apr</v>
      </c>
      <c r="Y290" s="30" t="str">
        <f>IFERROR(IF(MATCH(F290,'Test 6'!C$5:C$9,0)&gt;0,"RP"),"NON-RP")</f>
        <v>NON-RP</v>
      </c>
    </row>
    <row r="291" spans="2:25" x14ac:dyDescent="0.5">
      <c r="B291" s="30">
        <v>287</v>
      </c>
      <c r="C291" s="30" t="s">
        <v>669</v>
      </c>
      <c r="D291" s="31">
        <v>212228</v>
      </c>
      <c r="E291" s="30" t="s">
        <v>670</v>
      </c>
      <c r="F291" s="53" t="s">
        <v>241</v>
      </c>
      <c r="G291" s="32">
        <v>44312</v>
      </c>
      <c r="H291" s="33">
        <v>0.57502788437196184</v>
      </c>
      <c r="I291" s="30" t="s">
        <v>16</v>
      </c>
      <c r="J291" s="34">
        <v>274850</v>
      </c>
      <c r="K291" s="35" t="s">
        <v>17</v>
      </c>
      <c r="L291" s="36">
        <v>49473</v>
      </c>
      <c r="M291" s="30" t="s">
        <v>28</v>
      </c>
      <c r="N291" s="30" t="s">
        <v>68</v>
      </c>
      <c r="O291" s="30" t="s">
        <v>1542</v>
      </c>
      <c r="P291" s="30" t="s">
        <v>1542</v>
      </c>
      <c r="Q291" s="30" t="str">
        <f t="shared" si="20"/>
        <v>AM</v>
      </c>
      <c r="R291" s="30" t="str">
        <f t="shared" si="21"/>
        <v>DM</v>
      </c>
      <c r="S291" s="30" t="str">
        <f>VLOOKUP(M291,'Data - Employee Rights Master'!$C$3:$D$32,2,0)</f>
        <v>AM</v>
      </c>
      <c r="T291" s="30" t="str">
        <f>VLOOKUP(N291,'Data - Employee Rights Master'!$C$3:$D$32,2,0)</f>
        <v>DM</v>
      </c>
      <c r="U291" s="41" t="str">
        <f t="shared" si="22"/>
        <v>PASS</v>
      </c>
      <c r="V291" s="41" t="str">
        <f t="shared" si="23"/>
        <v>NA</v>
      </c>
      <c r="W291" s="30" t="str">
        <f t="shared" si="24"/>
        <v>2122</v>
      </c>
      <c r="X291" s="30" t="str">
        <f>VLOOKUP(MONTH(G291),Key!$F$3:$G$14,2,0)</f>
        <v>Apr</v>
      </c>
      <c r="Y291" s="30" t="str">
        <f>IFERROR(IF(MATCH(F291,'Test 6'!C$5:C$9,0)&gt;0,"RP"),"NON-RP")</f>
        <v>RP</v>
      </c>
    </row>
    <row r="292" spans="2:25" x14ac:dyDescent="0.5">
      <c r="B292" s="30">
        <v>288</v>
      </c>
      <c r="C292" s="30" t="s">
        <v>671</v>
      </c>
      <c r="D292" s="31">
        <v>212229</v>
      </c>
      <c r="E292" s="30" t="s">
        <v>672</v>
      </c>
      <c r="F292" s="53" t="s">
        <v>54</v>
      </c>
      <c r="G292" s="32">
        <v>44312</v>
      </c>
      <c r="H292" s="33">
        <v>0.69138130653292329</v>
      </c>
      <c r="I292" s="30" t="s">
        <v>16</v>
      </c>
      <c r="J292" s="34">
        <v>333930</v>
      </c>
      <c r="K292" s="35" t="s">
        <v>17</v>
      </c>
      <c r="L292" s="36">
        <v>60107.399999999994</v>
      </c>
      <c r="M292" s="30" t="s">
        <v>28</v>
      </c>
      <c r="N292" s="30" t="s">
        <v>47</v>
      </c>
      <c r="O292" s="30" t="s">
        <v>1542</v>
      </c>
      <c r="P292" s="30" t="s">
        <v>1542</v>
      </c>
      <c r="Q292" s="30" t="str">
        <f t="shared" si="20"/>
        <v>AM</v>
      </c>
      <c r="R292" s="30" t="str">
        <f t="shared" si="21"/>
        <v>DM</v>
      </c>
      <c r="S292" s="30" t="str">
        <f>VLOOKUP(M292,'Data - Employee Rights Master'!$C$3:$D$32,2,0)</f>
        <v>AM</v>
      </c>
      <c r="T292" s="30" t="str">
        <f>VLOOKUP(N292,'Data - Employee Rights Master'!$C$3:$D$32,2,0)</f>
        <v>DM</v>
      </c>
      <c r="U292" s="41" t="str">
        <f t="shared" si="22"/>
        <v>PASS</v>
      </c>
      <c r="V292" s="41" t="str">
        <f t="shared" si="23"/>
        <v>NA</v>
      </c>
      <c r="W292" s="30" t="str">
        <f t="shared" si="24"/>
        <v>2122</v>
      </c>
      <c r="X292" s="30" t="str">
        <f>VLOOKUP(MONTH(G292),Key!$F$3:$G$14,2,0)</f>
        <v>Apr</v>
      </c>
      <c r="Y292" s="30" t="str">
        <f>IFERROR(IF(MATCH(F292,'Test 6'!C$5:C$9,0)&gt;0,"RP"),"NON-RP")</f>
        <v>NON-RP</v>
      </c>
    </row>
    <row r="293" spans="2:25" x14ac:dyDescent="0.5">
      <c r="B293" s="30">
        <v>289</v>
      </c>
      <c r="C293" s="30" t="s">
        <v>673</v>
      </c>
      <c r="D293" s="31">
        <v>212230</v>
      </c>
      <c r="E293" s="30" t="s">
        <v>674</v>
      </c>
      <c r="F293" s="53" t="s">
        <v>122</v>
      </c>
      <c r="G293" s="32">
        <v>44312</v>
      </c>
      <c r="H293" s="33">
        <v>0.72444562217579578</v>
      </c>
      <c r="I293" s="30" t="s">
        <v>16</v>
      </c>
      <c r="J293" s="34">
        <v>330040</v>
      </c>
      <c r="K293" s="35" t="s">
        <v>17</v>
      </c>
      <c r="L293" s="36">
        <v>59407.199999999997</v>
      </c>
      <c r="M293" s="30" t="s">
        <v>46</v>
      </c>
      <c r="N293" s="30" t="s">
        <v>47</v>
      </c>
      <c r="O293" s="30" t="s">
        <v>1542</v>
      </c>
      <c r="P293" s="30" t="s">
        <v>1542</v>
      </c>
      <c r="Q293" s="30" t="str">
        <f t="shared" si="20"/>
        <v>AM</v>
      </c>
      <c r="R293" s="30" t="str">
        <f t="shared" si="21"/>
        <v>DM</v>
      </c>
      <c r="S293" s="30" t="str">
        <f>VLOOKUP(M293,'Data - Employee Rights Master'!$C$3:$D$32,2,0)</f>
        <v>AM</v>
      </c>
      <c r="T293" s="30" t="str">
        <f>VLOOKUP(N293,'Data - Employee Rights Master'!$C$3:$D$32,2,0)</f>
        <v>DM</v>
      </c>
      <c r="U293" s="41" t="str">
        <f t="shared" si="22"/>
        <v>PASS</v>
      </c>
      <c r="V293" s="41" t="str">
        <f t="shared" si="23"/>
        <v>NA</v>
      </c>
      <c r="W293" s="30" t="str">
        <f t="shared" si="24"/>
        <v>2122</v>
      </c>
      <c r="X293" s="30" t="str">
        <f>VLOOKUP(MONTH(G293),Key!$F$3:$G$14,2,0)</f>
        <v>Apr</v>
      </c>
      <c r="Y293" s="30" t="str">
        <f>IFERROR(IF(MATCH(F293,'Test 6'!C$5:C$9,0)&gt;0,"RP"),"NON-RP")</f>
        <v>NON-RP</v>
      </c>
    </row>
    <row r="294" spans="2:25" x14ac:dyDescent="0.5">
      <c r="B294" s="30">
        <v>290</v>
      </c>
      <c r="C294" s="30" t="s">
        <v>675</v>
      </c>
      <c r="D294" s="31">
        <v>212231</v>
      </c>
      <c r="E294" s="30" t="s">
        <v>676</v>
      </c>
      <c r="F294" s="53" t="s">
        <v>95</v>
      </c>
      <c r="G294" s="32">
        <v>44313</v>
      </c>
      <c r="H294" s="33">
        <v>0.62757193939970668</v>
      </c>
      <c r="I294" s="30" t="s">
        <v>16</v>
      </c>
      <c r="J294" s="34">
        <v>212740</v>
      </c>
      <c r="K294" s="35" t="s">
        <v>17</v>
      </c>
      <c r="L294" s="36">
        <v>38293.199999999997</v>
      </c>
      <c r="M294" s="30" t="s">
        <v>32</v>
      </c>
      <c r="N294" s="30" t="s">
        <v>24</v>
      </c>
      <c r="O294" s="30" t="s">
        <v>1542</v>
      </c>
      <c r="P294" s="30" t="s">
        <v>1542</v>
      </c>
      <c r="Q294" s="30" t="str">
        <f t="shared" si="20"/>
        <v>AM</v>
      </c>
      <c r="R294" s="30" t="str">
        <f t="shared" si="21"/>
        <v>DM</v>
      </c>
      <c r="S294" s="30" t="str">
        <f>VLOOKUP(M294,'Data - Employee Rights Master'!$C$3:$D$32,2,0)</f>
        <v>AM</v>
      </c>
      <c r="T294" s="30" t="str">
        <f>VLOOKUP(N294,'Data - Employee Rights Master'!$C$3:$D$32,2,0)</f>
        <v>DM</v>
      </c>
      <c r="U294" s="41" t="str">
        <f t="shared" si="22"/>
        <v>PASS</v>
      </c>
      <c r="V294" s="41" t="str">
        <f t="shared" si="23"/>
        <v>NA</v>
      </c>
      <c r="W294" s="30" t="str">
        <f t="shared" si="24"/>
        <v>2122</v>
      </c>
      <c r="X294" s="30" t="str">
        <f>VLOOKUP(MONTH(G294),Key!$F$3:$G$14,2,0)</f>
        <v>Apr</v>
      </c>
      <c r="Y294" s="30" t="str">
        <f>IFERROR(IF(MATCH(F294,'Test 6'!C$5:C$9,0)&gt;0,"RP"),"NON-RP")</f>
        <v>NON-RP</v>
      </c>
    </row>
    <row r="295" spans="2:25" x14ac:dyDescent="0.5">
      <c r="B295" s="30">
        <v>291</v>
      </c>
      <c r="C295" s="30" t="s">
        <v>677</v>
      </c>
      <c r="D295" s="31">
        <v>212232</v>
      </c>
      <c r="E295" s="30" t="s">
        <v>678</v>
      </c>
      <c r="F295" s="53" t="s">
        <v>143</v>
      </c>
      <c r="G295" s="32">
        <v>44315</v>
      </c>
      <c r="H295" s="33">
        <v>0.64385439291405933</v>
      </c>
      <c r="I295" s="30" t="s">
        <v>16</v>
      </c>
      <c r="J295" s="34">
        <v>229650</v>
      </c>
      <c r="K295" s="35" t="s">
        <v>17</v>
      </c>
      <c r="L295" s="36">
        <v>41337</v>
      </c>
      <c r="M295" s="30" t="s">
        <v>28</v>
      </c>
      <c r="N295" s="30" t="s">
        <v>24</v>
      </c>
      <c r="O295" s="30" t="s">
        <v>1542</v>
      </c>
      <c r="P295" s="30" t="s">
        <v>1542</v>
      </c>
      <c r="Q295" s="30" t="str">
        <f t="shared" si="20"/>
        <v>AM</v>
      </c>
      <c r="R295" s="30" t="str">
        <f t="shared" si="21"/>
        <v>DM</v>
      </c>
      <c r="S295" s="30" t="str">
        <f>VLOOKUP(M295,'Data - Employee Rights Master'!$C$3:$D$32,2,0)</f>
        <v>AM</v>
      </c>
      <c r="T295" s="30" t="str">
        <f>VLOOKUP(N295,'Data - Employee Rights Master'!$C$3:$D$32,2,0)</f>
        <v>DM</v>
      </c>
      <c r="U295" s="41" t="str">
        <f t="shared" si="22"/>
        <v>PASS</v>
      </c>
      <c r="V295" s="41" t="str">
        <f t="shared" si="23"/>
        <v>NA</v>
      </c>
      <c r="W295" s="30" t="str">
        <f t="shared" si="24"/>
        <v>2122</v>
      </c>
      <c r="X295" s="30" t="str">
        <f>VLOOKUP(MONTH(G295),Key!$F$3:$G$14,2,0)</f>
        <v>Apr</v>
      </c>
      <c r="Y295" s="30" t="str">
        <f>IFERROR(IF(MATCH(F295,'Test 6'!C$5:C$9,0)&gt;0,"RP"),"NON-RP")</f>
        <v>NON-RP</v>
      </c>
    </row>
    <row r="296" spans="2:25" x14ac:dyDescent="0.5">
      <c r="B296" s="30">
        <v>292</v>
      </c>
      <c r="C296" s="30" t="s">
        <v>679</v>
      </c>
      <c r="D296" s="31">
        <v>212233</v>
      </c>
      <c r="E296" s="30" t="s">
        <v>680</v>
      </c>
      <c r="F296" s="53" t="s">
        <v>40</v>
      </c>
      <c r="G296" s="32">
        <v>44316</v>
      </c>
      <c r="H296" s="33">
        <v>0.48458085734902956</v>
      </c>
      <c r="I296" s="30" t="s">
        <v>16</v>
      </c>
      <c r="J296" s="34">
        <v>276090</v>
      </c>
      <c r="K296" s="35" t="s">
        <v>17</v>
      </c>
      <c r="L296" s="36">
        <v>49696.2</v>
      </c>
      <c r="M296" s="30" t="s">
        <v>46</v>
      </c>
      <c r="N296" s="30" t="s">
        <v>19</v>
      </c>
      <c r="O296" s="30" t="s">
        <v>1542</v>
      </c>
      <c r="P296" s="30" t="s">
        <v>1542</v>
      </c>
      <c r="Q296" s="30" t="str">
        <f t="shared" si="20"/>
        <v>AM</v>
      </c>
      <c r="R296" s="30" t="str">
        <f t="shared" si="21"/>
        <v>DM</v>
      </c>
      <c r="S296" s="30" t="str">
        <f>VLOOKUP(M296,'Data - Employee Rights Master'!$C$3:$D$32,2,0)</f>
        <v>AM</v>
      </c>
      <c r="T296" s="30" t="str">
        <f>VLOOKUP(N296,'Data - Employee Rights Master'!$C$3:$D$32,2,0)</f>
        <v>DM</v>
      </c>
      <c r="U296" s="41" t="str">
        <f t="shared" si="22"/>
        <v>PASS</v>
      </c>
      <c r="V296" s="41" t="str">
        <f t="shared" si="23"/>
        <v>NA</v>
      </c>
      <c r="W296" s="30" t="str">
        <f t="shared" si="24"/>
        <v>2122</v>
      </c>
      <c r="X296" s="30" t="str">
        <f>VLOOKUP(MONTH(G296),Key!$F$3:$G$14,2,0)</f>
        <v>Apr</v>
      </c>
      <c r="Y296" s="30" t="str">
        <f>IFERROR(IF(MATCH(F296,'Test 6'!C$5:C$9,0)&gt;0,"RP"),"NON-RP")</f>
        <v>NON-RP</v>
      </c>
    </row>
    <row r="297" spans="2:25" x14ac:dyDescent="0.5">
      <c r="B297" s="30">
        <v>293</v>
      </c>
      <c r="C297" s="30" t="s">
        <v>681</v>
      </c>
      <c r="D297" s="31">
        <v>212234</v>
      </c>
      <c r="E297" s="30" t="s">
        <v>682</v>
      </c>
      <c r="F297" s="53" t="s">
        <v>84</v>
      </c>
      <c r="G297" s="32">
        <v>44316</v>
      </c>
      <c r="H297" s="33">
        <v>0.42642045558864333</v>
      </c>
      <c r="I297" s="30" t="s">
        <v>16</v>
      </c>
      <c r="J297" s="34">
        <v>250910</v>
      </c>
      <c r="K297" s="35" t="s">
        <v>17</v>
      </c>
      <c r="L297" s="36">
        <v>45163.799999999996</v>
      </c>
      <c r="M297" s="30" t="s">
        <v>28</v>
      </c>
      <c r="N297" s="30" t="s">
        <v>47</v>
      </c>
      <c r="O297" s="30" t="s">
        <v>1542</v>
      </c>
      <c r="P297" s="30" t="s">
        <v>1542</v>
      </c>
      <c r="Q297" s="30" t="str">
        <f t="shared" si="20"/>
        <v>AM</v>
      </c>
      <c r="R297" s="30" t="str">
        <f t="shared" si="21"/>
        <v>DM</v>
      </c>
      <c r="S297" s="30" t="str">
        <f>VLOOKUP(M297,'Data - Employee Rights Master'!$C$3:$D$32,2,0)</f>
        <v>AM</v>
      </c>
      <c r="T297" s="30" t="str">
        <f>VLOOKUP(N297,'Data - Employee Rights Master'!$C$3:$D$32,2,0)</f>
        <v>DM</v>
      </c>
      <c r="U297" s="41" t="str">
        <f t="shared" si="22"/>
        <v>PASS</v>
      </c>
      <c r="V297" s="41" t="str">
        <f t="shared" si="23"/>
        <v>NA</v>
      </c>
      <c r="W297" s="30" t="str">
        <f t="shared" si="24"/>
        <v>2122</v>
      </c>
      <c r="X297" s="30" t="str">
        <f>VLOOKUP(MONTH(G297),Key!$F$3:$G$14,2,0)</f>
        <v>Apr</v>
      </c>
      <c r="Y297" s="30" t="str">
        <f>IFERROR(IF(MATCH(F297,'Test 6'!C$5:C$9,0)&gt;0,"RP"),"NON-RP")</f>
        <v>NON-RP</v>
      </c>
    </row>
    <row r="298" spans="2:25" x14ac:dyDescent="0.5">
      <c r="B298" s="30">
        <v>294</v>
      </c>
      <c r="C298" s="30" t="s">
        <v>683</v>
      </c>
      <c r="D298" s="31">
        <v>212235</v>
      </c>
      <c r="E298" s="30" t="s">
        <v>684</v>
      </c>
      <c r="F298" s="53" t="s">
        <v>175</v>
      </c>
      <c r="G298" s="32">
        <v>44317</v>
      </c>
      <c r="H298" s="33">
        <v>0.61953961999221263</v>
      </c>
      <c r="I298" s="30" t="s">
        <v>96</v>
      </c>
      <c r="J298" s="34">
        <v>498030</v>
      </c>
      <c r="K298" s="35" t="s">
        <v>17</v>
      </c>
      <c r="L298" s="36">
        <v>89645.4</v>
      </c>
      <c r="M298" s="30" t="s">
        <v>46</v>
      </c>
      <c r="N298" s="30" t="s">
        <v>68</v>
      </c>
      <c r="O298" s="30" t="s">
        <v>1542</v>
      </c>
      <c r="P298" s="30" t="s">
        <v>1542</v>
      </c>
      <c r="Q298" s="30" t="str">
        <f t="shared" si="20"/>
        <v>AM</v>
      </c>
      <c r="R298" s="30" t="str">
        <f t="shared" si="21"/>
        <v>DM</v>
      </c>
      <c r="S298" s="30" t="str">
        <f>VLOOKUP(M298,'Data - Employee Rights Master'!$C$3:$D$32,2,0)</f>
        <v>AM</v>
      </c>
      <c r="T298" s="30" t="str">
        <f>VLOOKUP(N298,'Data - Employee Rights Master'!$C$3:$D$32,2,0)</f>
        <v>DM</v>
      </c>
      <c r="U298" s="41" t="str">
        <f t="shared" si="22"/>
        <v>PASS</v>
      </c>
      <c r="V298" s="41" t="str">
        <f t="shared" si="23"/>
        <v>NA</v>
      </c>
      <c r="W298" s="30" t="str">
        <f t="shared" si="24"/>
        <v>2122</v>
      </c>
      <c r="X298" s="30" t="str">
        <f>VLOOKUP(MONTH(G298),Key!$F$3:$G$14,2,0)</f>
        <v>May</v>
      </c>
      <c r="Y298" s="30" t="str">
        <f>IFERROR(IF(MATCH(F298,'Test 6'!C$5:C$9,0)&gt;0,"RP"),"NON-RP")</f>
        <v>NON-RP</v>
      </c>
    </row>
    <row r="299" spans="2:25" x14ac:dyDescent="0.5">
      <c r="B299" s="30">
        <v>295</v>
      </c>
      <c r="C299" s="30" t="s">
        <v>685</v>
      </c>
      <c r="D299" s="31">
        <v>212236</v>
      </c>
      <c r="E299" s="30" t="s">
        <v>686</v>
      </c>
      <c r="F299" s="53" t="s">
        <v>22</v>
      </c>
      <c r="G299" s="32">
        <v>44319</v>
      </c>
      <c r="H299" s="33">
        <v>0.50341932161284519</v>
      </c>
      <c r="I299" s="30" t="s">
        <v>96</v>
      </c>
      <c r="J299" s="34">
        <v>258340</v>
      </c>
      <c r="K299" s="35" t="s">
        <v>17</v>
      </c>
      <c r="L299" s="36">
        <v>46501.2</v>
      </c>
      <c r="M299" s="30" t="s">
        <v>32</v>
      </c>
      <c r="N299" s="30" t="s">
        <v>47</v>
      </c>
      <c r="O299" s="30" t="s">
        <v>1542</v>
      </c>
      <c r="P299" s="30" t="s">
        <v>1542</v>
      </c>
      <c r="Q299" s="30" t="str">
        <f t="shared" si="20"/>
        <v>AM</v>
      </c>
      <c r="R299" s="30" t="str">
        <f t="shared" si="21"/>
        <v>DM</v>
      </c>
      <c r="S299" s="30" t="str">
        <f>VLOOKUP(M299,'Data - Employee Rights Master'!$C$3:$D$32,2,0)</f>
        <v>AM</v>
      </c>
      <c r="T299" s="30" t="str">
        <f>VLOOKUP(N299,'Data - Employee Rights Master'!$C$3:$D$32,2,0)</f>
        <v>DM</v>
      </c>
      <c r="U299" s="41" t="str">
        <f t="shared" si="22"/>
        <v>PASS</v>
      </c>
      <c r="V299" s="41" t="str">
        <f t="shared" si="23"/>
        <v>NA</v>
      </c>
      <c r="W299" s="30" t="str">
        <f t="shared" si="24"/>
        <v>2122</v>
      </c>
      <c r="X299" s="30" t="str">
        <f>VLOOKUP(MONTH(G299),Key!$F$3:$G$14,2,0)</f>
        <v>May</v>
      </c>
      <c r="Y299" s="30" t="str">
        <f>IFERROR(IF(MATCH(F299,'Test 6'!C$5:C$9,0)&gt;0,"RP"),"NON-RP")</f>
        <v>NON-RP</v>
      </c>
    </row>
    <row r="300" spans="2:25" x14ac:dyDescent="0.5">
      <c r="B300" s="30">
        <v>296</v>
      </c>
      <c r="C300" s="30" t="s">
        <v>687</v>
      </c>
      <c r="D300" s="31">
        <v>212237</v>
      </c>
      <c r="E300" s="30" t="s">
        <v>688</v>
      </c>
      <c r="F300" s="53" t="s">
        <v>238</v>
      </c>
      <c r="G300" s="32">
        <v>44319</v>
      </c>
      <c r="H300" s="33">
        <v>0.68225688743160928</v>
      </c>
      <c r="I300" s="30" t="s">
        <v>96</v>
      </c>
      <c r="J300" s="34">
        <v>240520</v>
      </c>
      <c r="K300" s="35" t="s">
        <v>17</v>
      </c>
      <c r="L300" s="36">
        <v>43293.599999999999</v>
      </c>
      <c r="M300" s="30" t="s">
        <v>37</v>
      </c>
      <c r="N300" s="30" t="s">
        <v>19</v>
      </c>
      <c r="O300" s="30" t="s">
        <v>1542</v>
      </c>
      <c r="P300" s="30" t="s">
        <v>1542</v>
      </c>
      <c r="Q300" s="30" t="str">
        <f t="shared" si="20"/>
        <v>AM</v>
      </c>
      <c r="R300" s="30" t="str">
        <f t="shared" si="21"/>
        <v>DM</v>
      </c>
      <c r="S300" s="30" t="str">
        <f>VLOOKUP(M300,'Data - Employee Rights Master'!$C$3:$D$32,2,0)</f>
        <v>AM</v>
      </c>
      <c r="T300" s="30" t="str">
        <f>VLOOKUP(N300,'Data - Employee Rights Master'!$C$3:$D$32,2,0)</f>
        <v>DM</v>
      </c>
      <c r="U300" s="41" t="str">
        <f t="shared" si="22"/>
        <v>PASS</v>
      </c>
      <c r="V300" s="41" t="str">
        <f t="shared" si="23"/>
        <v>NA</v>
      </c>
      <c r="W300" s="30" t="str">
        <f t="shared" si="24"/>
        <v>2122</v>
      </c>
      <c r="X300" s="30" t="str">
        <f>VLOOKUP(MONTH(G300),Key!$F$3:$G$14,2,0)</f>
        <v>May</v>
      </c>
      <c r="Y300" s="30" t="str">
        <f>IFERROR(IF(MATCH(F300,'Test 6'!C$5:C$9,0)&gt;0,"RP"),"NON-RP")</f>
        <v>NON-RP</v>
      </c>
    </row>
    <row r="301" spans="2:25" x14ac:dyDescent="0.5">
      <c r="B301" s="30">
        <v>297</v>
      </c>
      <c r="C301" s="30" t="s">
        <v>689</v>
      </c>
      <c r="D301" s="31">
        <v>212238</v>
      </c>
      <c r="E301" s="30" t="s">
        <v>690</v>
      </c>
      <c r="F301" s="53" t="s">
        <v>92</v>
      </c>
      <c r="G301" s="32">
        <v>44321</v>
      </c>
      <c r="H301" s="33">
        <v>0.72683659727664862</v>
      </c>
      <c r="I301" s="30" t="s">
        <v>96</v>
      </c>
      <c r="J301" s="34">
        <v>403020</v>
      </c>
      <c r="K301" s="35" t="s">
        <v>17</v>
      </c>
      <c r="L301" s="36">
        <v>72543.599999999991</v>
      </c>
      <c r="M301" s="30" t="s">
        <v>37</v>
      </c>
      <c r="N301" s="30" t="s">
        <v>19</v>
      </c>
      <c r="O301" s="30" t="s">
        <v>1542</v>
      </c>
      <c r="P301" s="30" t="s">
        <v>1542</v>
      </c>
      <c r="Q301" s="30" t="str">
        <f t="shared" si="20"/>
        <v>AM</v>
      </c>
      <c r="R301" s="30" t="str">
        <f t="shared" si="21"/>
        <v>DM</v>
      </c>
      <c r="S301" s="30" t="str">
        <f>VLOOKUP(M301,'Data - Employee Rights Master'!$C$3:$D$32,2,0)</f>
        <v>AM</v>
      </c>
      <c r="T301" s="30" t="str">
        <f>VLOOKUP(N301,'Data - Employee Rights Master'!$C$3:$D$32,2,0)</f>
        <v>DM</v>
      </c>
      <c r="U301" s="41" t="str">
        <f t="shared" si="22"/>
        <v>PASS</v>
      </c>
      <c r="V301" s="41" t="str">
        <f t="shared" si="23"/>
        <v>NA</v>
      </c>
      <c r="W301" s="30" t="str">
        <f t="shared" si="24"/>
        <v>2122</v>
      </c>
      <c r="X301" s="30" t="str">
        <f>VLOOKUP(MONTH(G301),Key!$F$3:$G$14,2,0)</f>
        <v>May</v>
      </c>
      <c r="Y301" s="30" t="str">
        <f>IFERROR(IF(MATCH(F301,'Test 6'!C$5:C$9,0)&gt;0,"RP"),"NON-RP")</f>
        <v>NON-RP</v>
      </c>
    </row>
    <row r="302" spans="2:25" x14ac:dyDescent="0.5">
      <c r="B302" s="30">
        <v>298</v>
      </c>
      <c r="C302" s="30" t="s">
        <v>691</v>
      </c>
      <c r="D302" s="31">
        <v>212239</v>
      </c>
      <c r="E302" s="30" t="s">
        <v>692</v>
      </c>
      <c r="F302" s="53" t="s">
        <v>22</v>
      </c>
      <c r="G302" s="32">
        <v>44321</v>
      </c>
      <c r="H302" s="33">
        <v>0.62353296778524814</v>
      </c>
      <c r="I302" s="30" t="s">
        <v>96</v>
      </c>
      <c r="J302" s="34">
        <v>328460</v>
      </c>
      <c r="K302" s="35" t="s">
        <v>17</v>
      </c>
      <c r="L302" s="36">
        <v>59122.799999999996</v>
      </c>
      <c r="M302" s="30" t="s">
        <v>61</v>
      </c>
      <c r="N302" s="30" t="s">
        <v>47</v>
      </c>
      <c r="O302" s="30" t="s">
        <v>1542</v>
      </c>
      <c r="P302" s="30" t="s">
        <v>1542</v>
      </c>
      <c r="Q302" s="30" t="str">
        <f t="shared" si="20"/>
        <v>AM</v>
      </c>
      <c r="R302" s="30" t="str">
        <f t="shared" si="21"/>
        <v>DM</v>
      </c>
      <c r="S302" s="30" t="str">
        <f>VLOOKUP(M302,'Data - Employee Rights Master'!$C$3:$D$32,2,0)</f>
        <v>AM</v>
      </c>
      <c r="T302" s="30" t="str">
        <f>VLOOKUP(N302,'Data - Employee Rights Master'!$C$3:$D$32,2,0)</f>
        <v>DM</v>
      </c>
      <c r="U302" s="41" t="str">
        <f t="shared" si="22"/>
        <v>PASS</v>
      </c>
      <c r="V302" s="41" t="str">
        <f t="shared" si="23"/>
        <v>NA</v>
      </c>
      <c r="W302" s="30" t="str">
        <f t="shared" si="24"/>
        <v>2122</v>
      </c>
      <c r="X302" s="30" t="str">
        <f>VLOOKUP(MONTH(G302),Key!$F$3:$G$14,2,0)</f>
        <v>May</v>
      </c>
      <c r="Y302" s="30" t="str">
        <f>IFERROR(IF(MATCH(F302,'Test 6'!C$5:C$9,0)&gt;0,"RP"),"NON-RP")</f>
        <v>NON-RP</v>
      </c>
    </row>
    <row r="303" spans="2:25" x14ac:dyDescent="0.5">
      <c r="B303" s="30">
        <v>299</v>
      </c>
      <c r="C303" s="30" t="s">
        <v>693</v>
      </c>
      <c r="D303" s="31">
        <v>212240</v>
      </c>
      <c r="E303" s="30" t="s">
        <v>694</v>
      </c>
      <c r="F303" s="53" t="s">
        <v>119</v>
      </c>
      <c r="G303" s="32">
        <v>44322</v>
      </c>
      <c r="H303" s="33">
        <v>0.49103598925341446</v>
      </c>
      <c r="I303" s="30" t="s">
        <v>96</v>
      </c>
      <c r="J303" s="34">
        <v>321090</v>
      </c>
      <c r="K303" s="35" t="s">
        <v>17</v>
      </c>
      <c r="L303" s="36">
        <v>57796.2</v>
      </c>
      <c r="M303" s="30" t="s">
        <v>32</v>
      </c>
      <c r="N303" s="30" t="s">
        <v>51</v>
      </c>
      <c r="O303" s="30" t="s">
        <v>1542</v>
      </c>
      <c r="P303" s="30" t="s">
        <v>1542</v>
      </c>
      <c r="Q303" s="30" t="str">
        <f t="shared" si="20"/>
        <v>AM</v>
      </c>
      <c r="R303" s="30" t="str">
        <f t="shared" si="21"/>
        <v>DM</v>
      </c>
      <c r="S303" s="30" t="str">
        <f>VLOOKUP(M303,'Data - Employee Rights Master'!$C$3:$D$32,2,0)</f>
        <v>AM</v>
      </c>
      <c r="T303" s="30" t="str">
        <f>VLOOKUP(N303,'Data - Employee Rights Master'!$C$3:$D$32,2,0)</f>
        <v>DM</v>
      </c>
      <c r="U303" s="41" t="str">
        <f t="shared" si="22"/>
        <v>PASS</v>
      </c>
      <c r="V303" s="41" t="str">
        <f t="shared" si="23"/>
        <v>NA</v>
      </c>
      <c r="W303" s="30" t="str">
        <f t="shared" si="24"/>
        <v>2122</v>
      </c>
      <c r="X303" s="30" t="str">
        <f>VLOOKUP(MONTH(G303),Key!$F$3:$G$14,2,0)</f>
        <v>May</v>
      </c>
      <c r="Y303" s="30" t="str">
        <f>IFERROR(IF(MATCH(F303,'Test 6'!C$5:C$9,0)&gt;0,"RP"),"NON-RP")</f>
        <v>NON-RP</v>
      </c>
    </row>
    <row r="304" spans="2:25" x14ac:dyDescent="0.5">
      <c r="B304" s="30">
        <v>300</v>
      </c>
      <c r="C304" s="30" t="s">
        <v>695</v>
      </c>
      <c r="D304" s="31">
        <v>212241</v>
      </c>
      <c r="E304" s="30" t="s">
        <v>696</v>
      </c>
      <c r="F304" s="53" t="s">
        <v>187</v>
      </c>
      <c r="G304" s="32">
        <v>44322</v>
      </c>
      <c r="H304" s="33">
        <v>0.73512318840909796</v>
      </c>
      <c r="I304" s="30" t="s">
        <v>96</v>
      </c>
      <c r="J304" s="34">
        <v>27380</v>
      </c>
      <c r="K304" s="35" t="s">
        <v>17</v>
      </c>
      <c r="L304" s="36">
        <v>4928.3999999999996</v>
      </c>
      <c r="M304" s="30" t="s">
        <v>36</v>
      </c>
      <c r="N304" s="30" t="s">
        <v>28</v>
      </c>
      <c r="O304" s="30" t="s">
        <v>1542</v>
      </c>
      <c r="P304" s="30" t="s">
        <v>1542</v>
      </c>
      <c r="Q304" s="30" t="str">
        <f t="shared" si="20"/>
        <v>SE</v>
      </c>
      <c r="R304" s="30" t="str">
        <f t="shared" si="21"/>
        <v>AM</v>
      </c>
      <c r="S304" s="30" t="str">
        <f>VLOOKUP(M304,'Data - Employee Rights Master'!$C$3:$D$32,2,0)</f>
        <v>SE</v>
      </c>
      <c r="T304" s="30" t="str">
        <f>VLOOKUP(N304,'Data - Employee Rights Master'!$C$3:$D$32,2,0)</f>
        <v>AM</v>
      </c>
      <c r="U304" s="41" t="str">
        <f t="shared" si="22"/>
        <v>PASS</v>
      </c>
      <c r="V304" s="41" t="str">
        <f t="shared" si="23"/>
        <v>NA</v>
      </c>
      <c r="W304" s="30" t="str">
        <f t="shared" si="24"/>
        <v>2122</v>
      </c>
      <c r="X304" s="30" t="str">
        <f>VLOOKUP(MONTH(G304),Key!$F$3:$G$14,2,0)</f>
        <v>May</v>
      </c>
      <c r="Y304" s="30" t="str">
        <f>IFERROR(IF(MATCH(F304,'Test 6'!C$5:C$9,0)&gt;0,"RP"),"NON-RP")</f>
        <v>NON-RP</v>
      </c>
    </row>
    <row r="305" spans="2:25" x14ac:dyDescent="0.5">
      <c r="B305" s="30">
        <v>301</v>
      </c>
      <c r="C305" s="30" t="s">
        <v>697</v>
      </c>
      <c r="D305" s="31">
        <v>212242</v>
      </c>
      <c r="E305" s="30" t="s">
        <v>698</v>
      </c>
      <c r="F305" s="53" t="s">
        <v>81</v>
      </c>
      <c r="G305" s="32">
        <v>44323</v>
      </c>
      <c r="H305" s="33">
        <v>0.58220384479593112</v>
      </c>
      <c r="I305" s="30" t="s">
        <v>96</v>
      </c>
      <c r="J305" s="34">
        <v>494080</v>
      </c>
      <c r="K305" s="35" t="s">
        <v>17</v>
      </c>
      <c r="L305" s="36">
        <v>88934.399999999994</v>
      </c>
      <c r="M305" s="30" t="s">
        <v>18</v>
      </c>
      <c r="N305" s="30" t="s">
        <v>51</v>
      </c>
      <c r="O305" s="30" t="s">
        <v>1542</v>
      </c>
      <c r="P305" s="30" t="s">
        <v>1542</v>
      </c>
      <c r="Q305" s="30" t="str">
        <f t="shared" si="20"/>
        <v>AM</v>
      </c>
      <c r="R305" s="30" t="str">
        <f t="shared" si="21"/>
        <v>DM</v>
      </c>
      <c r="S305" s="30" t="str">
        <f>VLOOKUP(M305,'Data - Employee Rights Master'!$C$3:$D$32,2,0)</f>
        <v>AM</v>
      </c>
      <c r="T305" s="30" t="str">
        <f>VLOOKUP(N305,'Data - Employee Rights Master'!$C$3:$D$32,2,0)</f>
        <v>DM</v>
      </c>
      <c r="U305" s="41" t="str">
        <f t="shared" si="22"/>
        <v>PASS</v>
      </c>
      <c r="V305" s="41" t="str">
        <f t="shared" si="23"/>
        <v>NA</v>
      </c>
      <c r="W305" s="30" t="str">
        <f t="shared" si="24"/>
        <v>2122</v>
      </c>
      <c r="X305" s="30" t="str">
        <f>VLOOKUP(MONTH(G305),Key!$F$3:$G$14,2,0)</f>
        <v>May</v>
      </c>
      <c r="Y305" s="30" t="str">
        <f>IFERROR(IF(MATCH(F305,'Test 6'!C$5:C$9,0)&gt;0,"RP"),"NON-RP")</f>
        <v>NON-RP</v>
      </c>
    </row>
    <row r="306" spans="2:25" x14ac:dyDescent="0.5">
      <c r="B306" s="30">
        <v>302</v>
      </c>
      <c r="C306" s="30" t="s">
        <v>699</v>
      </c>
      <c r="D306" s="31">
        <v>212243</v>
      </c>
      <c r="E306" s="30" t="s">
        <v>700</v>
      </c>
      <c r="F306" s="53" t="s">
        <v>111</v>
      </c>
      <c r="G306" s="32">
        <v>44325</v>
      </c>
      <c r="H306" s="33">
        <v>0.49611111111111111</v>
      </c>
      <c r="I306" s="30" t="s">
        <v>96</v>
      </c>
      <c r="J306" s="34">
        <v>4279450</v>
      </c>
      <c r="K306" s="35" t="s">
        <v>17</v>
      </c>
      <c r="L306" s="36">
        <v>770301</v>
      </c>
      <c r="M306" s="30" t="s">
        <v>701</v>
      </c>
      <c r="N306" s="30" t="s">
        <v>41</v>
      </c>
      <c r="O306" s="30" t="s">
        <v>1542</v>
      </c>
      <c r="P306" s="30" t="s">
        <v>1542</v>
      </c>
      <c r="Q306" s="30" t="str">
        <f t="shared" si="20"/>
        <v>SM</v>
      </c>
      <c r="R306" s="30" t="str">
        <f t="shared" si="21"/>
        <v>CM</v>
      </c>
      <c r="S306" s="30" t="str">
        <f>VLOOKUP(M306,'Data - Employee Rights Master'!$C$3:$D$32,2,0)</f>
        <v>SM</v>
      </c>
      <c r="T306" s="30" t="str">
        <f>VLOOKUP(N306,'Data - Employee Rights Master'!$C$3:$D$32,2,0)</f>
        <v>CM</v>
      </c>
      <c r="U306" s="41" t="str">
        <f t="shared" si="22"/>
        <v>PASS</v>
      </c>
      <c r="V306" s="41" t="str">
        <f t="shared" si="23"/>
        <v>NA</v>
      </c>
      <c r="W306" s="30" t="str">
        <f t="shared" si="24"/>
        <v>2122</v>
      </c>
      <c r="X306" s="30" t="str">
        <f>VLOOKUP(MONTH(G306),Key!$F$3:$G$14,2,0)</f>
        <v>May</v>
      </c>
      <c r="Y306" s="30" t="str">
        <f>IFERROR(IF(MATCH(F306,'Test 6'!C$5:C$9,0)&gt;0,"RP"),"NON-RP")</f>
        <v>RP</v>
      </c>
    </row>
    <row r="307" spans="2:25" x14ac:dyDescent="0.5">
      <c r="B307" s="30">
        <v>303</v>
      </c>
      <c r="C307" s="30" t="s">
        <v>702</v>
      </c>
      <c r="D307" s="31">
        <v>212244</v>
      </c>
      <c r="E307" s="30" t="s">
        <v>703</v>
      </c>
      <c r="F307" s="53" t="s">
        <v>87</v>
      </c>
      <c r="G307" s="32">
        <v>44326</v>
      </c>
      <c r="H307" s="33">
        <v>0.48052444838468789</v>
      </c>
      <c r="I307" s="30" t="s">
        <v>96</v>
      </c>
      <c r="J307" s="34">
        <v>42630</v>
      </c>
      <c r="K307" s="35" t="s">
        <v>17</v>
      </c>
      <c r="L307" s="36">
        <v>7673.4</v>
      </c>
      <c r="M307" s="30" t="s">
        <v>704</v>
      </c>
      <c r="N307" s="30" t="s">
        <v>32</v>
      </c>
      <c r="O307" s="30" t="s">
        <v>1542</v>
      </c>
      <c r="P307" s="30" t="s">
        <v>1542</v>
      </c>
      <c r="Q307" s="30" t="str">
        <f t="shared" si="20"/>
        <v>SE</v>
      </c>
      <c r="R307" s="30" t="str">
        <f t="shared" si="21"/>
        <v>AM</v>
      </c>
      <c r="S307" s="30" t="str">
        <f>VLOOKUP(M307,'Data - Employee Rights Master'!$C$3:$D$32,2,0)</f>
        <v>SE</v>
      </c>
      <c r="T307" s="30" t="str">
        <f>VLOOKUP(N307,'Data - Employee Rights Master'!$C$3:$D$32,2,0)</f>
        <v>AM</v>
      </c>
      <c r="U307" s="41" t="str">
        <f t="shared" si="22"/>
        <v>PASS</v>
      </c>
      <c r="V307" s="41" t="str">
        <f t="shared" si="23"/>
        <v>NA</v>
      </c>
      <c r="W307" s="30" t="str">
        <f t="shared" si="24"/>
        <v>2122</v>
      </c>
      <c r="X307" s="30" t="str">
        <f>VLOOKUP(MONTH(G307),Key!$F$3:$G$14,2,0)</f>
        <v>May</v>
      </c>
      <c r="Y307" s="30" t="str">
        <f>IFERROR(IF(MATCH(F307,'Test 6'!C$5:C$9,0)&gt;0,"RP"),"NON-RP")</f>
        <v>NON-RP</v>
      </c>
    </row>
    <row r="308" spans="2:25" x14ac:dyDescent="0.5">
      <c r="B308" s="30">
        <v>304</v>
      </c>
      <c r="C308" s="30" t="s">
        <v>705</v>
      </c>
      <c r="D308" s="31">
        <v>212245</v>
      </c>
      <c r="E308" s="30" t="s">
        <v>706</v>
      </c>
      <c r="F308" s="53" t="s">
        <v>195</v>
      </c>
      <c r="G308" s="32">
        <v>44326</v>
      </c>
      <c r="H308" s="33">
        <v>0.45450634985373517</v>
      </c>
      <c r="I308" s="30" t="s">
        <v>96</v>
      </c>
      <c r="J308" s="34">
        <v>491380</v>
      </c>
      <c r="K308" s="35" t="s">
        <v>17</v>
      </c>
      <c r="L308" s="36">
        <v>88448.4</v>
      </c>
      <c r="M308" s="30" t="s">
        <v>23</v>
      </c>
      <c r="N308" s="30" t="s">
        <v>51</v>
      </c>
      <c r="O308" s="30" t="s">
        <v>1542</v>
      </c>
      <c r="P308" s="30" t="s">
        <v>1542</v>
      </c>
      <c r="Q308" s="30" t="str">
        <f t="shared" si="20"/>
        <v>AM</v>
      </c>
      <c r="R308" s="30" t="str">
        <f t="shared" si="21"/>
        <v>DM</v>
      </c>
      <c r="S308" s="30" t="str">
        <f>VLOOKUP(M308,'Data - Employee Rights Master'!$C$3:$D$32,2,0)</f>
        <v>AM</v>
      </c>
      <c r="T308" s="30" t="str">
        <f>VLOOKUP(N308,'Data - Employee Rights Master'!$C$3:$D$32,2,0)</f>
        <v>DM</v>
      </c>
      <c r="U308" s="41" t="str">
        <f t="shared" si="22"/>
        <v>PASS</v>
      </c>
      <c r="V308" s="41" t="str">
        <f t="shared" si="23"/>
        <v>NA</v>
      </c>
      <c r="W308" s="30" t="str">
        <f t="shared" si="24"/>
        <v>2122</v>
      </c>
      <c r="X308" s="30" t="str">
        <f>VLOOKUP(MONTH(G308),Key!$F$3:$G$14,2,0)</f>
        <v>May</v>
      </c>
      <c r="Y308" s="30" t="str">
        <f>IFERROR(IF(MATCH(F308,'Test 6'!C$5:C$9,0)&gt;0,"RP"),"NON-RP")</f>
        <v>NON-RP</v>
      </c>
    </row>
    <row r="309" spans="2:25" x14ac:dyDescent="0.5">
      <c r="B309" s="30">
        <v>305</v>
      </c>
      <c r="C309" s="30" t="s">
        <v>707</v>
      </c>
      <c r="D309" s="31">
        <v>212246</v>
      </c>
      <c r="E309" s="30" t="s">
        <v>708</v>
      </c>
      <c r="F309" s="53" t="s">
        <v>84</v>
      </c>
      <c r="G309" s="32">
        <v>44327</v>
      </c>
      <c r="H309" s="33">
        <v>0.43314370447698225</v>
      </c>
      <c r="I309" s="30" t="s">
        <v>96</v>
      </c>
      <c r="J309" s="34">
        <v>35080</v>
      </c>
      <c r="K309" s="35" t="s">
        <v>17</v>
      </c>
      <c r="L309" s="36">
        <v>6314.4</v>
      </c>
      <c r="M309" s="30" t="s">
        <v>78</v>
      </c>
      <c r="N309" s="30" t="s">
        <v>32</v>
      </c>
      <c r="O309" s="30" t="s">
        <v>1542</v>
      </c>
      <c r="P309" s="30" t="s">
        <v>1542</v>
      </c>
      <c r="Q309" s="30" t="str">
        <f t="shared" si="20"/>
        <v>SE</v>
      </c>
      <c r="R309" s="30" t="str">
        <f t="shared" si="21"/>
        <v>AM</v>
      </c>
      <c r="S309" s="30" t="str">
        <f>VLOOKUP(M309,'Data - Employee Rights Master'!$C$3:$D$32,2,0)</f>
        <v>SE</v>
      </c>
      <c r="T309" s="30" t="str">
        <f>VLOOKUP(N309,'Data - Employee Rights Master'!$C$3:$D$32,2,0)</f>
        <v>AM</v>
      </c>
      <c r="U309" s="41" t="str">
        <f t="shared" si="22"/>
        <v>PASS</v>
      </c>
      <c r="V309" s="41" t="str">
        <f t="shared" si="23"/>
        <v>NA</v>
      </c>
      <c r="W309" s="30" t="str">
        <f t="shared" si="24"/>
        <v>2122</v>
      </c>
      <c r="X309" s="30" t="str">
        <f>VLOOKUP(MONTH(G309),Key!$F$3:$G$14,2,0)</f>
        <v>May</v>
      </c>
      <c r="Y309" s="30" t="str">
        <f>IFERROR(IF(MATCH(F309,'Test 6'!C$5:C$9,0)&gt;0,"RP"),"NON-RP")</f>
        <v>NON-RP</v>
      </c>
    </row>
    <row r="310" spans="2:25" x14ac:dyDescent="0.5">
      <c r="B310" s="30">
        <v>306</v>
      </c>
      <c r="C310" s="30" t="s">
        <v>709</v>
      </c>
      <c r="D310" s="31">
        <v>212247</v>
      </c>
      <c r="E310" s="30" t="s">
        <v>710</v>
      </c>
      <c r="F310" s="53" t="s">
        <v>175</v>
      </c>
      <c r="G310" s="32">
        <v>44328</v>
      </c>
      <c r="H310" s="33">
        <v>0.69250942315234199</v>
      </c>
      <c r="I310" s="30" t="s">
        <v>96</v>
      </c>
      <c r="J310" s="34">
        <v>33330</v>
      </c>
      <c r="K310" s="35" t="s">
        <v>17</v>
      </c>
      <c r="L310" s="36">
        <v>5999.4</v>
      </c>
      <c r="M310" s="30" t="s">
        <v>106</v>
      </c>
      <c r="N310" s="30" t="s">
        <v>18</v>
      </c>
      <c r="O310" s="30" t="s">
        <v>1542</v>
      </c>
      <c r="P310" s="30" t="s">
        <v>1542</v>
      </c>
      <c r="Q310" s="30" t="str">
        <f t="shared" si="20"/>
        <v>SE</v>
      </c>
      <c r="R310" s="30" t="str">
        <f t="shared" si="21"/>
        <v>AM</v>
      </c>
      <c r="S310" s="30" t="str">
        <f>VLOOKUP(M310,'Data - Employee Rights Master'!$C$3:$D$32,2,0)</f>
        <v>SE</v>
      </c>
      <c r="T310" s="30" t="str">
        <f>VLOOKUP(N310,'Data - Employee Rights Master'!$C$3:$D$32,2,0)</f>
        <v>AM</v>
      </c>
      <c r="U310" s="41" t="str">
        <f t="shared" si="22"/>
        <v>PASS</v>
      </c>
      <c r="V310" s="41" t="str">
        <f t="shared" si="23"/>
        <v>NA</v>
      </c>
      <c r="W310" s="30" t="str">
        <f t="shared" si="24"/>
        <v>2122</v>
      </c>
      <c r="X310" s="30" t="str">
        <f>VLOOKUP(MONTH(G310),Key!$F$3:$G$14,2,0)</f>
        <v>May</v>
      </c>
      <c r="Y310" s="30" t="str">
        <f>IFERROR(IF(MATCH(F310,'Test 6'!C$5:C$9,0)&gt;0,"RP"),"NON-RP")</f>
        <v>NON-RP</v>
      </c>
    </row>
    <row r="311" spans="2:25" x14ac:dyDescent="0.5">
      <c r="B311" s="30">
        <v>307</v>
      </c>
      <c r="C311" s="30" t="s">
        <v>711</v>
      </c>
      <c r="D311" s="31">
        <v>212248</v>
      </c>
      <c r="E311" s="30" t="s">
        <v>712</v>
      </c>
      <c r="F311" s="53" t="s">
        <v>608</v>
      </c>
      <c r="G311" s="32">
        <v>44329</v>
      </c>
      <c r="H311" s="33">
        <v>0.49913156435872602</v>
      </c>
      <c r="I311" s="30" t="s">
        <v>96</v>
      </c>
      <c r="J311" s="34">
        <v>29410</v>
      </c>
      <c r="K311" s="35" t="s">
        <v>17</v>
      </c>
      <c r="L311" s="36">
        <v>5293.8</v>
      </c>
      <c r="M311" s="30" t="s">
        <v>200</v>
      </c>
      <c r="N311" s="30" t="s">
        <v>46</v>
      </c>
      <c r="O311" s="30" t="s">
        <v>1542</v>
      </c>
      <c r="P311" s="30" t="s">
        <v>1542</v>
      </c>
      <c r="Q311" s="30" t="str">
        <f t="shared" si="20"/>
        <v>SE</v>
      </c>
      <c r="R311" s="30" t="str">
        <f t="shared" si="21"/>
        <v>AM</v>
      </c>
      <c r="S311" s="30" t="str">
        <f>VLOOKUP(M311,'Data - Employee Rights Master'!$C$3:$D$32,2,0)</f>
        <v>SE</v>
      </c>
      <c r="T311" s="30" t="str">
        <f>VLOOKUP(N311,'Data - Employee Rights Master'!$C$3:$D$32,2,0)</f>
        <v>AM</v>
      </c>
      <c r="U311" s="41" t="str">
        <f t="shared" si="22"/>
        <v>PASS</v>
      </c>
      <c r="V311" s="41" t="str">
        <f t="shared" si="23"/>
        <v>NA</v>
      </c>
      <c r="W311" s="30" t="str">
        <f t="shared" si="24"/>
        <v>2122</v>
      </c>
      <c r="X311" s="30" t="str">
        <f>VLOOKUP(MONTH(G311),Key!$F$3:$G$14,2,0)</f>
        <v>May</v>
      </c>
      <c r="Y311" s="30" t="str">
        <f>IFERROR(IF(MATCH(F311,'Test 6'!C$5:C$9,0)&gt;0,"RP"),"NON-RP")</f>
        <v>NON-RP</v>
      </c>
    </row>
    <row r="312" spans="2:25" x14ac:dyDescent="0.5">
      <c r="B312" s="30">
        <v>308</v>
      </c>
      <c r="C312" s="30" t="s">
        <v>713</v>
      </c>
      <c r="D312" s="31">
        <v>212249</v>
      </c>
      <c r="E312" s="30" t="s">
        <v>714</v>
      </c>
      <c r="F312" s="53" t="s">
        <v>175</v>
      </c>
      <c r="G312" s="32">
        <v>44329</v>
      </c>
      <c r="H312" s="33">
        <v>0.71824159011779587</v>
      </c>
      <c r="I312" s="30" t="s">
        <v>96</v>
      </c>
      <c r="J312" s="34">
        <v>488580</v>
      </c>
      <c r="K312" s="35" t="s">
        <v>17</v>
      </c>
      <c r="L312" s="36">
        <v>87944.4</v>
      </c>
      <c r="M312" s="30" t="s">
        <v>23</v>
      </c>
      <c r="N312" s="30" t="s">
        <v>68</v>
      </c>
      <c r="O312" s="30" t="s">
        <v>1542</v>
      </c>
      <c r="P312" s="30" t="s">
        <v>1542</v>
      </c>
      <c r="Q312" s="30" t="str">
        <f t="shared" si="20"/>
        <v>AM</v>
      </c>
      <c r="R312" s="30" t="str">
        <f t="shared" si="21"/>
        <v>DM</v>
      </c>
      <c r="S312" s="30" t="str">
        <f>VLOOKUP(M312,'Data - Employee Rights Master'!$C$3:$D$32,2,0)</f>
        <v>AM</v>
      </c>
      <c r="T312" s="30" t="str">
        <f>VLOOKUP(N312,'Data - Employee Rights Master'!$C$3:$D$32,2,0)</f>
        <v>DM</v>
      </c>
      <c r="U312" s="41" t="str">
        <f t="shared" si="22"/>
        <v>PASS</v>
      </c>
      <c r="V312" s="41" t="str">
        <f t="shared" si="23"/>
        <v>NA</v>
      </c>
      <c r="W312" s="30" t="str">
        <f t="shared" si="24"/>
        <v>2122</v>
      </c>
      <c r="X312" s="30" t="str">
        <f>VLOOKUP(MONTH(G312),Key!$F$3:$G$14,2,0)</f>
        <v>May</v>
      </c>
      <c r="Y312" s="30" t="str">
        <f>IFERROR(IF(MATCH(F312,'Test 6'!C$5:C$9,0)&gt;0,"RP"),"NON-RP")</f>
        <v>NON-RP</v>
      </c>
    </row>
    <row r="313" spans="2:25" x14ac:dyDescent="0.5">
      <c r="B313" s="30">
        <v>309</v>
      </c>
      <c r="C313" s="30" t="s">
        <v>715</v>
      </c>
      <c r="D313" s="31">
        <v>212250</v>
      </c>
      <c r="E313" s="30" t="s">
        <v>716</v>
      </c>
      <c r="F313" s="53" t="s">
        <v>57</v>
      </c>
      <c r="G313" s="32">
        <v>44331</v>
      </c>
      <c r="H313" s="33">
        <v>0.61620488960837916</v>
      </c>
      <c r="I313" s="30" t="s">
        <v>96</v>
      </c>
      <c r="J313" s="34">
        <v>458040</v>
      </c>
      <c r="K313" s="35" t="s">
        <v>17</v>
      </c>
      <c r="L313" s="36">
        <v>82447.199999999997</v>
      </c>
      <c r="M313" s="30" t="s">
        <v>18</v>
      </c>
      <c r="N313" s="30" t="s">
        <v>68</v>
      </c>
      <c r="O313" s="30" t="s">
        <v>1542</v>
      </c>
      <c r="P313" s="30" t="s">
        <v>1542</v>
      </c>
      <c r="Q313" s="30" t="str">
        <f t="shared" si="20"/>
        <v>AM</v>
      </c>
      <c r="R313" s="30" t="str">
        <f t="shared" si="21"/>
        <v>DM</v>
      </c>
      <c r="S313" s="30" t="str">
        <f>VLOOKUP(M313,'Data - Employee Rights Master'!$C$3:$D$32,2,0)</f>
        <v>AM</v>
      </c>
      <c r="T313" s="30" t="str">
        <f>VLOOKUP(N313,'Data - Employee Rights Master'!$C$3:$D$32,2,0)</f>
        <v>DM</v>
      </c>
      <c r="U313" s="41" t="str">
        <f t="shared" si="22"/>
        <v>PASS</v>
      </c>
      <c r="V313" s="41" t="str">
        <f t="shared" si="23"/>
        <v>NA</v>
      </c>
      <c r="W313" s="30" t="str">
        <f t="shared" si="24"/>
        <v>2122</v>
      </c>
      <c r="X313" s="30" t="str">
        <f>VLOOKUP(MONTH(G313),Key!$F$3:$G$14,2,0)</f>
        <v>May</v>
      </c>
      <c r="Y313" s="30" t="str">
        <f>IFERROR(IF(MATCH(F313,'Test 6'!C$5:C$9,0)&gt;0,"RP"),"NON-RP")</f>
        <v>NON-RP</v>
      </c>
    </row>
    <row r="314" spans="2:25" x14ac:dyDescent="0.5">
      <c r="B314" s="30">
        <v>310</v>
      </c>
      <c r="C314" s="30" t="s">
        <v>717</v>
      </c>
      <c r="D314" s="31">
        <v>212251</v>
      </c>
      <c r="E314" s="30" t="s">
        <v>718</v>
      </c>
      <c r="F314" s="53" t="s">
        <v>57</v>
      </c>
      <c r="G314" s="32">
        <v>44333</v>
      </c>
      <c r="H314" s="33">
        <v>0.63338678679002869</v>
      </c>
      <c r="I314" s="30" t="s">
        <v>96</v>
      </c>
      <c r="J314" s="34">
        <v>31230</v>
      </c>
      <c r="K314" s="35" t="s">
        <v>17</v>
      </c>
      <c r="L314" s="36">
        <v>5621.4</v>
      </c>
      <c r="M314" s="30" t="s">
        <v>168</v>
      </c>
      <c r="N314" s="30" t="s">
        <v>46</v>
      </c>
      <c r="O314" s="30" t="s">
        <v>1542</v>
      </c>
      <c r="P314" s="30" t="s">
        <v>1542</v>
      </c>
      <c r="Q314" s="30" t="str">
        <f t="shared" si="20"/>
        <v>SE</v>
      </c>
      <c r="R314" s="30" t="str">
        <f t="shared" si="21"/>
        <v>AM</v>
      </c>
      <c r="S314" s="30" t="str">
        <f>VLOOKUP(M314,'Data - Employee Rights Master'!$C$3:$D$32,2,0)</f>
        <v>SE</v>
      </c>
      <c r="T314" s="30" t="str">
        <f>VLOOKUP(N314,'Data - Employee Rights Master'!$C$3:$D$32,2,0)</f>
        <v>AM</v>
      </c>
      <c r="U314" s="41" t="str">
        <f t="shared" si="22"/>
        <v>PASS</v>
      </c>
      <c r="V314" s="41" t="str">
        <f t="shared" si="23"/>
        <v>NA</v>
      </c>
      <c r="W314" s="30" t="str">
        <f t="shared" si="24"/>
        <v>2122</v>
      </c>
      <c r="X314" s="30" t="str">
        <f>VLOOKUP(MONTH(G314),Key!$F$3:$G$14,2,0)</f>
        <v>May</v>
      </c>
      <c r="Y314" s="30" t="str">
        <f>IFERROR(IF(MATCH(F314,'Test 6'!C$5:C$9,0)&gt;0,"RP"),"NON-RP")</f>
        <v>NON-RP</v>
      </c>
    </row>
    <row r="315" spans="2:25" x14ac:dyDescent="0.5">
      <c r="B315" s="30">
        <v>311</v>
      </c>
      <c r="C315" s="30" t="s">
        <v>719</v>
      </c>
      <c r="D315" s="31">
        <v>212252</v>
      </c>
      <c r="E315" s="30" t="s">
        <v>720</v>
      </c>
      <c r="F315" s="53" t="s">
        <v>87</v>
      </c>
      <c r="G315" s="32">
        <v>44333</v>
      </c>
      <c r="H315" s="33">
        <v>0.42436063535991109</v>
      </c>
      <c r="I315" s="30" t="s">
        <v>96</v>
      </c>
      <c r="J315" s="34">
        <v>492890</v>
      </c>
      <c r="K315" s="35" t="s">
        <v>17</v>
      </c>
      <c r="L315" s="36">
        <v>88720.2</v>
      </c>
      <c r="M315" s="30" t="s">
        <v>23</v>
      </c>
      <c r="N315" s="30" t="s">
        <v>24</v>
      </c>
      <c r="O315" s="30" t="s">
        <v>1542</v>
      </c>
      <c r="P315" s="30" t="s">
        <v>1542</v>
      </c>
      <c r="Q315" s="30" t="str">
        <f t="shared" si="20"/>
        <v>AM</v>
      </c>
      <c r="R315" s="30" t="str">
        <f t="shared" si="21"/>
        <v>DM</v>
      </c>
      <c r="S315" s="30" t="str">
        <f>VLOOKUP(M315,'Data - Employee Rights Master'!$C$3:$D$32,2,0)</f>
        <v>AM</v>
      </c>
      <c r="T315" s="30" t="str">
        <f>VLOOKUP(N315,'Data - Employee Rights Master'!$C$3:$D$32,2,0)</f>
        <v>DM</v>
      </c>
      <c r="U315" s="41" t="str">
        <f t="shared" si="22"/>
        <v>PASS</v>
      </c>
      <c r="V315" s="41" t="str">
        <f t="shared" si="23"/>
        <v>NA</v>
      </c>
      <c r="W315" s="30" t="str">
        <f t="shared" si="24"/>
        <v>2122</v>
      </c>
      <c r="X315" s="30" t="str">
        <f>VLOOKUP(MONTH(G315),Key!$F$3:$G$14,2,0)</f>
        <v>May</v>
      </c>
      <c r="Y315" s="30" t="str">
        <f>IFERROR(IF(MATCH(F315,'Test 6'!C$5:C$9,0)&gt;0,"RP"),"NON-RP")</f>
        <v>NON-RP</v>
      </c>
    </row>
    <row r="316" spans="2:25" x14ac:dyDescent="0.5">
      <c r="B316" s="30">
        <v>312</v>
      </c>
      <c r="C316" s="30" t="s">
        <v>721</v>
      </c>
      <c r="D316" s="31">
        <v>212253</v>
      </c>
      <c r="E316" s="30" t="s">
        <v>722</v>
      </c>
      <c r="F316" s="53" t="s">
        <v>111</v>
      </c>
      <c r="G316" s="32">
        <v>44332</v>
      </c>
      <c r="H316" s="33">
        <v>0.52202546296296293</v>
      </c>
      <c r="I316" s="30" t="s">
        <v>96</v>
      </c>
      <c r="J316" s="34">
        <v>4951880</v>
      </c>
      <c r="K316" s="35" t="s">
        <v>17</v>
      </c>
      <c r="L316" s="36">
        <v>891338.4</v>
      </c>
      <c r="M316" s="30" t="s">
        <v>41</v>
      </c>
      <c r="N316" s="30" t="s">
        <v>42</v>
      </c>
      <c r="O316" s="30" t="s">
        <v>1542</v>
      </c>
      <c r="P316" s="30" t="s">
        <v>1542</v>
      </c>
      <c r="Q316" s="30" t="str">
        <f t="shared" si="20"/>
        <v>CM</v>
      </c>
      <c r="R316" s="30" t="str">
        <f t="shared" si="21"/>
        <v>CFO</v>
      </c>
      <c r="S316" s="30" t="str">
        <f>VLOOKUP(M316,'Data - Employee Rights Master'!$C$3:$D$32,2,0)</f>
        <v>CM</v>
      </c>
      <c r="T316" s="30" t="str">
        <f>VLOOKUP(N316,'Data - Employee Rights Master'!$C$3:$D$32,2,0)</f>
        <v>CFO</v>
      </c>
      <c r="U316" s="41" t="str">
        <f t="shared" si="22"/>
        <v>PASS</v>
      </c>
      <c r="V316" s="41" t="str">
        <f t="shared" si="23"/>
        <v>NA</v>
      </c>
      <c r="W316" s="30" t="str">
        <f t="shared" si="24"/>
        <v>2122</v>
      </c>
      <c r="X316" s="30" t="str">
        <f>VLOOKUP(MONTH(G316),Key!$F$3:$G$14,2,0)</f>
        <v>May</v>
      </c>
      <c r="Y316" s="30" t="str">
        <f>IFERROR(IF(MATCH(F316,'Test 6'!C$5:C$9,0)&gt;0,"RP"),"NON-RP")</f>
        <v>RP</v>
      </c>
    </row>
    <row r="317" spans="2:25" x14ac:dyDescent="0.5">
      <c r="B317" s="30">
        <v>313</v>
      </c>
      <c r="C317" s="30" t="s">
        <v>723</v>
      </c>
      <c r="D317" s="31">
        <v>212254</v>
      </c>
      <c r="E317" s="30" t="s">
        <v>724</v>
      </c>
      <c r="F317" s="53" t="s">
        <v>195</v>
      </c>
      <c r="G317" s="32">
        <v>44334</v>
      </c>
      <c r="H317" s="33">
        <v>0.72546932169024148</v>
      </c>
      <c r="I317" s="30" t="s">
        <v>96</v>
      </c>
      <c r="J317" s="34">
        <v>422770</v>
      </c>
      <c r="K317" s="35" t="s">
        <v>17</v>
      </c>
      <c r="L317" s="36">
        <v>76098.599999999991</v>
      </c>
      <c r="M317" s="30" t="s">
        <v>28</v>
      </c>
      <c r="N317" s="30" t="s">
        <v>19</v>
      </c>
      <c r="O317" s="30" t="s">
        <v>1542</v>
      </c>
      <c r="P317" s="30" t="s">
        <v>1542</v>
      </c>
      <c r="Q317" s="30" t="str">
        <f t="shared" si="20"/>
        <v>AM</v>
      </c>
      <c r="R317" s="30" t="str">
        <f t="shared" si="21"/>
        <v>DM</v>
      </c>
      <c r="S317" s="30" t="str">
        <f>VLOOKUP(M317,'Data - Employee Rights Master'!$C$3:$D$32,2,0)</f>
        <v>AM</v>
      </c>
      <c r="T317" s="30" t="str">
        <f>VLOOKUP(N317,'Data - Employee Rights Master'!$C$3:$D$32,2,0)</f>
        <v>DM</v>
      </c>
      <c r="U317" s="41" t="str">
        <f t="shared" si="22"/>
        <v>PASS</v>
      </c>
      <c r="V317" s="41" t="str">
        <f t="shared" si="23"/>
        <v>NA</v>
      </c>
      <c r="W317" s="30" t="str">
        <f t="shared" si="24"/>
        <v>2122</v>
      </c>
      <c r="X317" s="30" t="str">
        <f>VLOOKUP(MONTH(G317),Key!$F$3:$G$14,2,0)</f>
        <v>May</v>
      </c>
      <c r="Y317" s="30" t="str">
        <f>IFERROR(IF(MATCH(F317,'Test 6'!C$5:C$9,0)&gt;0,"RP"),"NON-RP")</f>
        <v>NON-RP</v>
      </c>
    </row>
    <row r="318" spans="2:25" x14ac:dyDescent="0.5">
      <c r="B318" s="30">
        <v>314</v>
      </c>
      <c r="C318" s="30" t="s">
        <v>725</v>
      </c>
      <c r="D318" s="31">
        <v>212255</v>
      </c>
      <c r="E318" s="30" t="s">
        <v>726</v>
      </c>
      <c r="F318" s="53" t="s">
        <v>195</v>
      </c>
      <c r="G318" s="32">
        <v>44334</v>
      </c>
      <c r="H318" s="33">
        <v>0.57637117044145048</v>
      </c>
      <c r="I318" s="30" t="s">
        <v>96</v>
      </c>
      <c r="J318" s="34">
        <v>471550</v>
      </c>
      <c r="K318" s="35" t="s">
        <v>17</v>
      </c>
      <c r="L318" s="36">
        <v>84879</v>
      </c>
      <c r="M318" s="30" t="s">
        <v>28</v>
      </c>
      <c r="N318" s="30" t="s">
        <v>51</v>
      </c>
      <c r="O318" s="30" t="s">
        <v>1542</v>
      </c>
      <c r="P318" s="30" t="s">
        <v>1542</v>
      </c>
      <c r="Q318" s="30" t="str">
        <f t="shared" si="20"/>
        <v>AM</v>
      </c>
      <c r="R318" s="30" t="str">
        <f t="shared" si="21"/>
        <v>DM</v>
      </c>
      <c r="S318" s="30" t="str">
        <f>VLOOKUP(M318,'Data - Employee Rights Master'!$C$3:$D$32,2,0)</f>
        <v>AM</v>
      </c>
      <c r="T318" s="30" t="str">
        <f>VLOOKUP(N318,'Data - Employee Rights Master'!$C$3:$D$32,2,0)</f>
        <v>DM</v>
      </c>
      <c r="U318" s="41" t="str">
        <f t="shared" si="22"/>
        <v>PASS</v>
      </c>
      <c r="V318" s="41" t="str">
        <f t="shared" si="23"/>
        <v>NA</v>
      </c>
      <c r="W318" s="30" t="str">
        <f t="shared" si="24"/>
        <v>2122</v>
      </c>
      <c r="X318" s="30" t="str">
        <f>VLOOKUP(MONTH(G318),Key!$F$3:$G$14,2,0)</f>
        <v>May</v>
      </c>
      <c r="Y318" s="30" t="str">
        <f>IFERROR(IF(MATCH(F318,'Test 6'!C$5:C$9,0)&gt;0,"RP"),"NON-RP")</f>
        <v>NON-RP</v>
      </c>
    </row>
    <row r="319" spans="2:25" x14ac:dyDescent="0.5">
      <c r="B319" s="30">
        <v>315</v>
      </c>
      <c r="C319" s="30" t="s">
        <v>727</v>
      </c>
      <c r="D319" s="31">
        <v>212256</v>
      </c>
      <c r="E319" s="30" t="s">
        <v>728</v>
      </c>
      <c r="F319" s="53" t="s">
        <v>60</v>
      </c>
      <c r="G319" s="32">
        <v>44335</v>
      </c>
      <c r="H319" s="33">
        <v>0.46757277345035508</v>
      </c>
      <c r="I319" s="30" t="s">
        <v>16</v>
      </c>
      <c r="J319" s="34">
        <v>493100</v>
      </c>
      <c r="K319" s="35" t="s">
        <v>17</v>
      </c>
      <c r="L319" s="36">
        <v>88758</v>
      </c>
      <c r="M319" s="30" t="s">
        <v>61</v>
      </c>
      <c r="N319" s="30" t="s">
        <v>24</v>
      </c>
      <c r="O319" s="30" t="s">
        <v>1542</v>
      </c>
      <c r="P319" s="30" t="s">
        <v>1542</v>
      </c>
      <c r="Q319" s="30" t="str">
        <f t="shared" si="20"/>
        <v>AM</v>
      </c>
      <c r="R319" s="30" t="str">
        <f t="shared" si="21"/>
        <v>DM</v>
      </c>
      <c r="S319" s="30" t="str">
        <f>VLOOKUP(M319,'Data - Employee Rights Master'!$C$3:$D$32,2,0)</f>
        <v>AM</v>
      </c>
      <c r="T319" s="30" t="str">
        <f>VLOOKUP(N319,'Data - Employee Rights Master'!$C$3:$D$32,2,0)</f>
        <v>DM</v>
      </c>
      <c r="U319" s="41" t="str">
        <f t="shared" si="22"/>
        <v>PASS</v>
      </c>
      <c r="V319" s="41" t="str">
        <f t="shared" si="23"/>
        <v>NA</v>
      </c>
      <c r="W319" s="30" t="str">
        <f t="shared" si="24"/>
        <v>2122</v>
      </c>
      <c r="X319" s="30" t="str">
        <f>VLOOKUP(MONTH(G319),Key!$F$3:$G$14,2,0)</f>
        <v>May</v>
      </c>
      <c r="Y319" s="30" t="str">
        <f>IFERROR(IF(MATCH(F319,'Test 6'!C$5:C$9,0)&gt;0,"RP"),"NON-RP")</f>
        <v>NON-RP</v>
      </c>
    </row>
    <row r="320" spans="2:25" x14ac:dyDescent="0.5">
      <c r="B320" s="30">
        <v>316</v>
      </c>
      <c r="C320" s="30" t="s">
        <v>729</v>
      </c>
      <c r="D320" s="31">
        <v>212257</v>
      </c>
      <c r="E320" s="30" t="s">
        <v>730</v>
      </c>
      <c r="F320" s="53" t="s">
        <v>190</v>
      </c>
      <c r="G320" s="32">
        <v>44335</v>
      </c>
      <c r="H320" s="33">
        <v>0.70826716474561879</v>
      </c>
      <c r="I320" s="30" t="s">
        <v>96</v>
      </c>
      <c r="J320" s="34">
        <v>32770</v>
      </c>
      <c r="K320" s="35" t="s">
        <v>17</v>
      </c>
      <c r="L320" s="36">
        <v>5898.5999999999995</v>
      </c>
      <c r="M320" s="30" t="s">
        <v>200</v>
      </c>
      <c r="N320" s="30" t="s">
        <v>37</v>
      </c>
      <c r="O320" s="30" t="s">
        <v>1542</v>
      </c>
      <c r="P320" s="30" t="s">
        <v>1542</v>
      </c>
      <c r="Q320" s="30" t="str">
        <f t="shared" si="20"/>
        <v>SE</v>
      </c>
      <c r="R320" s="30" t="str">
        <f t="shared" si="21"/>
        <v>AM</v>
      </c>
      <c r="S320" s="30" t="str">
        <f>VLOOKUP(M320,'Data - Employee Rights Master'!$C$3:$D$32,2,0)</f>
        <v>SE</v>
      </c>
      <c r="T320" s="30" t="str">
        <f>VLOOKUP(N320,'Data - Employee Rights Master'!$C$3:$D$32,2,0)</f>
        <v>AM</v>
      </c>
      <c r="U320" s="41" t="str">
        <f t="shared" si="22"/>
        <v>PASS</v>
      </c>
      <c r="V320" s="41" t="str">
        <f t="shared" si="23"/>
        <v>NA</v>
      </c>
      <c r="W320" s="30" t="str">
        <f t="shared" si="24"/>
        <v>2122</v>
      </c>
      <c r="X320" s="30" t="str">
        <f>VLOOKUP(MONTH(G320),Key!$F$3:$G$14,2,0)</f>
        <v>May</v>
      </c>
      <c r="Y320" s="30" t="str">
        <f>IFERROR(IF(MATCH(F320,'Test 6'!C$5:C$9,0)&gt;0,"RP"),"NON-RP")</f>
        <v>NON-RP</v>
      </c>
    </row>
    <row r="321" spans="2:25" x14ac:dyDescent="0.5">
      <c r="B321" s="30">
        <v>317</v>
      </c>
      <c r="C321" s="30" t="s">
        <v>731</v>
      </c>
      <c r="D321" s="31">
        <v>212258</v>
      </c>
      <c r="E321" s="30" t="s">
        <v>732</v>
      </c>
      <c r="F321" s="53" t="s">
        <v>290</v>
      </c>
      <c r="G321" s="32">
        <v>44337</v>
      </c>
      <c r="H321" s="33">
        <v>0.46377472884033621</v>
      </c>
      <c r="I321" s="30" t="s">
        <v>96</v>
      </c>
      <c r="J321" s="34">
        <v>33370</v>
      </c>
      <c r="K321" s="35" t="s">
        <v>17</v>
      </c>
      <c r="L321" s="36">
        <v>6006.5999999999995</v>
      </c>
      <c r="M321" s="30" t="s">
        <v>200</v>
      </c>
      <c r="N321" s="30" t="s">
        <v>28</v>
      </c>
      <c r="O321" s="30" t="s">
        <v>1542</v>
      </c>
      <c r="P321" s="30" t="s">
        <v>1542</v>
      </c>
      <c r="Q321" s="30" t="str">
        <f t="shared" si="20"/>
        <v>SE</v>
      </c>
      <c r="R321" s="30" t="str">
        <f t="shared" si="21"/>
        <v>AM</v>
      </c>
      <c r="S321" s="30" t="str">
        <f>VLOOKUP(M321,'Data - Employee Rights Master'!$C$3:$D$32,2,0)</f>
        <v>SE</v>
      </c>
      <c r="T321" s="30" t="str">
        <f>VLOOKUP(N321,'Data - Employee Rights Master'!$C$3:$D$32,2,0)</f>
        <v>AM</v>
      </c>
      <c r="U321" s="41" t="str">
        <f t="shared" si="22"/>
        <v>PASS</v>
      </c>
      <c r="V321" s="41" t="str">
        <f t="shared" si="23"/>
        <v>NA</v>
      </c>
      <c r="W321" s="30" t="str">
        <f t="shared" si="24"/>
        <v>2122</v>
      </c>
      <c r="X321" s="30" t="str">
        <f>VLOOKUP(MONTH(G321),Key!$F$3:$G$14,2,0)</f>
        <v>May</v>
      </c>
      <c r="Y321" s="30" t="str">
        <f>IFERROR(IF(MATCH(F321,'Test 6'!C$5:C$9,0)&gt;0,"RP"),"NON-RP")</f>
        <v>NON-RP</v>
      </c>
    </row>
    <row r="322" spans="2:25" x14ac:dyDescent="0.5">
      <c r="B322" s="30">
        <v>318</v>
      </c>
      <c r="C322" s="30" t="s">
        <v>733</v>
      </c>
      <c r="D322" s="31">
        <v>212259</v>
      </c>
      <c r="E322" s="30" t="s">
        <v>734</v>
      </c>
      <c r="F322" s="53" t="s">
        <v>72</v>
      </c>
      <c r="G322" s="32">
        <v>44337</v>
      </c>
      <c r="H322" s="33">
        <v>0.55455940339021581</v>
      </c>
      <c r="I322" s="30" t="s">
        <v>96</v>
      </c>
      <c r="J322" s="34">
        <v>33290</v>
      </c>
      <c r="K322" s="35" t="s">
        <v>17</v>
      </c>
      <c r="L322" s="36">
        <v>5992.2</v>
      </c>
      <c r="M322" s="30" t="s">
        <v>168</v>
      </c>
      <c r="N322" s="30" t="s">
        <v>61</v>
      </c>
      <c r="O322" s="30" t="s">
        <v>1542</v>
      </c>
      <c r="P322" s="30" t="s">
        <v>1542</v>
      </c>
      <c r="Q322" s="30" t="str">
        <f t="shared" si="20"/>
        <v>SE</v>
      </c>
      <c r="R322" s="30" t="str">
        <f t="shared" si="21"/>
        <v>AM</v>
      </c>
      <c r="S322" s="30" t="str">
        <f>VLOOKUP(M322,'Data - Employee Rights Master'!$C$3:$D$32,2,0)</f>
        <v>SE</v>
      </c>
      <c r="T322" s="30" t="str">
        <f>VLOOKUP(N322,'Data - Employee Rights Master'!$C$3:$D$32,2,0)</f>
        <v>AM</v>
      </c>
      <c r="U322" s="41" t="str">
        <f t="shared" si="22"/>
        <v>PASS</v>
      </c>
      <c r="V322" s="41" t="str">
        <f t="shared" si="23"/>
        <v>NA</v>
      </c>
      <c r="W322" s="30" t="str">
        <f t="shared" si="24"/>
        <v>2122</v>
      </c>
      <c r="X322" s="30" t="str">
        <f>VLOOKUP(MONTH(G322),Key!$F$3:$G$14,2,0)</f>
        <v>May</v>
      </c>
      <c r="Y322" s="30" t="str">
        <f>IFERROR(IF(MATCH(F322,'Test 6'!C$5:C$9,0)&gt;0,"RP"),"NON-RP")</f>
        <v>NON-RP</v>
      </c>
    </row>
    <row r="323" spans="2:25" x14ac:dyDescent="0.5">
      <c r="B323" s="30">
        <v>319</v>
      </c>
      <c r="C323" s="30" t="s">
        <v>735</v>
      </c>
      <c r="D323" s="31">
        <v>212260</v>
      </c>
      <c r="E323" s="30" t="s">
        <v>736</v>
      </c>
      <c r="F323" s="53" t="s">
        <v>54</v>
      </c>
      <c r="G323" s="32">
        <v>44337</v>
      </c>
      <c r="H323" s="33">
        <v>0.54141026936575443</v>
      </c>
      <c r="I323" s="30" t="s">
        <v>96</v>
      </c>
      <c r="J323" s="34">
        <v>31350</v>
      </c>
      <c r="K323" s="35" t="s">
        <v>17</v>
      </c>
      <c r="L323" s="36">
        <v>5643</v>
      </c>
      <c r="M323" s="30" t="s">
        <v>737</v>
      </c>
      <c r="N323" s="30" t="s">
        <v>37</v>
      </c>
      <c r="O323" s="30" t="s">
        <v>1542</v>
      </c>
      <c r="P323" s="30" t="s">
        <v>1542</v>
      </c>
      <c r="Q323" s="30" t="str">
        <f t="shared" si="20"/>
        <v>SE</v>
      </c>
      <c r="R323" s="30" t="str">
        <f t="shared" si="21"/>
        <v>AM</v>
      </c>
      <c r="S323" s="30" t="str">
        <f>VLOOKUP(M323,'Data - Employee Rights Master'!$C$3:$D$32,2,0)</f>
        <v>SE</v>
      </c>
      <c r="T323" s="30" t="str">
        <f>VLOOKUP(N323,'Data - Employee Rights Master'!$C$3:$D$32,2,0)</f>
        <v>AM</v>
      </c>
      <c r="U323" s="41" t="str">
        <f t="shared" si="22"/>
        <v>PASS</v>
      </c>
      <c r="V323" s="41" t="str">
        <f t="shared" si="23"/>
        <v>NA</v>
      </c>
      <c r="W323" s="30" t="str">
        <f t="shared" si="24"/>
        <v>2122</v>
      </c>
      <c r="X323" s="30" t="str">
        <f>VLOOKUP(MONTH(G323),Key!$F$3:$G$14,2,0)</f>
        <v>May</v>
      </c>
      <c r="Y323" s="30" t="str">
        <f>IFERROR(IF(MATCH(F323,'Test 6'!C$5:C$9,0)&gt;0,"RP"),"NON-RP")</f>
        <v>NON-RP</v>
      </c>
    </row>
    <row r="324" spans="2:25" x14ac:dyDescent="0.5">
      <c r="B324" s="30">
        <v>320</v>
      </c>
      <c r="C324" s="30" t="s">
        <v>738</v>
      </c>
      <c r="D324" s="31">
        <v>212261</v>
      </c>
      <c r="E324" s="30" t="s">
        <v>739</v>
      </c>
      <c r="F324" s="53" t="s">
        <v>308</v>
      </c>
      <c r="G324" s="32">
        <v>44339</v>
      </c>
      <c r="H324" s="33">
        <v>0.44253472222222223</v>
      </c>
      <c r="I324" s="30" t="s">
        <v>96</v>
      </c>
      <c r="J324" s="34">
        <v>4062620</v>
      </c>
      <c r="K324" s="35" t="s">
        <v>17</v>
      </c>
      <c r="L324" s="36">
        <v>731271.6</v>
      </c>
      <c r="M324" s="30" t="s">
        <v>701</v>
      </c>
      <c r="N324" s="30" t="s">
        <v>41</v>
      </c>
      <c r="O324" s="30" t="s">
        <v>1542</v>
      </c>
      <c r="P324" s="30" t="s">
        <v>1542</v>
      </c>
      <c r="Q324" s="30" t="str">
        <f t="shared" si="20"/>
        <v>SM</v>
      </c>
      <c r="R324" s="30" t="str">
        <f t="shared" si="21"/>
        <v>CM</v>
      </c>
      <c r="S324" s="30" t="str">
        <f>VLOOKUP(M324,'Data - Employee Rights Master'!$C$3:$D$32,2,0)</f>
        <v>SM</v>
      </c>
      <c r="T324" s="30" t="str">
        <f>VLOOKUP(N324,'Data - Employee Rights Master'!$C$3:$D$32,2,0)</f>
        <v>CM</v>
      </c>
      <c r="U324" s="41" t="str">
        <f t="shared" si="22"/>
        <v>PASS</v>
      </c>
      <c r="V324" s="41" t="str">
        <f t="shared" si="23"/>
        <v>NA</v>
      </c>
      <c r="W324" s="30" t="str">
        <f t="shared" si="24"/>
        <v>2122</v>
      </c>
      <c r="X324" s="30" t="str">
        <f>VLOOKUP(MONTH(G324),Key!$F$3:$G$14,2,0)</f>
        <v>May</v>
      </c>
      <c r="Y324" s="30" t="str">
        <f>IFERROR(IF(MATCH(F324,'Test 6'!C$5:C$9,0)&gt;0,"RP"),"NON-RP")</f>
        <v>RP</v>
      </c>
    </row>
    <row r="325" spans="2:25" x14ac:dyDescent="0.5">
      <c r="B325" s="30">
        <v>321</v>
      </c>
      <c r="C325" s="30" t="s">
        <v>740</v>
      </c>
      <c r="D325" s="31">
        <v>212262</v>
      </c>
      <c r="E325" s="30" t="s">
        <v>741</v>
      </c>
      <c r="F325" s="53" t="s">
        <v>308</v>
      </c>
      <c r="G325" s="32">
        <v>44338</v>
      </c>
      <c r="H325" s="33">
        <v>0.81618055555555558</v>
      </c>
      <c r="I325" s="30" t="s">
        <v>96</v>
      </c>
      <c r="J325" s="34">
        <v>4672170</v>
      </c>
      <c r="K325" s="35" t="s">
        <v>17</v>
      </c>
      <c r="L325" s="36">
        <v>840990.6</v>
      </c>
      <c r="M325" s="30" t="s">
        <v>41</v>
      </c>
      <c r="N325" s="30" t="s">
        <v>42</v>
      </c>
      <c r="O325" s="30" t="s">
        <v>1542</v>
      </c>
      <c r="P325" s="30" t="s">
        <v>1542</v>
      </c>
      <c r="Q325" s="30" t="str">
        <f t="shared" si="20"/>
        <v>CM</v>
      </c>
      <c r="R325" s="30" t="str">
        <f t="shared" si="21"/>
        <v>CFO</v>
      </c>
      <c r="S325" s="30" t="str">
        <f>VLOOKUP(M325,'Data - Employee Rights Master'!$C$3:$D$32,2,0)</f>
        <v>CM</v>
      </c>
      <c r="T325" s="30" t="str">
        <f>VLOOKUP(N325,'Data - Employee Rights Master'!$C$3:$D$32,2,0)</f>
        <v>CFO</v>
      </c>
      <c r="U325" s="41" t="str">
        <f t="shared" si="22"/>
        <v>PASS</v>
      </c>
      <c r="V325" s="41" t="str">
        <f t="shared" si="23"/>
        <v>NA</v>
      </c>
      <c r="W325" s="30" t="str">
        <f t="shared" si="24"/>
        <v>2122</v>
      </c>
      <c r="X325" s="30" t="str">
        <f>VLOOKUP(MONTH(G325),Key!$F$3:$G$14,2,0)</f>
        <v>May</v>
      </c>
      <c r="Y325" s="30" t="str">
        <f>IFERROR(IF(MATCH(F325,'Test 6'!C$5:C$9,0)&gt;0,"RP"),"NON-RP")</f>
        <v>RP</v>
      </c>
    </row>
    <row r="326" spans="2:25" x14ac:dyDescent="0.5">
      <c r="B326" s="30">
        <v>322</v>
      </c>
      <c r="C326" s="30" t="s">
        <v>742</v>
      </c>
      <c r="D326" s="31">
        <v>212263</v>
      </c>
      <c r="E326" s="30" t="s">
        <v>743</v>
      </c>
      <c r="F326" s="53" t="s">
        <v>35</v>
      </c>
      <c r="G326" s="32">
        <v>44338</v>
      </c>
      <c r="H326" s="33">
        <v>0.45474189685013222</v>
      </c>
      <c r="I326" s="30" t="s">
        <v>96</v>
      </c>
      <c r="J326" s="34">
        <v>33750</v>
      </c>
      <c r="K326" s="35" t="s">
        <v>17</v>
      </c>
      <c r="L326" s="36">
        <v>6075</v>
      </c>
      <c r="M326" s="30" t="s">
        <v>704</v>
      </c>
      <c r="N326" s="30" t="s">
        <v>28</v>
      </c>
      <c r="O326" s="30" t="s">
        <v>1542</v>
      </c>
      <c r="P326" s="30" t="s">
        <v>1542</v>
      </c>
      <c r="Q326" s="30" t="str">
        <f t="shared" ref="Q326:Q389" si="25">IF(J326&lt;200000,"SE",IF(J326&lt;500000,"AM",IF(J326&lt;1000000,"DM",IF(J326&lt;4500000,"SM",IF(J326&gt;=4500000,"CM")))))</f>
        <v>SE</v>
      </c>
      <c r="R326" s="30" t="str">
        <f t="shared" ref="R326:R389" si="26">IF(Q326="SE","AM",IF(Q326="AM","DM",IF(Q326="DM","SM",IF(Q326="SM","CM",IF(Q326="CM","CFO")))))</f>
        <v>AM</v>
      </c>
      <c r="S326" s="30" t="str">
        <f>VLOOKUP(M326,'Data - Employee Rights Master'!$C$3:$D$32,2,0)</f>
        <v>SE</v>
      </c>
      <c r="T326" s="30" t="str">
        <f>VLOOKUP(N326,'Data - Employee Rights Master'!$C$3:$D$32,2,0)</f>
        <v>AM</v>
      </c>
      <c r="U326" s="41" t="str">
        <f t="shared" ref="U326:U389" si="27">IF(AND(S326=Q326,T326=R326),"PASS","DEVIATION")</f>
        <v>PASS</v>
      </c>
      <c r="V326" s="41" t="str">
        <f t="shared" ref="V326:V389" si="28">IF(J326&gt;5000000,IF(AND(O326="Approved",P326&lt;&gt;"NA"),"PASS","FLAG"),"NA")</f>
        <v>NA</v>
      </c>
      <c r="W326" s="30" t="str">
        <f t="shared" ref="W326:W389" si="29">LEFT(C326,4)</f>
        <v>2122</v>
      </c>
      <c r="X326" s="30" t="str">
        <f>VLOOKUP(MONTH(G326),Key!$F$3:$G$14,2,0)</f>
        <v>May</v>
      </c>
      <c r="Y326" s="30" t="str">
        <f>IFERROR(IF(MATCH(F326,'Test 6'!C$5:C$9,0)&gt;0,"RP"),"NON-RP")</f>
        <v>NON-RP</v>
      </c>
    </row>
    <row r="327" spans="2:25" x14ac:dyDescent="0.5">
      <c r="B327" s="30">
        <v>323</v>
      </c>
      <c r="C327" s="30" t="s">
        <v>744</v>
      </c>
      <c r="D327" s="31">
        <v>212264</v>
      </c>
      <c r="E327" s="30" t="s">
        <v>745</v>
      </c>
      <c r="F327" s="53" t="s">
        <v>119</v>
      </c>
      <c r="G327" s="32">
        <v>44338</v>
      </c>
      <c r="H327" s="33">
        <v>0.43889485029752795</v>
      </c>
      <c r="I327" s="30" t="s">
        <v>96</v>
      </c>
      <c r="J327" s="34">
        <v>31040</v>
      </c>
      <c r="K327" s="35" t="s">
        <v>17</v>
      </c>
      <c r="L327" s="36">
        <v>5587.2</v>
      </c>
      <c r="M327" s="30" t="s">
        <v>134</v>
      </c>
      <c r="N327" s="30" t="s">
        <v>46</v>
      </c>
      <c r="O327" s="30" t="s">
        <v>1542</v>
      </c>
      <c r="P327" s="30" t="s">
        <v>1542</v>
      </c>
      <c r="Q327" s="30" t="str">
        <f t="shared" si="25"/>
        <v>SE</v>
      </c>
      <c r="R327" s="30" t="str">
        <f t="shared" si="26"/>
        <v>AM</v>
      </c>
      <c r="S327" s="30" t="str">
        <f>VLOOKUP(M327,'Data - Employee Rights Master'!$C$3:$D$32,2,0)</f>
        <v>SE</v>
      </c>
      <c r="T327" s="30" t="str">
        <f>VLOOKUP(N327,'Data - Employee Rights Master'!$C$3:$D$32,2,0)</f>
        <v>AM</v>
      </c>
      <c r="U327" s="41" t="str">
        <f t="shared" si="27"/>
        <v>PASS</v>
      </c>
      <c r="V327" s="41" t="str">
        <f t="shared" si="28"/>
        <v>NA</v>
      </c>
      <c r="W327" s="30" t="str">
        <f t="shared" si="29"/>
        <v>2122</v>
      </c>
      <c r="X327" s="30" t="str">
        <f>VLOOKUP(MONTH(G327),Key!$F$3:$G$14,2,0)</f>
        <v>May</v>
      </c>
      <c r="Y327" s="30" t="str">
        <f>IFERROR(IF(MATCH(F327,'Test 6'!C$5:C$9,0)&gt;0,"RP"),"NON-RP")</f>
        <v>NON-RP</v>
      </c>
    </row>
    <row r="328" spans="2:25" x14ac:dyDescent="0.5">
      <c r="B328" s="30">
        <v>324</v>
      </c>
      <c r="C328" s="30" t="s">
        <v>746</v>
      </c>
      <c r="D328" s="31">
        <v>212265</v>
      </c>
      <c r="E328" s="30" t="s">
        <v>747</v>
      </c>
      <c r="F328" s="53" t="s">
        <v>67</v>
      </c>
      <c r="G328" s="32">
        <v>44340</v>
      </c>
      <c r="H328" s="33">
        <v>0.51103704191676269</v>
      </c>
      <c r="I328" s="30" t="s">
        <v>96</v>
      </c>
      <c r="J328" s="34">
        <v>36470</v>
      </c>
      <c r="K328" s="35" t="s">
        <v>17</v>
      </c>
      <c r="L328" s="36">
        <v>6564.5999999999995</v>
      </c>
      <c r="M328" s="30" t="s">
        <v>36</v>
      </c>
      <c r="N328" s="30" t="s">
        <v>28</v>
      </c>
      <c r="O328" s="30" t="s">
        <v>1542</v>
      </c>
      <c r="P328" s="30" t="s">
        <v>1542</v>
      </c>
      <c r="Q328" s="30" t="str">
        <f t="shared" si="25"/>
        <v>SE</v>
      </c>
      <c r="R328" s="30" t="str">
        <f t="shared" si="26"/>
        <v>AM</v>
      </c>
      <c r="S328" s="30" t="str">
        <f>VLOOKUP(M328,'Data - Employee Rights Master'!$C$3:$D$32,2,0)</f>
        <v>SE</v>
      </c>
      <c r="T328" s="30" t="str">
        <f>VLOOKUP(N328,'Data - Employee Rights Master'!$C$3:$D$32,2,0)</f>
        <v>AM</v>
      </c>
      <c r="U328" s="41" t="str">
        <f t="shared" si="27"/>
        <v>PASS</v>
      </c>
      <c r="V328" s="41" t="str">
        <f t="shared" si="28"/>
        <v>NA</v>
      </c>
      <c r="W328" s="30" t="str">
        <f t="shared" si="29"/>
        <v>2122</v>
      </c>
      <c r="X328" s="30" t="str">
        <f>VLOOKUP(MONTH(G328),Key!$F$3:$G$14,2,0)</f>
        <v>May</v>
      </c>
      <c r="Y328" s="30" t="str">
        <f>IFERROR(IF(MATCH(F328,'Test 6'!C$5:C$9,0)&gt;0,"RP"),"NON-RP")</f>
        <v>NON-RP</v>
      </c>
    </row>
    <row r="329" spans="2:25" x14ac:dyDescent="0.5">
      <c r="B329" s="30">
        <v>325</v>
      </c>
      <c r="C329" s="30" t="s">
        <v>748</v>
      </c>
      <c r="D329" s="31">
        <v>212266</v>
      </c>
      <c r="E329" s="30" t="s">
        <v>749</v>
      </c>
      <c r="F329" s="53" t="s">
        <v>195</v>
      </c>
      <c r="G329" s="32">
        <v>44340</v>
      </c>
      <c r="H329" s="33">
        <v>0.72362998086032926</v>
      </c>
      <c r="I329" s="30" t="s">
        <v>96</v>
      </c>
      <c r="J329" s="34">
        <v>31200</v>
      </c>
      <c r="K329" s="35" t="s">
        <v>17</v>
      </c>
      <c r="L329" s="36">
        <v>5616</v>
      </c>
      <c r="M329" s="30" t="s">
        <v>36</v>
      </c>
      <c r="N329" s="30" t="s">
        <v>18</v>
      </c>
      <c r="O329" s="30" t="s">
        <v>1542</v>
      </c>
      <c r="P329" s="30" t="s">
        <v>1542</v>
      </c>
      <c r="Q329" s="30" t="str">
        <f t="shared" si="25"/>
        <v>SE</v>
      </c>
      <c r="R329" s="30" t="str">
        <f t="shared" si="26"/>
        <v>AM</v>
      </c>
      <c r="S329" s="30" t="str">
        <f>VLOOKUP(M329,'Data - Employee Rights Master'!$C$3:$D$32,2,0)</f>
        <v>SE</v>
      </c>
      <c r="T329" s="30" t="str">
        <f>VLOOKUP(N329,'Data - Employee Rights Master'!$C$3:$D$32,2,0)</f>
        <v>AM</v>
      </c>
      <c r="U329" s="41" t="str">
        <f t="shared" si="27"/>
        <v>PASS</v>
      </c>
      <c r="V329" s="41" t="str">
        <f t="shared" si="28"/>
        <v>NA</v>
      </c>
      <c r="W329" s="30" t="str">
        <f t="shared" si="29"/>
        <v>2122</v>
      </c>
      <c r="X329" s="30" t="str">
        <f>VLOOKUP(MONTH(G329),Key!$F$3:$G$14,2,0)</f>
        <v>May</v>
      </c>
      <c r="Y329" s="30" t="str">
        <f>IFERROR(IF(MATCH(F329,'Test 6'!C$5:C$9,0)&gt;0,"RP"),"NON-RP")</f>
        <v>NON-RP</v>
      </c>
    </row>
    <row r="330" spans="2:25" x14ac:dyDescent="0.5">
      <c r="B330" s="30">
        <v>326</v>
      </c>
      <c r="C330" s="30" t="s">
        <v>750</v>
      </c>
      <c r="D330" s="31">
        <v>212267</v>
      </c>
      <c r="E330" s="30" t="s">
        <v>751</v>
      </c>
      <c r="F330" s="53" t="s">
        <v>262</v>
      </c>
      <c r="G330" s="32">
        <v>44344</v>
      </c>
      <c r="H330" s="33">
        <v>0.45750459106533525</v>
      </c>
      <c r="I330" s="30" t="s">
        <v>96</v>
      </c>
      <c r="J330" s="34">
        <v>384050</v>
      </c>
      <c r="K330" s="35" t="s">
        <v>17</v>
      </c>
      <c r="L330" s="36">
        <v>69129</v>
      </c>
      <c r="M330" s="30" t="s">
        <v>23</v>
      </c>
      <c r="N330" s="30" t="s">
        <v>68</v>
      </c>
      <c r="O330" s="30" t="s">
        <v>1542</v>
      </c>
      <c r="P330" s="30" t="s">
        <v>1542</v>
      </c>
      <c r="Q330" s="30" t="str">
        <f t="shared" si="25"/>
        <v>AM</v>
      </c>
      <c r="R330" s="30" t="str">
        <f t="shared" si="26"/>
        <v>DM</v>
      </c>
      <c r="S330" s="30" t="str">
        <f>VLOOKUP(M330,'Data - Employee Rights Master'!$C$3:$D$32,2,0)</f>
        <v>AM</v>
      </c>
      <c r="T330" s="30" t="str">
        <f>VLOOKUP(N330,'Data - Employee Rights Master'!$C$3:$D$32,2,0)</f>
        <v>DM</v>
      </c>
      <c r="U330" s="41" t="str">
        <f t="shared" si="27"/>
        <v>PASS</v>
      </c>
      <c r="V330" s="41" t="str">
        <f t="shared" si="28"/>
        <v>NA</v>
      </c>
      <c r="W330" s="30" t="str">
        <f t="shared" si="29"/>
        <v>2122</v>
      </c>
      <c r="X330" s="30" t="str">
        <f>VLOOKUP(MONTH(G330),Key!$F$3:$G$14,2,0)</f>
        <v>May</v>
      </c>
      <c r="Y330" s="30" t="str">
        <f>IFERROR(IF(MATCH(F330,'Test 6'!C$5:C$9,0)&gt;0,"RP"),"NON-RP")</f>
        <v>NON-RP</v>
      </c>
    </row>
    <row r="331" spans="2:25" x14ac:dyDescent="0.5">
      <c r="B331" s="30">
        <v>327</v>
      </c>
      <c r="C331" s="30" t="s">
        <v>752</v>
      </c>
      <c r="D331" s="31">
        <v>212268</v>
      </c>
      <c r="E331" s="30" t="s">
        <v>753</v>
      </c>
      <c r="F331" s="53" t="s">
        <v>229</v>
      </c>
      <c r="G331" s="32">
        <v>44344</v>
      </c>
      <c r="H331" s="33">
        <v>0.55347103736384562</v>
      </c>
      <c r="I331" s="30" t="s">
        <v>96</v>
      </c>
      <c r="J331" s="34">
        <v>487120</v>
      </c>
      <c r="K331" s="35" t="s">
        <v>17</v>
      </c>
      <c r="L331" s="36">
        <v>87681.599999999991</v>
      </c>
      <c r="M331" s="30" t="s">
        <v>32</v>
      </c>
      <c r="N331" s="30" t="s">
        <v>47</v>
      </c>
      <c r="O331" s="30" t="s">
        <v>1542</v>
      </c>
      <c r="P331" s="30" t="s">
        <v>1542</v>
      </c>
      <c r="Q331" s="30" t="str">
        <f t="shared" si="25"/>
        <v>AM</v>
      </c>
      <c r="R331" s="30" t="str">
        <f t="shared" si="26"/>
        <v>DM</v>
      </c>
      <c r="S331" s="30" t="str">
        <f>VLOOKUP(M331,'Data - Employee Rights Master'!$C$3:$D$32,2,0)</f>
        <v>AM</v>
      </c>
      <c r="T331" s="30" t="str">
        <f>VLOOKUP(N331,'Data - Employee Rights Master'!$C$3:$D$32,2,0)</f>
        <v>DM</v>
      </c>
      <c r="U331" s="41" t="str">
        <f t="shared" si="27"/>
        <v>PASS</v>
      </c>
      <c r="V331" s="41" t="str">
        <f t="shared" si="28"/>
        <v>NA</v>
      </c>
      <c r="W331" s="30" t="str">
        <f t="shared" si="29"/>
        <v>2122</v>
      </c>
      <c r="X331" s="30" t="str">
        <f>VLOOKUP(MONTH(G331),Key!$F$3:$G$14,2,0)</f>
        <v>May</v>
      </c>
      <c r="Y331" s="30" t="str">
        <f>IFERROR(IF(MATCH(F331,'Test 6'!C$5:C$9,0)&gt;0,"RP"),"NON-RP")</f>
        <v>NON-RP</v>
      </c>
    </row>
    <row r="332" spans="2:25" x14ac:dyDescent="0.5">
      <c r="B332" s="30">
        <v>328</v>
      </c>
      <c r="C332" s="30" t="s">
        <v>754</v>
      </c>
      <c r="D332" s="31">
        <v>212269</v>
      </c>
      <c r="E332" s="30" t="s">
        <v>755</v>
      </c>
      <c r="F332" s="53" t="s">
        <v>577</v>
      </c>
      <c r="G332" s="32">
        <v>44345</v>
      </c>
      <c r="H332" s="33">
        <v>0.82333333333333336</v>
      </c>
      <c r="I332" s="30" t="s">
        <v>96</v>
      </c>
      <c r="J332" s="34">
        <v>4611710</v>
      </c>
      <c r="K332" s="35" t="s">
        <v>17</v>
      </c>
      <c r="L332" s="36">
        <v>830107.79999999993</v>
      </c>
      <c r="M332" s="30" t="s">
        <v>41</v>
      </c>
      <c r="N332" s="30" t="s">
        <v>42</v>
      </c>
      <c r="O332" s="30" t="s">
        <v>1542</v>
      </c>
      <c r="P332" s="30" t="s">
        <v>1542</v>
      </c>
      <c r="Q332" s="30" t="str">
        <f t="shared" si="25"/>
        <v>CM</v>
      </c>
      <c r="R332" s="30" t="str">
        <f t="shared" si="26"/>
        <v>CFO</v>
      </c>
      <c r="S332" s="30" t="str">
        <f>VLOOKUP(M332,'Data - Employee Rights Master'!$C$3:$D$32,2,0)</f>
        <v>CM</v>
      </c>
      <c r="T332" s="30" t="str">
        <f>VLOOKUP(N332,'Data - Employee Rights Master'!$C$3:$D$32,2,0)</f>
        <v>CFO</v>
      </c>
      <c r="U332" s="41" t="str">
        <f t="shared" si="27"/>
        <v>PASS</v>
      </c>
      <c r="V332" s="41" t="str">
        <f t="shared" si="28"/>
        <v>NA</v>
      </c>
      <c r="W332" s="30" t="str">
        <f t="shared" si="29"/>
        <v>2122</v>
      </c>
      <c r="X332" s="30" t="str">
        <f>VLOOKUP(MONTH(G332),Key!$F$3:$G$14,2,0)</f>
        <v>May</v>
      </c>
      <c r="Y332" s="30" t="str">
        <f>IFERROR(IF(MATCH(F332,'Test 6'!C$5:C$9,0)&gt;0,"RP"),"NON-RP")</f>
        <v>RP</v>
      </c>
    </row>
    <row r="333" spans="2:25" x14ac:dyDescent="0.5">
      <c r="B333" s="30">
        <v>329</v>
      </c>
      <c r="C333" s="30" t="s">
        <v>756</v>
      </c>
      <c r="D333" s="31">
        <v>212270</v>
      </c>
      <c r="E333" s="30" t="s">
        <v>757</v>
      </c>
      <c r="F333" s="53" t="s">
        <v>114</v>
      </c>
      <c r="G333" s="32">
        <v>44347</v>
      </c>
      <c r="H333" s="33">
        <v>0.55449804565254512</v>
      </c>
      <c r="I333" s="30" t="s">
        <v>96</v>
      </c>
      <c r="J333" s="34">
        <v>302270</v>
      </c>
      <c r="K333" s="35" t="s">
        <v>17</v>
      </c>
      <c r="L333" s="36">
        <v>54408.6</v>
      </c>
      <c r="M333" s="30" t="s">
        <v>61</v>
      </c>
      <c r="N333" s="30" t="s">
        <v>47</v>
      </c>
      <c r="O333" s="30" t="s">
        <v>1542</v>
      </c>
      <c r="P333" s="30" t="s">
        <v>1542</v>
      </c>
      <c r="Q333" s="30" t="str">
        <f t="shared" si="25"/>
        <v>AM</v>
      </c>
      <c r="R333" s="30" t="str">
        <f t="shared" si="26"/>
        <v>DM</v>
      </c>
      <c r="S333" s="30" t="str">
        <f>VLOOKUP(M333,'Data - Employee Rights Master'!$C$3:$D$32,2,0)</f>
        <v>AM</v>
      </c>
      <c r="T333" s="30" t="str">
        <f>VLOOKUP(N333,'Data - Employee Rights Master'!$C$3:$D$32,2,0)</f>
        <v>DM</v>
      </c>
      <c r="U333" s="41" t="str">
        <f t="shared" si="27"/>
        <v>PASS</v>
      </c>
      <c r="V333" s="41" t="str">
        <f t="shared" si="28"/>
        <v>NA</v>
      </c>
      <c r="W333" s="30" t="str">
        <f t="shared" si="29"/>
        <v>2122</v>
      </c>
      <c r="X333" s="30" t="str">
        <f>VLOOKUP(MONTH(G333),Key!$F$3:$G$14,2,0)</f>
        <v>May</v>
      </c>
      <c r="Y333" s="30" t="str">
        <f>IFERROR(IF(MATCH(F333,'Test 6'!C$5:C$9,0)&gt;0,"RP"),"NON-RP")</f>
        <v>NON-RP</v>
      </c>
    </row>
    <row r="334" spans="2:25" x14ac:dyDescent="0.5">
      <c r="B334" s="30">
        <v>330</v>
      </c>
      <c r="C334" s="30" t="s">
        <v>758</v>
      </c>
      <c r="D334" s="31">
        <v>212271</v>
      </c>
      <c r="E334" s="30" t="s">
        <v>759</v>
      </c>
      <c r="F334" s="53" t="s">
        <v>81</v>
      </c>
      <c r="G334" s="32">
        <v>44347</v>
      </c>
      <c r="H334" s="33">
        <v>0.44251818561374939</v>
      </c>
      <c r="I334" s="30" t="s">
        <v>96</v>
      </c>
      <c r="J334" s="34">
        <v>255750</v>
      </c>
      <c r="K334" s="35" t="s">
        <v>17</v>
      </c>
      <c r="L334" s="36">
        <v>46035</v>
      </c>
      <c r="M334" s="30" t="s">
        <v>46</v>
      </c>
      <c r="N334" s="30" t="s">
        <v>24</v>
      </c>
      <c r="O334" s="30" t="s">
        <v>1542</v>
      </c>
      <c r="P334" s="30" t="s">
        <v>1542</v>
      </c>
      <c r="Q334" s="30" t="str">
        <f t="shared" si="25"/>
        <v>AM</v>
      </c>
      <c r="R334" s="30" t="str">
        <f t="shared" si="26"/>
        <v>DM</v>
      </c>
      <c r="S334" s="30" t="str">
        <f>VLOOKUP(M334,'Data - Employee Rights Master'!$C$3:$D$32,2,0)</f>
        <v>AM</v>
      </c>
      <c r="T334" s="30" t="str">
        <f>VLOOKUP(N334,'Data - Employee Rights Master'!$C$3:$D$32,2,0)</f>
        <v>DM</v>
      </c>
      <c r="U334" s="41" t="str">
        <f t="shared" si="27"/>
        <v>PASS</v>
      </c>
      <c r="V334" s="41" t="str">
        <f t="shared" si="28"/>
        <v>NA</v>
      </c>
      <c r="W334" s="30" t="str">
        <f t="shared" si="29"/>
        <v>2122</v>
      </c>
      <c r="X334" s="30" t="str">
        <f>VLOOKUP(MONTH(G334),Key!$F$3:$G$14,2,0)</f>
        <v>May</v>
      </c>
      <c r="Y334" s="30" t="str">
        <f>IFERROR(IF(MATCH(F334,'Test 6'!C$5:C$9,0)&gt;0,"RP"),"NON-RP")</f>
        <v>NON-RP</v>
      </c>
    </row>
    <row r="335" spans="2:25" x14ac:dyDescent="0.5">
      <c r="B335" s="30">
        <v>331</v>
      </c>
      <c r="C335" s="30" t="s">
        <v>760</v>
      </c>
      <c r="D335" s="31">
        <v>212272</v>
      </c>
      <c r="E335" s="30" t="s">
        <v>761</v>
      </c>
      <c r="F335" s="53" t="s">
        <v>272</v>
      </c>
      <c r="G335" s="32">
        <v>44348</v>
      </c>
      <c r="H335" s="33">
        <v>0.48597316105184163</v>
      </c>
      <c r="I335" s="30" t="s">
        <v>163</v>
      </c>
      <c r="J335" s="34">
        <v>371830</v>
      </c>
      <c r="K335" s="35" t="s">
        <v>17</v>
      </c>
      <c r="L335" s="36">
        <v>66929.399999999994</v>
      </c>
      <c r="M335" s="30" t="s">
        <v>28</v>
      </c>
      <c r="N335" s="30" t="s">
        <v>24</v>
      </c>
      <c r="O335" s="30" t="s">
        <v>1542</v>
      </c>
      <c r="P335" s="30" t="s">
        <v>1542</v>
      </c>
      <c r="Q335" s="30" t="str">
        <f t="shared" si="25"/>
        <v>AM</v>
      </c>
      <c r="R335" s="30" t="str">
        <f t="shared" si="26"/>
        <v>DM</v>
      </c>
      <c r="S335" s="30" t="str">
        <f>VLOOKUP(M335,'Data - Employee Rights Master'!$C$3:$D$32,2,0)</f>
        <v>AM</v>
      </c>
      <c r="T335" s="30" t="str">
        <f>VLOOKUP(N335,'Data - Employee Rights Master'!$C$3:$D$32,2,0)</f>
        <v>DM</v>
      </c>
      <c r="U335" s="41" t="str">
        <f t="shared" si="27"/>
        <v>PASS</v>
      </c>
      <c r="V335" s="41" t="str">
        <f t="shared" si="28"/>
        <v>NA</v>
      </c>
      <c r="W335" s="30" t="str">
        <f t="shared" si="29"/>
        <v>2122</v>
      </c>
      <c r="X335" s="30" t="str">
        <f>VLOOKUP(MONTH(G335),Key!$F$3:$G$14,2,0)</f>
        <v>Jun</v>
      </c>
      <c r="Y335" s="30" t="str">
        <f>IFERROR(IF(MATCH(F335,'Test 6'!C$5:C$9,0)&gt;0,"RP"),"NON-RP")</f>
        <v>NON-RP</v>
      </c>
    </row>
    <row r="336" spans="2:25" x14ac:dyDescent="0.5">
      <c r="B336" s="30">
        <v>332</v>
      </c>
      <c r="C336" s="30" t="s">
        <v>762</v>
      </c>
      <c r="D336" s="31">
        <v>212273</v>
      </c>
      <c r="E336" s="30" t="s">
        <v>763</v>
      </c>
      <c r="F336" s="53" t="s">
        <v>125</v>
      </c>
      <c r="G336" s="32">
        <v>44348</v>
      </c>
      <c r="H336" s="33">
        <v>0.61491673644933065</v>
      </c>
      <c r="I336" s="30" t="s">
        <v>163</v>
      </c>
      <c r="J336" s="34">
        <v>493750</v>
      </c>
      <c r="K336" s="35" t="s">
        <v>17</v>
      </c>
      <c r="L336" s="36">
        <v>88875</v>
      </c>
      <c r="M336" s="30" t="s">
        <v>23</v>
      </c>
      <c r="N336" s="30" t="s">
        <v>24</v>
      </c>
      <c r="O336" s="30" t="s">
        <v>1542</v>
      </c>
      <c r="P336" s="30" t="s">
        <v>1542</v>
      </c>
      <c r="Q336" s="30" t="str">
        <f t="shared" si="25"/>
        <v>AM</v>
      </c>
      <c r="R336" s="30" t="str">
        <f t="shared" si="26"/>
        <v>DM</v>
      </c>
      <c r="S336" s="30" t="str">
        <f>VLOOKUP(M336,'Data - Employee Rights Master'!$C$3:$D$32,2,0)</f>
        <v>AM</v>
      </c>
      <c r="T336" s="30" t="str">
        <f>VLOOKUP(N336,'Data - Employee Rights Master'!$C$3:$D$32,2,0)</f>
        <v>DM</v>
      </c>
      <c r="U336" s="41" t="str">
        <f t="shared" si="27"/>
        <v>PASS</v>
      </c>
      <c r="V336" s="41" t="str">
        <f t="shared" si="28"/>
        <v>NA</v>
      </c>
      <c r="W336" s="30" t="str">
        <f t="shared" si="29"/>
        <v>2122</v>
      </c>
      <c r="X336" s="30" t="str">
        <f>VLOOKUP(MONTH(G336),Key!$F$3:$G$14,2,0)</f>
        <v>Jun</v>
      </c>
      <c r="Y336" s="30" t="str">
        <f>IFERROR(IF(MATCH(F336,'Test 6'!C$5:C$9,0)&gt;0,"RP"),"NON-RP")</f>
        <v>NON-RP</v>
      </c>
    </row>
    <row r="337" spans="2:25" x14ac:dyDescent="0.5">
      <c r="B337" s="30">
        <v>333</v>
      </c>
      <c r="C337" s="30" t="s">
        <v>764</v>
      </c>
      <c r="D337" s="31">
        <v>212274</v>
      </c>
      <c r="E337" s="30" t="s">
        <v>765</v>
      </c>
      <c r="F337" s="53" t="s">
        <v>203</v>
      </c>
      <c r="G337" s="32">
        <v>44350</v>
      </c>
      <c r="H337" s="33">
        <v>0.66233493035262181</v>
      </c>
      <c r="I337" s="30" t="s">
        <v>163</v>
      </c>
      <c r="J337" s="34">
        <v>407360</v>
      </c>
      <c r="K337" s="35" t="s">
        <v>17</v>
      </c>
      <c r="L337" s="36">
        <v>73324.800000000003</v>
      </c>
      <c r="M337" s="30" t="s">
        <v>28</v>
      </c>
      <c r="N337" s="30" t="s">
        <v>47</v>
      </c>
      <c r="O337" s="30" t="s">
        <v>1542</v>
      </c>
      <c r="P337" s="30" t="s">
        <v>1542</v>
      </c>
      <c r="Q337" s="30" t="str">
        <f t="shared" si="25"/>
        <v>AM</v>
      </c>
      <c r="R337" s="30" t="str">
        <f t="shared" si="26"/>
        <v>DM</v>
      </c>
      <c r="S337" s="30" t="str">
        <f>VLOOKUP(M337,'Data - Employee Rights Master'!$C$3:$D$32,2,0)</f>
        <v>AM</v>
      </c>
      <c r="T337" s="30" t="str">
        <f>VLOOKUP(N337,'Data - Employee Rights Master'!$C$3:$D$32,2,0)</f>
        <v>DM</v>
      </c>
      <c r="U337" s="41" t="str">
        <f t="shared" si="27"/>
        <v>PASS</v>
      </c>
      <c r="V337" s="41" t="str">
        <f t="shared" si="28"/>
        <v>NA</v>
      </c>
      <c r="W337" s="30" t="str">
        <f t="shared" si="29"/>
        <v>2122</v>
      </c>
      <c r="X337" s="30" t="str">
        <f>VLOOKUP(MONTH(G337),Key!$F$3:$G$14,2,0)</f>
        <v>Jun</v>
      </c>
      <c r="Y337" s="30" t="str">
        <f>IFERROR(IF(MATCH(F337,'Test 6'!C$5:C$9,0)&gt;0,"RP"),"NON-RP")</f>
        <v>NON-RP</v>
      </c>
    </row>
    <row r="338" spans="2:25" x14ac:dyDescent="0.5">
      <c r="B338" s="30">
        <v>334</v>
      </c>
      <c r="C338" s="30" t="s">
        <v>766</v>
      </c>
      <c r="D338" s="31">
        <v>212275</v>
      </c>
      <c r="E338" s="30" t="s">
        <v>767</v>
      </c>
      <c r="F338" s="53" t="s">
        <v>15</v>
      </c>
      <c r="G338" s="32">
        <v>44350</v>
      </c>
      <c r="H338" s="33">
        <v>0.4365042252290452</v>
      </c>
      <c r="I338" s="30" t="s">
        <v>163</v>
      </c>
      <c r="J338" s="34">
        <v>262680</v>
      </c>
      <c r="K338" s="35" t="s">
        <v>17</v>
      </c>
      <c r="L338" s="36">
        <v>47282.400000000001</v>
      </c>
      <c r="M338" s="30" t="s">
        <v>28</v>
      </c>
      <c r="N338" s="30" t="s">
        <v>68</v>
      </c>
      <c r="O338" s="30" t="s">
        <v>1542</v>
      </c>
      <c r="P338" s="30" t="s">
        <v>1542</v>
      </c>
      <c r="Q338" s="30" t="str">
        <f t="shared" si="25"/>
        <v>AM</v>
      </c>
      <c r="R338" s="30" t="str">
        <f t="shared" si="26"/>
        <v>DM</v>
      </c>
      <c r="S338" s="30" t="str">
        <f>VLOOKUP(M338,'Data - Employee Rights Master'!$C$3:$D$32,2,0)</f>
        <v>AM</v>
      </c>
      <c r="T338" s="30" t="str">
        <f>VLOOKUP(N338,'Data - Employee Rights Master'!$C$3:$D$32,2,0)</f>
        <v>DM</v>
      </c>
      <c r="U338" s="41" t="str">
        <f t="shared" si="27"/>
        <v>PASS</v>
      </c>
      <c r="V338" s="41" t="str">
        <f t="shared" si="28"/>
        <v>NA</v>
      </c>
      <c r="W338" s="30" t="str">
        <f t="shared" si="29"/>
        <v>2122</v>
      </c>
      <c r="X338" s="30" t="str">
        <f>VLOOKUP(MONTH(G338),Key!$F$3:$G$14,2,0)</f>
        <v>Jun</v>
      </c>
      <c r="Y338" s="30" t="str">
        <f>IFERROR(IF(MATCH(F338,'Test 6'!C$5:C$9,0)&gt;0,"RP"),"NON-RP")</f>
        <v>NON-RP</v>
      </c>
    </row>
    <row r="339" spans="2:25" x14ac:dyDescent="0.5">
      <c r="B339" s="30">
        <v>335</v>
      </c>
      <c r="C339" s="30" t="s">
        <v>768</v>
      </c>
      <c r="D339" s="31">
        <v>212276</v>
      </c>
      <c r="E339" s="30" t="s">
        <v>769</v>
      </c>
      <c r="F339" s="53" t="s">
        <v>577</v>
      </c>
      <c r="G339" s="32">
        <v>44353</v>
      </c>
      <c r="H339" s="33">
        <v>0.57105324074074071</v>
      </c>
      <c r="I339" s="30" t="s">
        <v>163</v>
      </c>
      <c r="J339" s="34">
        <v>4080130</v>
      </c>
      <c r="K339" s="35" t="s">
        <v>17</v>
      </c>
      <c r="L339" s="36">
        <v>734423.4</v>
      </c>
      <c r="M339" s="30" t="s">
        <v>69</v>
      </c>
      <c r="N339" s="30" t="s">
        <v>41</v>
      </c>
      <c r="O339" s="30" t="s">
        <v>1542</v>
      </c>
      <c r="P339" s="30" t="s">
        <v>1542</v>
      </c>
      <c r="Q339" s="30" t="str">
        <f t="shared" si="25"/>
        <v>SM</v>
      </c>
      <c r="R339" s="30" t="str">
        <f t="shared" si="26"/>
        <v>CM</v>
      </c>
      <c r="S339" s="30" t="str">
        <f>VLOOKUP(M339,'Data - Employee Rights Master'!$C$3:$D$32,2,0)</f>
        <v>SM</v>
      </c>
      <c r="T339" s="30" t="str">
        <f>VLOOKUP(N339,'Data - Employee Rights Master'!$C$3:$D$32,2,0)</f>
        <v>CM</v>
      </c>
      <c r="U339" s="41" t="str">
        <f t="shared" si="27"/>
        <v>PASS</v>
      </c>
      <c r="V339" s="41" t="str">
        <f t="shared" si="28"/>
        <v>NA</v>
      </c>
      <c r="W339" s="30" t="str">
        <f t="shared" si="29"/>
        <v>2122</v>
      </c>
      <c r="X339" s="30" t="str">
        <f>VLOOKUP(MONTH(G339),Key!$F$3:$G$14,2,0)</f>
        <v>Jun</v>
      </c>
      <c r="Y339" s="30" t="str">
        <f>IFERROR(IF(MATCH(F339,'Test 6'!C$5:C$9,0)&gt;0,"RP"),"NON-RP")</f>
        <v>RP</v>
      </c>
    </row>
    <row r="340" spans="2:25" x14ac:dyDescent="0.5">
      <c r="B340" s="30">
        <v>336</v>
      </c>
      <c r="C340" s="30" t="s">
        <v>770</v>
      </c>
      <c r="D340" s="31">
        <v>212277</v>
      </c>
      <c r="E340" s="30" t="s">
        <v>771</v>
      </c>
      <c r="F340" s="53" t="s">
        <v>119</v>
      </c>
      <c r="G340" s="32">
        <v>44351</v>
      </c>
      <c r="H340" s="33">
        <v>0.5210493310786567</v>
      </c>
      <c r="I340" s="30" t="s">
        <v>163</v>
      </c>
      <c r="J340" s="34">
        <v>490650</v>
      </c>
      <c r="K340" s="35" t="s">
        <v>17</v>
      </c>
      <c r="L340" s="36">
        <v>88317</v>
      </c>
      <c r="M340" s="30" t="s">
        <v>28</v>
      </c>
      <c r="N340" s="30" t="s">
        <v>47</v>
      </c>
      <c r="O340" s="30" t="s">
        <v>1542</v>
      </c>
      <c r="P340" s="30" t="s">
        <v>1542</v>
      </c>
      <c r="Q340" s="30" t="str">
        <f t="shared" si="25"/>
        <v>AM</v>
      </c>
      <c r="R340" s="30" t="str">
        <f t="shared" si="26"/>
        <v>DM</v>
      </c>
      <c r="S340" s="30" t="str">
        <f>VLOOKUP(M340,'Data - Employee Rights Master'!$C$3:$D$32,2,0)</f>
        <v>AM</v>
      </c>
      <c r="T340" s="30" t="str">
        <f>VLOOKUP(N340,'Data - Employee Rights Master'!$C$3:$D$32,2,0)</f>
        <v>DM</v>
      </c>
      <c r="U340" s="41" t="str">
        <f t="shared" si="27"/>
        <v>PASS</v>
      </c>
      <c r="V340" s="41" t="str">
        <f t="shared" si="28"/>
        <v>NA</v>
      </c>
      <c r="W340" s="30" t="str">
        <f t="shared" si="29"/>
        <v>2122</v>
      </c>
      <c r="X340" s="30" t="str">
        <f>VLOOKUP(MONTH(G340),Key!$F$3:$G$14,2,0)</f>
        <v>Jun</v>
      </c>
      <c r="Y340" s="30" t="str">
        <f>IFERROR(IF(MATCH(F340,'Test 6'!C$5:C$9,0)&gt;0,"RP"),"NON-RP")</f>
        <v>NON-RP</v>
      </c>
    </row>
    <row r="341" spans="2:25" x14ac:dyDescent="0.5">
      <c r="B341" s="30">
        <v>337</v>
      </c>
      <c r="C341" s="30" t="s">
        <v>772</v>
      </c>
      <c r="D341" s="31">
        <v>212278</v>
      </c>
      <c r="E341" s="30" t="s">
        <v>773</v>
      </c>
      <c r="F341" s="53" t="s">
        <v>81</v>
      </c>
      <c r="G341" s="32">
        <v>44352</v>
      </c>
      <c r="H341" s="33">
        <v>0.54049173247638782</v>
      </c>
      <c r="I341" s="30" t="s">
        <v>163</v>
      </c>
      <c r="J341" s="34">
        <v>262560</v>
      </c>
      <c r="K341" s="35" t="s">
        <v>17</v>
      </c>
      <c r="L341" s="36">
        <v>47260.799999999996</v>
      </c>
      <c r="M341" s="30" t="s">
        <v>18</v>
      </c>
      <c r="N341" s="30" t="s">
        <v>47</v>
      </c>
      <c r="O341" s="30" t="s">
        <v>1542</v>
      </c>
      <c r="P341" s="30" t="s">
        <v>1542</v>
      </c>
      <c r="Q341" s="30" t="str">
        <f t="shared" si="25"/>
        <v>AM</v>
      </c>
      <c r="R341" s="30" t="str">
        <f t="shared" si="26"/>
        <v>DM</v>
      </c>
      <c r="S341" s="30" t="str">
        <f>VLOOKUP(M341,'Data - Employee Rights Master'!$C$3:$D$32,2,0)</f>
        <v>AM</v>
      </c>
      <c r="T341" s="30" t="str">
        <f>VLOOKUP(N341,'Data - Employee Rights Master'!$C$3:$D$32,2,0)</f>
        <v>DM</v>
      </c>
      <c r="U341" s="41" t="str">
        <f t="shared" si="27"/>
        <v>PASS</v>
      </c>
      <c r="V341" s="41" t="str">
        <f t="shared" si="28"/>
        <v>NA</v>
      </c>
      <c r="W341" s="30" t="str">
        <f t="shared" si="29"/>
        <v>2122</v>
      </c>
      <c r="X341" s="30" t="str">
        <f>VLOOKUP(MONTH(G341),Key!$F$3:$G$14,2,0)</f>
        <v>Jun</v>
      </c>
      <c r="Y341" s="30" t="str">
        <f>IFERROR(IF(MATCH(F341,'Test 6'!C$5:C$9,0)&gt;0,"RP"),"NON-RP")</f>
        <v>NON-RP</v>
      </c>
    </row>
    <row r="342" spans="2:25" x14ac:dyDescent="0.5">
      <c r="B342" s="30">
        <v>338</v>
      </c>
      <c r="C342" s="30" t="s">
        <v>774</v>
      </c>
      <c r="D342" s="31">
        <v>212279</v>
      </c>
      <c r="E342" s="30" t="s">
        <v>775</v>
      </c>
      <c r="F342" s="53" t="s">
        <v>122</v>
      </c>
      <c r="G342" s="32">
        <v>44356</v>
      </c>
      <c r="H342" s="33">
        <v>0.70194214694817392</v>
      </c>
      <c r="I342" s="30" t="s">
        <v>163</v>
      </c>
      <c r="J342" s="34">
        <v>2262240</v>
      </c>
      <c r="K342" s="35" t="s">
        <v>17</v>
      </c>
      <c r="L342" s="36">
        <v>407203.2</v>
      </c>
      <c r="M342" s="30" t="s">
        <v>69</v>
      </c>
      <c r="N342" s="30" t="s">
        <v>41</v>
      </c>
      <c r="O342" s="30" t="s">
        <v>1542</v>
      </c>
      <c r="P342" s="30" t="s">
        <v>1542</v>
      </c>
      <c r="Q342" s="30" t="str">
        <f t="shared" si="25"/>
        <v>SM</v>
      </c>
      <c r="R342" s="30" t="str">
        <f t="shared" si="26"/>
        <v>CM</v>
      </c>
      <c r="S342" s="30" t="str">
        <f>VLOOKUP(M342,'Data - Employee Rights Master'!$C$3:$D$32,2,0)</f>
        <v>SM</v>
      </c>
      <c r="T342" s="30" t="str">
        <f>VLOOKUP(N342,'Data - Employee Rights Master'!$C$3:$D$32,2,0)</f>
        <v>CM</v>
      </c>
      <c r="U342" s="41" t="str">
        <f t="shared" si="27"/>
        <v>PASS</v>
      </c>
      <c r="V342" s="41" t="str">
        <f t="shared" si="28"/>
        <v>NA</v>
      </c>
      <c r="W342" s="30" t="str">
        <f t="shared" si="29"/>
        <v>2122</v>
      </c>
      <c r="X342" s="30" t="str">
        <f>VLOOKUP(MONTH(G342),Key!$F$3:$G$14,2,0)</f>
        <v>Jun</v>
      </c>
      <c r="Y342" s="30" t="str">
        <f>IFERROR(IF(MATCH(F342,'Test 6'!C$5:C$9,0)&gt;0,"RP"),"NON-RP")</f>
        <v>NON-RP</v>
      </c>
    </row>
    <row r="343" spans="2:25" x14ac:dyDescent="0.5">
      <c r="B343" s="30">
        <v>339</v>
      </c>
      <c r="C343" s="30" t="s">
        <v>776</v>
      </c>
      <c r="D343" s="31">
        <v>212280</v>
      </c>
      <c r="E343" s="30" t="s">
        <v>777</v>
      </c>
      <c r="F343" s="53" t="s">
        <v>67</v>
      </c>
      <c r="G343" s="32">
        <v>44357</v>
      </c>
      <c r="H343" s="33">
        <v>0.49756776665813546</v>
      </c>
      <c r="I343" s="30" t="s">
        <v>163</v>
      </c>
      <c r="J343" s="34">
        <v>354620</v>
      </c>
      <c r="K343" s="35" t="s">
        <v>17</v>
      </c>
      <c r="L343" s="36">
        <v>63831.6</v>
      </c>
      <c r="M343" s="30" t="s">
        <v>46</v>
      </c>
      <c r="N343" s="30" t="s">
        <v>24</v>
      </c>
      <c r="O343" s="30" t="s">
        <v>1542</v>
      </c>
      <c r="P343" s="30" t="s">
        <v>1542</v>
      </c>
      <c r="Q343" s="30" t="str">
        <f t="shared" si="25"/>
        <v>AM</v>
      </c>
      <c r="R343" s="30" t="str">
        <f t="shared" si="26"/>
        <v>DM</v>
      </c>
      <c r="S343" s="30" t="str">
        <f>VLOOKUP(M343,'Data - Employee Rights Master'!$C$3:$D$32,2,0)</f>
        <v>AM</v>
      </c>
      <c r="T343" s="30" t="str">
        <f>VLOOKUP(N343,'Data - Employee Rights Master'!$C$3:$D$32,2,0)</f>
        <v>DM</v>
      </c>
      <c r="U343" s="41" t="str">
        <f t="shared" si="27"/>
        <v>PASS</v>
      </c>
      <c r="V343" s="41" t="str">
        <f t="shared" si="28"/>
        <v>NA</v>
      </c>
      <c r="W343" s="30" t="str">
        <f t="shared" si="29"/>
        <v>2122</v>
      </c>
      <c r="X343" s="30" t="str">
        <f>VLOOKUP(MONTH(G343),Key!$F$3:$G$14,2,0)</f>
        <v>Jun</v>
      </c>
      <c r="Y343" s="30" t="str">
        <f>IFERROR(IF(MATCH(F343,'Test 6'!C$5:C$9,0)&gt;0,"RP"),"NON-RP")</f>
        <v>NON-RP</v>
      </c>
    </row>
    <row r="344" spans="2:25" x14ac:dyDescent="0.5">
      <c r="B344" s="30">
        <v>340</v>
      </c>
      <c r="C344" s="30" t="s">
        <v>778</v>
      </c>
      <c r="D344" s="31">
        <v>212281</v>
      </c>
      <c r="E344" s="30" t="s">
        <v>779</v>
      </c>
      <c r="F344" s="53" t="s">
        <v>195</v>
      </c>
      <c r="G344" s="32">
        <v>44361</v>
      </c>
      <c r="H344" s="33">
        <v>0.44025277070406188</v>
      </c>
      <c r="I344" s="30" t="s">
        <v>96</v>
      </c>
      <c r="J344" s="34">
        <v>346810</v>
      </c>
      <c r="K344" s="35" t="s">
        <v>17</v>
      </c>
      <c r="L344" s="36">
        <v>62425.799999999996</v>
      </c>
      <c r="M344" s="30" t="s">
        <v>32</v>
      </c>
      <c r="N344" s="30" t="s">
        <v>47</v>
      </c>
      <c r="O344" s="30" t="s">
        <v>1542</v>
      </c>
      <c r="P344" s="30" t="s">
        <v>1542</v>
      </c>
      <c r="Q344" s="30" t="str">
        <f t="shared" si="25"/>
        <v>AM</v>
      </c>
      <c r="R344" s="30" t="str">
        <f t="shared" si="26"/>
        <v>DM</v>
      </c>
      <c r="S344" s="30" t="str">
        <f>VLOOKUP(M344,'Data - Employee Rights Master'!$C$3:$D$32,2,0)</f>
        <v>AM</v>
      </c>
      <c r="T344" s="30" t="str">
        <f>VLOOKUP(N344,'Data - Employee Rights Master'!$C$3:$D$32,2,0)</f>
        <v>DM</v>
      </c>
      <c r="U344" s="41" t="str">
        <f t="shared" si="27"/>
        <v>PASS</v>
      </c>
      <c r="V344" s="41" t="str">
        <f t="shared" si="28"/>
        <v>NA</v>
      </c>
      <c r="W344" s="30" t="str">
        <f t="shared" si="29"/>
        <v>2122</v>
      </c>
      <c r="X344" s="30" t="str">
        <f>VLOOKUP(MONTH(G344),Key!$F$3:$G$14,2,0)</f>
        <v>Jun</v>
      </c>
      <c r="Y344" s="30" t="str">
        <f>IFERROR(IF(MATCH(F344,'Test 6'!C$5:C$9,0)&gt;0,"RP"),"NON-RP")</f>
        <v>NON-RP</v>
      </c>
    </row>
    <row r="345" spans="2:25" x14ac:dyDescent="0.5">
      <c r="B345" s="30">
        <v>341</v>
      </c>
      <c r="C345" s="30" t="s">
        <v>780</v>
      </c>
      <c r="D345" s="31">
        <v>212282</v>
      </c>
      <c r="E345" s="30" t="s">
        <v>781</v>
      </c>
      <c r="F345" s="53" t="s">
        <v>293</v>
      </c>
      <c r="G345" s="32">
        <v>44361</v>
      </c>
      <c r="H345" s="33">
        <v>0.48483593380754564</v>
      </c>
      <c r="I345" s="30" t="s">
        <v>163</v>
      </c>
      <c r="J345" s="34">
        <v>268040</v>
      </c>
      <c r="K345" s="35" t="s">
        <v>17</v>
      </c>
      <c r="L345" s="36">
        <v>48247.199999999997</v>
      </c>
      <c r="M345" s="30" t="s">
        <v>61</v>
      </c>
      <c r="N345" s="30" t="s">
        <v>68</v>
      </c>
      <c r="O345" s="30" t="s">
        <v>1542</v>
      </c>
      <c r="P345" s="30" t="s">
        <v>1542</v>
      </c>
      <c r="Q345" s="30" t="str">
        <f t="shared" si="25"/>
        <v>AM</v>
      </c>
      <c r="R345" s="30" t="str">
        <f t="shared" si="26"/>
        <v>DM</v>
      </c>
      <c r="S345" s="30" t="str">
        <f>VLOOKUP(M345,'Data - Employee Rights Master'!$C$3:$D$32,2,0)</f>
        <v>AM</v>
      </c>
      <c r="T345" s="30" t="str">
        <f>VLOOKUP(N345,'Data - Employee Rights Master'!$C$3:$D$32,2,0)</f>
        <v>DM</v>
      </c>
      <c r="U345" s="41" t="str">
        <f t="shared" si="27"/>
        <v>PASS</v>
      </c>
      <c r="V345" s="41" t="str">
        <f t="shared" si="28"/>
        <v>NA</v>
      </c>
      <c r="W345" s="30" t="str">
        <f t="shared" si="29"/>
        <v>2122</v>
      </c>
      <c r="X345" s="30" t="str">
        <f>VLOOKUP(MONTH(G345),Key!$F$3:$G$14,2,0)</f>
        <v>Jun</v>
      </c>
      <c r="Y345" s="30" t="str">
        <f>IFERROR(IF(MATCH(F345,'Test 6'!C$5:C$9,0)&gt;0,"RP"),"NON-RP")</f>
        <v>NON-RP</v>
      </c>
    </row>
    <row r="346" spans="2:25" x14ac:dyDescent="0.5">
      <c r="B346" s="30">
        <v>342</v>
      </c>
      <c r="C346" s="30" t="s">
        <v>782</v>
      </c>
      <c r="D346" s="31">
        <v>212283</v>
      </c>
      <c r="E346" s="30" t="s">
        <v>783</v>
      </c>
      <c r="F346" s="53" t="s">
        <v>238</v>
      </c>
      <c r="G346" s="32">
        <v>44364</v>
      </c>
      <c r="H346" s="33">
        <v>0.49951112980050433</v>
      </c>
      <c r="I346" s="30" t="s">
        <v>163</v>
      </c>
      <c r="J346" s="34">
        <v>447580</v>
      </c>
      <c r="K346" s="35" t="s">
        <v>17</v>
      </c>
      <c r="L346" s="36">
        <v>80564.399999999994</v>
      </c>
      <c r="M346" s="30" t="s">
        <v>28</v>
      </c>
      <c r="N346" s="30" t="s">
        <v>24</v>
      </c>
      <c r="O346" s="30" t="s">
        <v>1542</v>
      </c>
      <c r="P346" s="30" t="s">
        <v>1542</v>
      </c>
      <c r="Q346" s="30" t="str">
        <f t="shared" si="25"/>
        <v>AM</v>
      </c>
      <c r="R346" s="30" t="str">
        <f t="shared" si="26"/>
        <v>DM</v>
      </c>
      <c r="S346" s="30" t="str">
        <f>VLOOKUP(M346,'Data - Employee Rights Master'!$C$3:$D$32,2,0)</f>
        <v>AM</v>
      </c>
      <c r="T346" s="30" t="str">
        <f>VLOOKUP(N346,'Data - Employee Rights Master'!$C$3:$D$32,2,0)</f>
        <v>DM</v>
      </c>
      <c r="U346" s="41" t="str">
        <f t="shared" si="27"/>
        <v>PASS</v>
      </c>
      <c r="V346" s="41" t="str">
        <f t="shared" si="28"/>
        <v>NA</v>
      </c>
      <c r="W346" s="30" t="str">
        <f t="shared" si="29"/>
        <v>2122</v>
      </c>
      <c r="X346" s="30" t="str">
        <f>VLOOKUP(MONTH(G346),Key!$F$3:$G$14,2,0)</f>
        <v>Jun</v>
      </c>
      <c r="Y346" s="30" t="str">
        <f>IFERROR(IF(MATCH(F346,'Test 6'!C$5:C$9,0)&gt;0,"RP"),"NON-RP")</f>
        <v>NON-RP</v>
      </c>
    </row>
    <row r="347" spans="2:25" x14ac:dyDescent="0.5">
      <c r="B347" s="30">
        <v>343</v>
      </c>
      <c r="C347" s="30" t="s">
        <v>784</v>
      </c>
      <c r="D347" s="31">
        <v>212284</v>
      </c>
      <c r="E347" s="30" t="s">
        <v>785</v>
      </c>
      <c r="F347" s="53" t="s">
        <v>67</v>
      </c>
      <c r="G347" s="32">
        <v>44365</v>
      </c>
      <c r="H347" s="33">
        <v>0.70940659203923717</v>
      </c>
      <c r="I347" s="30" t="s">
        <v>96</v>
      </c>
      <c r="J347" s="34">
        <v>293240</v>
      </c>
      <c r="K347" s="35" t="s">
        <v>17</v>
      </c>
      <c r="L347" s="36">
        <v>52783.199999999997</v>
      </c>
      <c r="M347" s="30" t="s">
        <v>61</v>
      </c>
      <c r="N347" s="30" t="s">
        <v>24</v>
      </c>
      <c r="O347" s="30" t="s">
        <v>1542</v>
      </c>
      <c r="P347" s="30" t="s">
        <v>1542</v>
      </c>
      <c r="Q347" s="30" t="str">
        <f t="shared" si="25"/>
        <v>AM</v>
      </c>
      <c r="R347" s="30" t="str">
        <f t="shared" si="26"/>
        <v>DM</v>
      </c>
      <c r="S347" s="30" t="str">
        <f>VLOOKUP(M347,'Data - Employee Rights Master'!$C$3:$D$32,2,0)</f>
        <v>AM</v>
      </c>
      <c r="T347" s="30" t="str">
        <f>VLOOKUP(N347,'Data - Employee Rights Master'!$C$3:$D$32,2,0)</f>
        <v>DM</v>
      </c>
      <c r="U347" s="41" t="str">
        <f t="shared" si="27"/>
        <v>PASS</v>
      </c>
      <c r="V347" s="41" t="str">
        <f t="shared" si="28"/>
        <v>NA</v>
      </c>
      <c r="W347" s="30" t="str">
        <f t="shared" si="29"/>
        <v>2122</v>
      </c>
      <c r="X347" s="30" t="str">
        <f>VLOOKUP(MONTH(G347),Key!$F$3:$G$14,2,0)</f>
        <v>Jun</v>
      </c>
      <c r="Y347" s="30" t="str">
        <f>IFERROR(IF(MATCH(F347,'Test 6'!C$5:C$9,0)&gt;0,"RP"),"NON-RP")</f>
        <v>NON-RP</v>
      </c>
    </row>
    <row r="348" spans="2:25" x14ac:dyDescent="0.5">
      <c r="B348" s="30">
        <v>344</v>
      </c>
      <c r="C348" s="30" t="s">
        <v>786</v>
      </c>
      <c r="D348" s="31">
        <v>212285</v>
      </c>
      <c r="E348" s="30" t="s">
        <v>787</v>
      </c>
      <c r="F348" s="53" t="s">
        <v>153</v>
      </c>
      <c r="G348" s="32">
        <v>44366</v>
      </c>
      <c r="H348" s="33">
        <v>0.4834701849959554</v>
      </c>
      <c r="I348" s="30" t="s">
        <v>163</v>
      </c>
      <c r="J348" s="34">
        <v>455400</v>
      </c>
      <c r="K348" s="35" t="s">
        <v>17</v>
      </c>
      <c r="L348" s="36">
        <v>81972</v>
      </c>
      <c r="M348" s="30" t="s">
        <v>61</v>
      </c>
      <c r="N348" s="30" t="s">
        <v>24</v>
      </c>
      <c r="O348" s="30" t="s">
        <v>1542</v>
      </c>
      <c r="P348" s="30" t="s">
        <v>1542</v>
      </c>
      <c r="Q348" s="30" t="str">
        <f t="shared" si="25"/>
        <v>AM</v>
      </c>
      <c r="R348" s="30" t="str">
        <f t="shared" si="26"/>
        <v>DM</v>
      </c>
      <c r="S348" s="30" t="str">
        <f>VLOOKUP(M348,'Data - Employee Rights Master'!$C$3:$D$32,2,0)</f>
        <v>AM</v>
      </c>
      <c r="T348" s="30" t="str">
        <f>VLOOKUP(N348,'Data - Employee Rights Master'!$C$3:$D$32,2,0)</f>
        <v>DM</v>
      </c>
      <c r="U348" s="41" t="str">
        <f t="shared" si="27"/>
        <v>PASS</v>
      </c>
      <c r="V348" s="41" t="str">
        <f t="shared" si="28"/>
        <v>NA</v>
      </c>
      <c r="W348" s="30" t="str">
        <f t="shared" si="29"/>
        <v>2122</v>
      </c>
      <c r="X348" s="30" t="str">
        <f>VLOOKUP(MONTH(G348),Key!$F$3:$G$14,2,0)</f>
        <v>Jun</v>
      </c>
      <c r="Y348" s="30" t="str">
        <f>IFERROR(IF(MATCH(F348,'Test 6'!C$5:C$9,0)&gt;0,"RP"),"NON-RP")</f>
        <v>NON-RP</v>
      </c>
    </row>
    <row r="349" spans="2:25" x14ac:dyDescent="0.5">
      <c r="B349" s="30">
        <v>345</v>
      </c>
      <c r="C349" s="30" t="s">
        <v>788</v>
      </c>
      <c r="D349" s="31">
        <v>212286</v>
      </c>
      <c r="E349" s="30" t="s">
        <v>789</v>
      </c>
      <c r="F349" s="53" t="s">
        <v>238</v>
      </c>
      <c r="G349" s="32">
        <v>44368</v>
      </c>
      <c r="H349" s="33">
        <v>0.45173671102791874</v>
      </c>
      <c r="I349" s="30" t="s">
        <v>163</v>
      </c>
      <c r="J349" s="34">
        <v>451620</v>
      </c>
      <c r="K349" s="35" t="s">
        <v>17</v>
      </c>
      <c r="L349" s="36">
        <v>81291.599999999991</v>
      </c>
      <c r="M349" s="30" t="s">
        <v>32</v>
      </c>
      <c r="N349" s="30" t="s">
        <v>51</v>
      </c>
      <c r="O349" s="30" t="s">
        <v>1542</v>
      </c>
      <c r="P349" s="30" t="s">
        <v>1542</v>
      </c>
      <c r="Q349" s="30" t="str">
        <f t="shared" si="25"/>
        <v>AM</v>
      </c>
      <c r="R349" s="30" t="str">
        <f t="shared" si="26"/>
        <v>DM</v>
      </c>
      <c r="S349" s="30" t="str">
        <f>VLOOKUP(M349,'Data - Employee Rights Master'!$C$3:$D$32,2,0)</f>
        <v>AM</v>
      </c>
      <c r="T349" s="30" t="str">
        <f>VLOOKUP(N349,'Data - Employee Rights Master'!$C$3:$D$32,2,0)</f>
        <v>DM</v>
      </c>
      <c r="U349" s="41" t="str">
        <f t="shared" si="27"/>
        <v>PASS</v>
      </c>
      <c r="V349" s="41" t="str">
        <f t="shared" si="28"/>
        <v>NA</v>
      </c>
      <c r="W349" s="30" t="str">
        <f t="shared" si="29"/>
        <v>2122</v>
      </c>
      <c r="X349" s="30" t="str">
        <f>VLOOKUP(MONTH(G349),Key!$F$3:$G$14,2,0)</f>
        <v>Jun</v>
      </c>
      <c r="Y349" s="30" t="str">
        <f>IFERROR(IF(MATCH(F349,'Test 6'!C$5:C$9,0)&gt;0,"RP"),"NON-RP")</f>
        <v>NON-RP</v>
      </c>
    </row>
    <row r="350" spans="2:25" x14ac:dyDescent="0.5">
      <c r="B350" s="30">
        <v>346</v>
      </c>
      <c r="C350" s="30" t="s">
        <v>790</v>
      </c>
      <c r="D350" s="31">
        <v>212287</v>
      </c>
      <c r="E350" s="30" t="s">
        <v>791</v>
      </c>
      <c r="F350" s="53" t="s">
        <v>184</v>
      </c>
      <c r="G350" s="32">
        <v>44368</v>
      </c>
      <c r="H350" s="33">
        <v>0.48209958783855333</v>
      </c>
      <c r="I350" s="30" t="s">
        <v>163</v>
      </c>
      <c r="J350" s="34">
        <v>253470</v>
      </c>
      <c r="K350" s="35" t="s">
        <v>17</v>
      </c>
      <c r="L350" s="36">
        <v>45624.6</v>
      </c>
      <c r="M350" s="30" t="s">
        <v>23</v>
      </c>
      <c r="N350" s="30" t="s">
        <v>19</v>
      </c>
      <c r="O350" s="30" t="s">
        <v>1542</v>
      </c>
      <c r="P350" s="30" t="s">
        <v>1542</v>
      </c>
      <c r="Q350" s="30" t="str">
        <f t="shared" si="25"/>
        <v>AM</v>
      </c>
      <c r="R350" s="30" t="str">
        <f t="shared" si="26"/>
        <v>DM</v>
      </c>
      <c r="S350" s="30" t="str">
        <f>VLOOKUP(M350,'Data - Employee Rights Master'!$C$3:$D$32,2,0)</f>
        <v>AM</v>
      </c>
      <c r="T350" s="30" t="str">
        <f>VLOOKUP(N350,'Data - Employee Rights Master'!$C$3:$D$32,2,0)</f>
        <v>DM</v>
      </c>
      <c r="U350" s="41" t="str">
        <f t="shared" si="27"/>
        <v>PASS</v>
      </c>
      <c r="V350" s="41" t="str">
        <f t="shared" si="28"/>
        <v>NA</v>
      </c>
      <c r="W350" s="30" t="str">
        <f t="shared" si="29"/>
        <v>2122</v>
      </c>
      <c r="X350" s="30" t="str">
        <f>VLOOKUP(MONTH(G350),Key!$F$3:$G$14,2,0)</f>
        <v>Jun</v>
      </c>
      <c r="Y350" s="30" t="str">
        <f>IFERROR(IF(MATCH(F350,'Test 6'!C$5:C$9,0)&gt;0,"RP"),"NON-RP")</f>
        <v>NON-RP</v>
      </c>
    </row>
    <row r="351" spans="2:25" x14ac:dyDescent="0.5">
      <c r="B351" s="30">
        <v>347</v>
      </c>
      <c r="C351" s="30" t="s">
        <v>792</v>
      </c>
      <c r="D351" s="31">
        <v>212288</v>
      </c>
      <c r="E351" s="30" t="s">
        <v>793</v>
      </c>
      <c r="F351" s="53" t="s">
        <v>125</v>
      </c>
      <c r="G351" s="32">
        <v>44371</v>
      </c>
      <c r="H351" s="33">
        <v>0.64953734887877435</v>
      </c>
      <c r="I351" s="30" t="s">
        <v>163</v>
      </c>
      <c r="J351" s="34">
        <v>459760</v>
      </c>
      <c r="K351" s="35" t="s">
        <v>17</v>
      </c>
      <c r="L351" s="36">
        <v>82756.800000000003</v>
      </c>
      <c r="M351" s="30" t="s">
        <v>61</v>
      </c>
      <c r="N351" s="30" t="s">
        <v>24</v>
      </c>
      <c r="O351" s="30" t="s">
        <v>1542</v>
      </c>
      <c r="P351" s="30" t="s">
        <v>1542</v>
      </c>
      <c r="Q351" s="30" t="str">
        <f t="shared" si="25"/>
        <v>AM</v>
      </c>
      <c r="R351" s="30" t="str">
        <f t="shared" si="26"/>
        <v>DM</v>
      </c>
      <c r="S351" s="30" t="str">
        <f>VLOOKUP(M351,'Data - Employee Rights Master'!$C$3:$D$32,2,0)</f>
        <v>AM</v>
      </c>
      <c r="T351" s="30" t="str">
        <f>VLOOKUP(N351,'Data - Employee Rights Master'!$C$3:$D$32,2,0)</f>
        <v>DM</v>
      </c>
      <c r="U351" s="41" t="str">
        <f t="shared" si="27"/>
        <v>PASS</v>
      </c>
      <c r="V351" s="41" t="str">
        <f t="shared" si="28"/>
        <v>NA</v>
      </c>
      <c r="W351" s="30" t="str">
        <f t="shared" si="29"/>
        <v>2122</v>
      </c>
      <c r="X351" s="30" t="str">
        <f>VLOOKUP(MONTH(G351),Key!$F$3:$G$14,2,0)</f>
        <v>Jun</v>
      </c>
      <c r="Y351" s="30" t="str">
        <f>IFERROR(IF(MATCH(F351,'Test 6'!C$5:C$9,0)&gt;0,"RP"),"NON-RP")</f>
        <v>NON-RP</v>
      </c>
    </row>
    <row r="352" spans="2:25" x14ac:dyDescent="0.5">
      <c r="B352" s="30">
        <v>348</v>
      </c>
      <c r="C352" s="30" t="s">
        <v>794</v>
      </c>
      <c r="D352" s="31">
        <v>212289</v>
      </c>
      <c r="E352" s="30" t="s">
        <v>795</v>
      </c>
      <c r="F352" s="53" t="s">
        <v>119</v>
      </c>
      <c r="G352" s="32">
        <v>44371</v>
      </c>
      <c r="H352" s="33">
        <v>0.74503817164996899</v>
      </c>
      <c r="I352" s="30" t="s">
        <v>163</v>
      </c>
      <c r="J352" s="34">
        <v>334490</v>
      </c>
      <c r="K352" s="35" t="s">
        <v>17</v>
      </c>
      <c r="L352" s="36">
        <v>60208.2</v>
      </c>
      <c r="M352" s="30" t="s">
        <v>61</v>
      </c>
      <c r="N352" s="30" t="s">
        <v>24</v>
      </c>
      <c r="O352" s="30" t="s">
        <v>1542</v>
      </c>
      <c r="P352" s="30" t="s">
        <v>1542</v>
      </c>
      <c r="Q352" s="30" t="str">
        <f t="shared" si="25"/>
        <v>AM</v>
      </c>
      <c r="R352" s="30" t="str">
        <f t="shared" si="26"/>
        <v>DM</v>
      </c>
      <c r="S352" s="30" t="str">
        <f>VLOOKUP(M352,'Data - Employee Rights Master'!$C$3:$D$32,2,0)</f>
        <v>AM</v>
      </c>
      <c r="T352" s="30" t="str">
        <f>VLOOKUP(N352,'Data - Employee Rights Master'!$C$3:$D$32,2,0)</f>
        <v>DM</v>
      </c>
      <c r="U352" s="41" t="str">
        <f t="shared" si="27"/>
        <v>PASS</v>
      </c>
      <c r="V352" s="41" t="str">
        <f t="shared" si="28"/>
        <v>NA</v>
      </c>
      <c r="W352" s="30" t="str">
        <f t="shared" si="29"/>
        <v>2122</v>
      </c>
      <c r="X352" s="30" t="str">
        <f>VLOOKUP(MONTH(G352),Key!$F$3:$G$14,2,0)</f>
        <v>Jun</v>
      </c>
      <c r="Y352" s="30" t="str">
        <f>IFERROR(IF(MATCH(F352,'Test 6'!C$5:C$9,0)&gt;0,"RP"),"NON-RP")</f>
        <v>NON-RP</v>
      </c>
    </row>
    <row r="353" spans="2:25" x14ac:dyDescent="0.5">
      <c r="B353" s="30">
        <v>349</v>
      </c>
      <c r="C353" s="30" t="s">
        <v>796</v>
      </c>
      <c r="D353" s="31">
        <v>212290</v>
      </c>
      <c r="E353" s="30" t="s">
        <v>797</v>
      </c>
      <c r="F353" s="53" t="s">
        <v>308</v>
      </c>
      <c r="G353" s="32">
        <v>44373</v>
      </c>
      <c r="H353" s="33">
        <v>0.81437500000000007</v>
      </c>
      <c r="I353" s="30" t="s">
        <v>163</v>
      </c>
      <c r="J353" s="34">
        <v>4330520</v>
      </c>
      <c r="K353" s="35" t="s">
        <v>17</v>
      </c>
      <c r="L353" s="36">
        <v>779493.6</v>
      </c>
      <c r="M353" s="30" t="s">
        <v>701</v>
      </c>
      <c r="N353" s="30" t="s">
        <v>41</v>
      </c>
      <c r="O353" s="30" t="s">
        <v>1542</v>
      </c>
      <c r="P353" s="30" t="s">
        <v>1542</v>
      </c>
      <c r="Q353" s="30" t="str">
        <f t="shared" si="25"/>
        <v>SM</v>
      </c>
      <c r="R353" s="30" t="str">
        <f t="shared" si="26"/>
        <v>CM</v>
      </c>
      <c r="S353" s="30" t="str">
        <f>VLOOKUP(M353,'Data - Employee Rights Master'!$C$3:$D$32,2,0)</f>
        <v>SM</v>
      </c>
      <c r="T353" s="30" t="str">
        <f>VLOOKUP(N353,'Data - Employee Rights Master'!$C$3:$D$32,2,0)</f>
        <v>CM</v>
      </c>
      <c r="U353" s="41" t="str">
        <f t="shared" si="27"/>
        <v>PASS</v>
      </c>
      <c r="V353" s="41" t="str">
        <f t="shared" si="28"/>
        <v>NA</v>
      </c>
      <c r="W353" s="30" t="str">
        <f t="shared" si="29"/>
        <v>2122</v>
      </c>
      <c r="X353" s="30" t="str">
        <f>VLOOKUP(MONTH(G353),Key!$F$3:$G$14,2,0)</f>
        <v>Jun</v>
      </c>
      <c r="Y353" s="30" t="str">
        <f>IFERROR(IF(MATCH(F353,'Test 6'!C$5:C$9,0)&gt;0,"RP"),"NON-RP")</f>
        <v>RP</v>
      </c>
    </row>
    <row r="354" spans="2:25" x14ac:dyDescent="0.5">
      <c r="B354" s="30">
        <v>350</v>
      </c>
      <c r="C354" s="30" t="s">
        <v>798</v>
      </c>
      <c r="D354" s="31">
        <v>212291</v>
      </c>
      <c r="E354" s="30" t="s">
        <v>799</v>
      </c>
      <c r="F354" s="53" t="s">
        <v>125</v>
      </c>
      <c r="G354" s="32">
        <v>44376</v>
      </c>
      <c r="H354" s="33">
        <v>0.52253607546192837</v>
      </c>
      <c r="I354" s="30" t="s">
        <v>163</v>
      </c>
      <c r="J354" s="34">
        <v>372550</v>
      </c>
      <c r="K354" s="35" t="s">
        <v>17</v>
      </c>
      <c r="L354" s="36">
        <v>67059</v>
      </c>
      <c r="M354" s="30" t="s">
        <v>61</v>
      </c>
      <c r="N354" s="30" t="s">
        <v>24</v>
      </c>
      <c r="O354" s="30" t="s">
        <v>1542</v>
      </c>
      <c r="P354" s="30" t="s">
        <v>1542</v>
      </c>
      <c r="Q354" s="30" t="str">
        <f t="shared" si="25"/>
        <v>AM</v>
      </c>
      <c r="R354" s="30" t="str">
        <f t="shared" si="26"/>
        <v>DM</v>
      </c>
      <c r="S354" s="30" t="str">
        <f>VLOOKUP(M354,'Data - Employee Rights Master'!$C$3:$D$32,2,0)</f>
        <v>AM</v>
      </c>
      <c r="T354" s="30" t="str">
        <f>VLOOKUP(N354,'Data - Employee Rights Master'!$C$3:$D$32,2,0)</f>
        <v>DM</v>
      </c>
      <c r="U354" s="41" t="str">
        <f t="shared" si="27"/>
        <v>PASS</v>
      </c>
      <c r="V354" s="41" t="str">
        <f t="shared" si="28"/>
        <v>NA</v>
      </c>
      <c r="W354" s="30" t="str">
        <f t="shared" si="29"/>
        <v>2122</v>
      </c>
      <c r="X354" s="30" t="str">
        <f>VLOOKUP(MONTH(G354),Key!$F$3:$G$14,2,0)</f>
        <v>Jun</v>
      </c>
      <c r="Y354" s="30" t="str">
        <f>IFERROR(IF(MATCH(F354,'Test 6'!C$5:C$9,0)&gt;0,"RP"),"NON-RP")</f>
        <v>NON-RP</v>
      </c>
    </row>
    <row r="355" spans="2:25" x14ac:dyDescent="0.5">
      <c r="B355" s="30">
        <v>351</v>
      </c>
      <c r="C355" s="30" t="s">
        <v>800</v>
      </c>
      <c r="D355" s="31">
        <v>212292</v>
      </c>
      <c r="E355" s="30" t="s">
        <v>801</v>
      </c>
      <c r="F355" s="53" t="s">
        <v>81</v>
      </c>
      <c r="G355" s="32">
        <v>44377</v>
      </c>
      <c r="H355" s="33">
        <v>0.42570724882577099</v>
      </c>
      <c r="I355" s="30" t="s">
        <v>163</v>
      </c>
      <c r="J355" s="34">
        <v>218040</v>
      </c>
      <c r="K355" s="35" t="s">
        <v>17</v>
      </c>
      <c r="L355" s="36">
        <v>39247.199999999997</v>
      </c>
      <c r="M355" s="30" t="s">
        <v>32</v>
      </c>
      <c r="N355" s="30" t="s">
        <v>51</v>
      </c>
      <c r="O355" s="30" t="s">
        <v>1542</v>
      </c>
      <c r="P355" s="30" t="s">
        <v>1542</v>
      </c>
      <c r="Q355" s="30" t="str">
        <f t="shared" si="25"/>
        <v>AM</v>
      </c>
      <c r="R355" s="30" t="str">
        <f t="shared" si="26"/>
        <v>DM</v>
      </c>
      <c r="S355" s="30" t="str">
        <f>VLOOKUP(M355,'Data - Employee Rights Master'!$C$3:$D$32,2,0)</f>
        <v>AM</v>
      </c>
      <c r="T355" s="30" t="str">
        <f>VLOOKUP(N355,'Data - Employee Rights Master'!$C$3:$D$32,2,0)</f>
        <v>DM</v>
      </c>
      <c r="U355" s="41" t="str">
        <f t="shared" si="27"/>
        <v>PASS</v>
      </c>
      <c r="V355" s="41" t="str">
        <f t="shared" si="28"/>
        <v>NA</v>
      </c>
      <c r="W355" s="30" t="str">
        <f t="shared" si="29"/>
        <v>2122</v>
      </c>
      <c r="X355" s="30" t="str">
        <f>VLOOKUP(MONTH(G355),Key!$F$3:$G$14,2,0)</f>
        <v>Jun</v>
      </c>
      <c r="Y355" s="30" t="str">
        <f>IFERROR(IF(MATCH(F355,'Test 6'!C$5:C$9,0)&gt;0,"RP"),"NON-RP")</f>
        <v>NON-RP</v>
      </c>
    </row>
    <row r="356" spans="2:25" x14ac:dyDescent="0.5">
      <c r="B356" s="30">
        <v>352</v>
      </c>
      <c r="C356" s="30" t="s">
        <v>802</v>
      </c>
      <c r="D356" s="31">
        <v>212293</v>
      </c>
      <c r="E356" s="30" t="s">
        <v>803</v>
      </c>
      <c r="F356" s="53" t="s">
        <v>156</v>
      </c>
      <c r="G356" s="32">
        <v>44377</v>
      </c>
      <c r="H356" s="33">
        <v>0.55702226420141199</v>
      </c>
      <c r="I356" s="30" t="s">
        <v>163</v>
      </c>
      <c r="J356" s="34">
        <v>304750</v>
      </c>
      <c r="K356" s="35" t="s">
        <v>17</v>
      </c>
      <c r="L356" s="36">
        <v>54855</v>
      </c>
      <c r="M356" s="30" t="s">
        <v>32</v>
      </c>
      <c r="N356" s="30" t="s">
        <v>68</v>
      </c>
      <c r="O356" s="30" t="s">
        <v>1542</v>
      </c>
      <c r="P356" s="30" t="s">
        <v>1542</v>
      </c>
      <c r="Q356" s="30" t="str">
        <f t="shared" si="25"/>
        <v>AM</v>
      </c>
      <c r="R356" s="30" t="str">
        <f t="shared" si="26"/>
        <v>DM</v>
      </c>
      <c r="S356" s="30" t="str">
        <f>VLOOKUP(M356,'Data - Employee Rights Master'!$C$3:$D$32,2,0)</f>
        <v>AM</v>
      </c>
      <c r="T356" s="30" t="str">
        <f>VLOOKUP(N356,'Data - Employee Rights Master'!$C$3:$D$32,2,0)</f>
        <v>DM</v>
      </c>
      <c r="U356" s="41" t="str">
        <f t="shared" si="27"/>
        <v>PASS</v>
      </c>
      <c r="V356" s="41" t="str">
        <f t="shared" si="28"/>
        <v>NA</v>
      </c>
      <c r="W356" s="30" t="str">
        <f t="shared" si="29"/>
        <v>2122</v>
      </c>
      <c r="X356" s="30" t="str">
        <f>VLOOKUP(MONTH(G356),Key!$F$3:$G$14,2,0)</f>
        <v>Jun</v>
      </c>
      <c r="Y356" s="30" t="str">
        <f>IFERROR(IF(MATCH(F356,'Test 6'!C$5:C$9,0)&gt;0,"RP"),"NON-RP")</f>
        <v>NON-RP</v>
      </c>
    </row>
    <row r="357" spans="2:25" x14ac:dyDescent="0.5">
      <c r="B357" s="30">
        <v>353</v>
      </c>
      <c r="C357" s="30" t="s">
        <v>804</v>
      </c>
      <c r="D357" s="31">
        <v>212294</v>
      </c>
      <c r="E357" s="30" t="s">
        <v>805</v>
      </c>
      <c r="F357" s="53" t="s">
        <v>577</v>
      </c>
      <c r="G357" s="32">
        <v>44381</v>
      </c>
      <c r="H357" s="33">
        <v>0.49063657407407407</v>
      </c>
      <c r="I357" s="30" t="s">
        <v>216</v>
      </c>
      <c r="J357" s="34">
        <v>4673740</v>
      </c>
      <c r="K357" s="35" t="s">
        <v>17</v>
      </c>
      <c r="L357" s="36">
        <v>841273.2</v>
      </c>
      <c r="M357" s="30" t="s">
        <v>41</v>
      </c>
      <c r="N357" s="30" t="s">
        <v>42</v>
      </c>
      <c r="O357" s="30" t="s">
        <v>1542</v>
      </c>
      <c r="P357" s="30" t="s">
        <v>1542</v>
      </c>
      <c r="Q357" s="30" t="str">
        <f t="shared" si="25"/>
        <v>CM</v>
      </c>
      <c r="R357" s="30" t="str">
        <f t="shared" si="26"/>
        <v>CFO</v>
      </c>
      <c r="S357" s="30" t="str">
        <f>VLOOKUP(M357,'Data - Employee Rights Master'!$C$3:$D$32,2,0)</f>
        <v>CM</v>
      </c>
      <c r="T357" s="30" t="str">
        <f>VLOOKUP(N357,'Data - Employee Rights Master'!$C$3:$D$32,2,0)</f>
        <v>CFO</v>
      </c>
      <c r="U357" s="41" t="str">
        <f t="shared" si="27"/>
        <v>PASS</v>
      </c>
      <c r="V357" s="41" t="str">
        <f t="shared" si="28"/>
        <v>NA</v>
      </c>
      <c r="W357" s="30" t="str">
        <f t="shared" si="29"/>
        <v>2122</v>
      </c>
      <c r="X357" s="30" t="str">
        <f>VLOOKUP(MONTH(G357),Key!$F$3:$G$14,2,0)</f>
        <v>Jul</v>
      </c>
      <c r="Y357" s="30" t="str">
        <f>IFERROR(IF(MATCH(F357,'Test 6'!C$5:C$9,0)&gt;0,"RP"),"NON-RP")</f>
        <v>RP</v>
      </c>
    </row>
    <row r="358" spans="2:25" x14ac:dyDescent="0.5">
      <c r="B358" s="30">
        <v>354</v>
      </c>
      <c r="C358" s="30" t="s">
        <v>806</v>
      </c>
      <c r="D358" s="31">
        <v>212295</v>
      </c>
      <c r="E358" s="30" t="s">
        <v>807</v>
      </c>
      <c r="F358" s="53" t="s">
        <v>608</v>
      </c>
      <c r="G358" s="32">
        <v>44379</v>
      </c>
      <c r="H358" s="33">
        <v>0.69433060140548242</v>
      </c>
      <c r="I358" s="30" t="s">
        <v>216</v>
      </c>
      <c r="J358" s="34">
        <v>223240</v>
      </c>
      <c r="K358" s="35" t="s">
        <v>17</v>
      </c>
      <c r="L358" s="36">
        <v>40183.199999999997</v>
      </c>
      <c r="M358" s="30" t="s">
        <v>23</v>
      </c>
      <c r="N358" s="30" t="s">
        <v>47</v>
      </c>
      <c r="O358" s="30" t="s">
        <v>1542</v>
      </c>
      <c r="P358" s="30" t="s">
        <v>1542</v>
      </c>
      <c r="Q358" s="30" t="str">
        <f t="shared" si="25"/>
        <v>AM</v>
      </c>
      <c r="R358" s="30" t="str">
        <f t="shared" si="26"/>
        <v>DM</v>
      </c>
      <c r="S358" s="30" t="str">
        <f>VLOOKUP(M358,'Data - Employee Rights Master'!$C$3:$D$32,2,0)</f>
        <v>AM</v>
      </c>
      <c r="T358" s="30" t="str">
        <f>VLOOKUP(N358,'Data - Employee Rights Master'!$C$3:$D$32,2,0)</f>
        <v>DM</v>
      </c>
      <c r="U358" s="41" t="str">
        <f t="shared" si="27"/>
        <v>PASS</v>
      </c>
      <c r="V358" s="41" t="str">
        <f t="shared" si="28"/>
        <v>NA</v>
      </c>
      <c r="W358" s="30" t="str">
        <f t="shared" si="29"/>
        <v>2122</v>
      </c>
      <c r="X358" s="30" t="str">
        <f>VLOOKUP(MONTH(G358),Key!$F$3:$G$14,2,0)</f>
        <v>Jul</v>
      </c>
      <c r="Y358" s="30" t="str">
        <f>IFERROR(IF(MATCH(F358,'Test 6'!C$5:C$9,0)&gt;0,"RP"),"NON-RP")</f>
        <v>NON-RP</v>
      </c>
    </row>
    <row r="359" spans="2:25" x14ac:dyDescent="0.5">
      <c r="B359" s="30">
        <v>355</v>
      </c>
      <c r="C359" s="30" t="s">
        <v>808</v>
      </c>
      <c r="D359" s="31">
        <v>212296</v>
      </c>
      <c r="E359" s="30" t="s">
        <v>809</v>
      </c>
      <c r="F359" s="53" t="s">
        <v>125</v>
      </c>
      <c r="G359" s="32">
        <v>44380</v>
      </c>
      <c r="H359" s="33">
        <v>0.47675528842103754</v>
      </c>
      <c r="I359" s="30" t="s">
        <v>216</v>
      </c>
      <c r="J359" s="34">
        <v>4880550</v>
      </c>
      <c r="K359" s="35" t="s">
        <v>17</v>
      </c>
      <c r="L359" s="36">
        <v>878499</v>
      </c>
      <c r="M359" s="30" t="s">
        <v>41</v>
      </c>
      <c r="N359" s="30" t="s">
        <v>42</v>
      </c>
      <c r="O359" s="30" t="s">
        <v>1542</v>
      </c>
      <c r="P359" s="30" t="s">
        <v>1542</v>
      </c>
      <c r="Q359" s="30" t="str">
        <f t="shared" si="25"/>
        <v>CM</v>
      </c>
      <c r="R359" s="30" t="str">
        <f t="shared" si="26"/>
        <v>CFO</v>
      </c>
      <c r="S359" s="30" t="str">
        <f>VLOOKUP(M359,'Data - Employee Rights Master'!$C$3:$D$32,2,0)</f>
        <v>CM</v>
      </c>
      <c r="T359" s="30" t="str">
        <f>VLOOKUP(N359,'Data - Employee Rights Master'!$C$3:$D$32,2,0)</f>
        <v>CFO</v>
      </c>
      <c r="U359" s="41" t="str">
        <f t="shared" si="27"/>
        <v>PASS</v>
      </c>
      <c r="V359" s="41" t="str">
        <f t="shared" si="28"/>
        <v>NA</v>
      </c>
      <c r="W359" s="30" t="str">
        <f t="shared" si="29"/>
        <v>2122</v>
      </c>
      <c r="X359" s="30" t="str">
        <f>VLOOKUP(MONTH(G359),Key!$F$3:$G$14,2,0)</f>
        <v>Jul</v>
      </c>
      <c r="Y359" s="30" t="str">
        <f>IFERROR(IF(MATCH(F359,'Test 6'!C$5:C$9,0)&gt;0,"RP"),"NON-RP")</f>
        <v>NON-RP</v>
      </c>
    </row>
    <row r="360" spans="2:25" x14ac:dyDescent="0.5">
      <c r="B360" s="30">
        <v>356</v>
      </c>
      <c r="C360" s="30" t="s">
        <v>810</v>
      </c>
      <c r="D360" s="31">
        <v>212297</v>
      </c>
      <c r="E360" s="30" t="s">
        <v>811</v>
      </c>
      <c r="F360" s="53" t="s">
        <v>175</v>
      </c>
      <c r="G360" s="32">
        <v>44380</v>
      </c>
      <c r="H360" s="33">
        <v>0.51969200022081075</v>
      </c>
      <c r="I360" s="30" t="s">
        <v>216</v>
      </c>
      <c r="J360" s="34">
        <v>4982880</v>
      </c>
      <c r="K360" s="35" t="s">
        <v>17</v>
      </c>
      <c r="L360" s="36">
        <v>896918.4</v>
      </c>
      <c r="M360" s="30" t="s">
        <v>41</v>
      </c>
      <c r="N360" s="30" t="s">
        <v>42</v>
      </c>
      <c r="O360" s="30" t="s">
        <v>1542</v>
      </c>
      <c r="P360" s="30" t="s">
        <v>1542</v>
      </c>
      <c r="Q360" s="30" t="str">
        <f t="shared" si="25"/>
        <v>CM</v>
      </c>
      <c r="R360" s="30" t="str">
        <f t="shared" si="26"/>
        <v>CFO</v>
      </c>
      <c r="S360" s="30" t="str">
        <f>VLOOKUP(M360,'Data - Employee Rights Master'!$C$3:$D$32,2,0)</f>
        <v>CM</v>
      </c>
      <c r="T360" s="30" t="str">
        <f>VLOOKUP(N360,'Data - Employee Rights Master'!$C$3:$D$32,2,0)</f>
        <v>CFO</v>
      </c>
      <c r="U360" s="41" t="str">
        <f t="shared" si="27"/>
        <v>PASS</v>
      </c>
      <c r="V360" s="41" t="str">
        <f t="shared" si="28"/>
        <v>NA</v>
      </c>
      <c r="W360" s="30" t="str">
        <f t="shared" si="29"/>
        <v>2122</v>
      </c>
      <c r="X360" s="30" t="str">
        <f>VLOOKUP(MONTH(G360),Key!$F$3:$G$14,2,0)</f>
        <v>Jul</v>
      </c>
      <c r="Y360" s="30" t="str">
        <f>IFERROR(IF(MATCH(F360,'Test 6'!C$5:C$9,0)&gt;0,"RP"),"NON-RP")</f>
        <v>NON-RP</v>
      </c>
    </row>
    <row r="361" spans="2:25" x14ac:dyDescent="0.5">
      <c r="B361" s="30">
        <v>357</v>
      </c>
      <c r="C361" s="30" t="s">
        <v>812</v>
      </c>
      <c r="D361" s="31">
        <v>212298</v>
      </c>
      <c r="E361" s="30" t="s">
        <v>813</v>
      </c>
      <c r="F361" s="53" t="s">
        <v>608</v>
      </c>
      <c r="G361" s="32">
        <v>44380</v>
      </c>
      <c r="H361" s="33">
        <v>0.63551066302046799</v>
      </c>
      <c r="I361" s="30" t="s">
        <v>216</v>
      </c>
      <c r="J361" s="34">
        <v>335690</v>
      </c>
      <c r="K361" s="35" t="s">
        <v>17</v>
      </c>
      <c r="L361" s="36">
        <v>60424.2</v>
      </c>
      <c r="M361" s="30" t="s">
        <v>46</v>
      </c>
      <c r="N361" s="30" t="s">
        <v>51</v>
      </c>
      <c r="O361" s="30" t="s">
        <v>1542</v>
      </c>
      <c r="P361" s="30" t="s">
        <v>1542</v>
      </c>
      <c r="Q361" s="30" t="str">
        <f t="shared" si="25"/>
        <v>AM</v>
      </c>
      <c r="R361" s="30" t="str">
        <f t="shared" si="26"/>
        <v>DM</v>
      </c>
      <c r="S361" s="30" t="str">
        <f>VLOOKUP(M361,'Data - Employee Rights Master'!$C$3:$D$32,2,0)</f>
        <v>AM</v>
      </c>
      <c r="T361" s="30" t="str">
        <f>VLOOKUP(N361,'Data - Employee Rights Master'!$C$3:$D$32,2,0)</f>
        <v>DM</v>
      </c>
      <c r="U361" s="41" t="str">
        <f t="shared" si="27"/>
        <v>PASS</v>
      </c>
      <c r="V361" s="41" t="str">
        <f t="shared" si="28"/>
        <v>NA</v>
      </c>
      <c r="W361" s="30" t="str">
        <f t="shared" si="29"/>
        <v>2122</v>
      </c>
      <c r="X361" s="30" t="str">
        <f>VLOOKUP(MONTH(G361),Key!$F$3:$G$14,2,0)</f>
        <v>Jul</v>
      </c>
      <c r="Y361" s="30" t="str">
        <f>IFERROR(IF(MATCH(F361,'Test 6'!C$5:C$9,0)&gt;0,"RP"),"NON-RP")</f>
        <v>NON-RP</v>
      </c>
    </row>
    <row r="362" spans="2:25" x14ac:dyDescent="0.5">
      <c r="B362" s="30">
        <v>358</v>
      </c>
      <c r="C362" s="30" t="s">
        <v>814</v>
      </c>
      <c r="D362" s="31">
        <v>212299</v>
      </c>
      <c r="E362" s="30" t="s">
        <v>815</v>
      </c>
      <c r="F362" s="53" t="s">
        <v>81</v>
      </c>
      <c r="G362" s="32">
        <v>44382</v>
      </c>
      <c r="H362" s="33">
        <v>0.57744145355212617</v>
      </c>
      <c r="I362" s="30" t="s">
        <v>216</v>
      </c>
      <c r="J362" s="34">
        <v>337610</v>
      </c>
      <c r="K362" s="35" t="s">
        <v>17</v>
      </c>
      <c r="L362" s="36">
        <v>60769.799999999996</v>
      </c>
      <c r="M362" s="30" t="s">
        <v>32</v>
      </c>
      <c r="N362" s="30" t="s">
        <v>24</v>
      </c>
      <c r="O362" s="30" t="s">
        <v>1542</v>
      </c>
      <c r="P362" s="30" t="s">
        <v>1542</v>
      </c>
      <c r="Q362" s="30" t="str">
        <f t="shared" si="25"/>
        <v>AM</v>
      </c>
      <c r="R362" s="30" t="str">
        <f t="shared" si="26"/>
        <v>DM</v>
      </c>
      <c r="S362" s="30" t="str">
        <f>VLOOKUP(M362,'Data - Employee Rights Master'!$C$3:$D$32,2,0)</f>
        <v>AM</v>
      </c>
      <c r="T362" s="30" t="str">
        <f>VLOOKUP(N362,'Data - Employee Rights Master'!$C$3:$D$32,2,0)</f>
        <v>DM</v>
      </c>
      <c r="U362" s="41" t="str">
        <f t="shared" si="27"/>
        <v>PASS</v>
      </c>
      <c r="V362" s="41" t="str">
        <f t="shared" si="28"/>
        <v>NA</v>
      </c>
      <c r="W362" s="30" t="str">
        <f t="shared" si="29"/>
        <v>2122</v>
      </c>
      <c r="X362" s="30" t="str">
        <f>VLOOKUP(MONTH(G362),Key!$F$3:$G$14,2,0)</f>
        <v>Jul</v>
      </c>
      <c r="Y362" s="30" t="str">
        <f>IFERROR(IF(MATCH(F362,'Test 6'!C$5:C$9,0)&gt;0,"RP"),"NON-RP")</f>
        <v>NON-RP</v>
      </c>
    </row>
    <row r="363" spans="2:25" x14ac:dyDescent="0.5">
      <c r="B363" s="30">
        <v>359</v>
      </c>
      <c r="C363" s="30" t="s">
        <v>816</v>
      </c>
      <c r="D363" s="31">
        <v>2122100</v>
      </c>
      <c r="E363" s="30" t="s">
        <v>817</v>
      </c>
      <c r="F363" s="53" t="s">
        <v>128</v>
      </c>
      <c r="G363" s="32">
        <v>44382</v>
      </c>
      <c r="H363" s="33">
        <v>0.45647106567443441</v>
      </c>
      <c r="I363" s="30" t="s">
        <v>216</v>
      </c>
      <c r="J363" s="34">
        <v>315160</v>
      </c>
      <c r="K363" s="35" t="s">
        <v>17</v>
      </c>
      <c r="L363" s="36">
        <v>56728.799999999996</v>
      </c>
      <c r="M363" s="30" t="s">
        <v>23</v>
      </c>
      <c r="N363" s="30" t="s">
        <v>47</v>
      </c>
      <c r="O363" s="30" t="s">
        <v>1542</v>
      </c>
      <c r="P363" s="30" t="s">
        <v>1542</v>
      </c>
      <c r="Q363" s="30" t="str">
        <f t="shared" si="25"/>
        <v>AM</v>
      </c>
      <c r="R363" s="30" t="str">
        <f t="shared" si="26"/>
        <v>DM</v>
      </c>
      <c r="S363" s="30" t="str">
        <f>VLOOKUP(M363,'Data - Employee Rights Master'!$C$3:$D$32,2,0)</f>
        <v>AM</v>
      </c>
      <c r="T363" s="30" t="str">
        <f>VLOOKUP(N363,'Data - Employee Rights Master'!$C$3:$D$32,2,0)</f>
        <v>DM</v>
      </c>
      <c r="U363" s="41" t="str">
        <f t="shared" si="27"/>
        <v>PASS</v>
      </c>
      <c r="V363" s="41" t="str">
        <f t="shared" si="28"/>
        <v>NA</v>
      </c>
      <c r="W363" s="30" t="str">
        <f t="shared" si="29"/>
        <v>2122</v>
      </c>
      <c r="X363" s="30" t="str">
        <f>VLOOKUP(MONTH(G363),Key!$F$3:$G$14,2,0)</f>
        <v>Jul</v>
      </c>
      <c r="Y363" s="30" t="str">
        <f>IFERROR(IF(MATCH(F363,'Test 6'!C$5:C$9,0)&gt;0,"RP"),"NON-RP")</f>
        <v>NON-RP</v>
      </c>
    </row>
    <row r="364" spans="2:25" x14ac:dyDescent="0.5">
      <c r="B364" s="30">
        <v>360</v>
      </c>
      <c r="C364" s="30" t="s">
        <v>818</v>
      </c>
      <c r="D364" s="31">
        <v>2122101</v>
      </c>
      <c r="E364" s="30" t="s">
        <v>819</v>
      </c>
      <c r="F364" s="53" t="s">
        <v>114</v>
      </c>
      <c r="G364" s="32">
        <v>44383</v>
      </c>
      <c r="H364" s="33">
        <v>0.74030993727103733</v>
      </c>
      <c r="I364" s="30" t="s">
        <v>216</v>
      </c>
      <c r="J364" s="34">
        <v>258880</v>
      </c>
      <c r="K364" s="35" t="s">
        <v>17</v>
      </c>
      <c r="L364" s="36">
        <v>46598.400000000001</v>
      </c>
      <c r="M364" s="30" t="s">
        <v>28</v>
      </c>
      <c r="N364" s="30" t="s">
        <v>68</v>
      </c>
      <c r="O364" s="30" t="s">
        <v>1542</v>
      </c>
      <c r="P364" s="30" t="s">
        <v>1542</v>
      </c>
      <c r="Q364" s="30" t="str">
        <f t="shared" si="25"/>
        <v>AM</v>
      </c>
      <c r="R364" s="30" t="str">
        <f t="shared" si="26"/>
        <v>DM</v>
      </c>
      <c r="S364" s="30" t="str">
        <f>VLOOKUP(M364,'Data - Employee Rights Master'!$C$3:$D$32,2,0)</f>
        <v>AM</v>
      </c>
      <c r="T364" s="30" t="str">
        <f>VLOOKUP(N364,'Data - Employee Rights Master'!$C$3:$D$32,2,0)</f>
        <v>DM</v>
      </c>
      <c r="U364" s="41" t="str">
        <f t="shared" si="27"/>
        <v>PASS</v>
      </c>
      <c r="V364" s="41" t="str">
        <f t="shared" si="28"/>
        <v>NA</v>
      </c>
      <c r="W364" s="30" t="str">
        <f t="shared" si="29"/>
        <v>2122</v>
      </c>
      <c r="X364" s="30" t="str">
        <f>VLOOKUP(MONTH(G364),Key!$F$3:$G$14,2,0)</f>
        <v>Jul</v>
      </c>
      <c r="Y364" s="30" t="str">
        <f>IFERROR(IF(MATCH(F364,'Test 6'!C$5:C$9,0)&gt;0,"RP"),"NON-RP")</f>
        <v>NON-RP</v>
      </c>
    </row>
    <row r="365" spans="2:25" x14ac:dyDescent="0.5">
      <c r="B365" s="30">
        <v>361</v>
      </c>
      <c r="C365" s="30" t="s">
        <v>820</v>
      </c>
      <c r="D365" s="31">
        <v>2122102</v>
      </c>
      <c r="E365" s="30" t="s">
        <v>821</v>
      </c>
      <c r="F365" s="53" t="s">
        <v>92</v>
      </c>
      <c r="G365" s="32">
        <v>44384</v>
      </c>
      <c r="H365" s="33">
        <v>0.53493979083922072</v>
      </c>
      <c r="I365" s="30" t="s">
        <v>216</v>
      </c>
      <c r="J365" s="34">
        <v>4879050</v>
      </c>
      <c r="K365" s="35" t="s">
        <v>17</v>
      </c>
      <c r="L365" s="36">
        <v>878229</v>
      </c>
      <c r="M365" s="30" t="s">
        <v>41</v>
      </c>
      <c r="N365" s="30" t="s">
        <v>42</v>
      </c>
      <c r="O365" s="30" t="s">
        <v>1542</v>
      </c>
      <c r="P365" s="30" t="s">
        <v>1542</v>
      </c>
      <c r="Q365" s="30" t="str">
        <f t="shared" si="25"/>
        <v>CM</v>
      </c>
      <c r="R365" s="30" t="str">
        <f t="shared" si="26"/>
        <v>CFO</v>
      </c>
      <c r="S365" s="30" t="str">
        <f>VLOOKUP(M365,'Data - Employee Rights Master'!$C$3:$D$32,2,0)</f>
        <v>CM</v>
      </c>
      <c r="T365" s="30" t="str">
        <f>VLOOKUP(N365,'Data - Employee Rights Master'!$C$3:$D$32,2,0)</f>
        <v>CFO</v>
      </c>
      <c r="U365" s="41" t="str">
        <f t="shared" si="27"/>
        <v>PASS</v>
      </c>
      <c r="V365" s="41" t="str">
        <f t="shared" si="28"/>
        <v>NA</v>
      </c>
      <c r="W365" s="30" t="str">
        <f t="shared" si="29"/>
        <v>2122</v>
      </c>
      <c r="X365" s="30" t="str">
        <f>VLOOKUP(MONTH(G365),Key!$F$3:$G$14,2,0)</f>
        <v>Jul</v>
      </c>
      <c r="Y365" s="30" t="str">
        <f>IFERROR(IF(MATCH(F365,'Test 6'!C$5:C$9,0)&gt;0,"RP"),"NON-RP")</f>
        <v>NON-RP</v>
      </c>
    </row>
    <row r="366" spans="2:25" x14ac:dyDescent="0.5">
      <c r="B366" s="30">
        <v>362</v>
      </c>
      <c r="C366" s="30" t="s">
        <v>822</v>
      </c>
      <c r="D366" s="31">
        <v>2122103</v>
      </c>
      <c r="E366" s="30" t="s">
        <v>823</v>
      </c>
      <c r="F366" s="53" t="s">
        <v>332</v>
      </c>
      <c r="G366" s="32">
        <v>44384</v>
      </c>
      <c r="H366" s="33">
        <v>0.68598651138173161</v>
      </c>
      <c r="I366" s="30" t="s">
        <v>216</v>
      </c>
      <c r="J366" s="34">
        <v>4517900</v>
      </c>
      <c r="K366" s="35" t="s">
        <v>17</v>
      </c>
      <c r="L366" s="36">
        <v>813222</v>
      </c>
      <c r="M366" s="30" t="s">
        <v>41</v>
      </c>
      <c r="N366" s="30" t="s">
        <v>42</v>
      </c>
      <c r="O366" s="30" t="s">
        <v>1542</v>
      </c>
      <c r="P366" s="30" t="s">
        <v>1542</v>
      </c>
      <c r="Q366" s="30" t="str">
        <f t="shared" si="25"/>
        <v>CM</v>
      </c>
      <c r="R366" s="30" t="str">
        <f t="shared" si="26"/>
        <v>CFO</v>
      </c>
      <c r="S366" s="30" t="str">
        <f>VLOOKUP(M366,'Data - Employee Rights Master'!$C$3:$D$32,2,0)</f>
        <v>CM</v>
      </c>
      <c r="T366" s="30" t="str">
        <f>VLOOKUP(N366,'Data - Employee Rights Master'!$C$3:$D$32,2,0)</f>
        <v>CFO</v>
      </c>
      <c r="U366" s="41" t="str">
        <f t="shared" si="27"/>
        <v>PASS</v>
      </c>
      <c r="V366" s="41" t="str">
        <f t="shared" si="28"/>
        <v>NA</v>
      </c>
      <c r="W366" s="30" t="str">
        <f t="shared" si="29"/>
        <v>2122</v>
      </c>
      <c r="X366" s="30" t="str">
        <f>VLOOKUP(MONTH(G366),Key!$F$3:$G$14,2,0)</f>
        <v>Jul</v>
      </c>
      <c r="Y366" s="30" t="str">
        <f>IFERROR(IF(MATCH(F366,'Test 6'!C$5:C$9,0)&gt;0,"RP"),"NON-RP")</f>
        <v>NON-RP</v>
      </c>
    </row>
    <row r="367" spans="2:25" x14ac:dyDescent="0.5">
      <c r="B367" s="30">
        <v>363</v>
      </c>
      <c r="C367" s="30" t="s">
        <v>824</v>
      </c>
      <c r="D367" s="31">
        <v>2122104</v>
      </c>
      <c r="E367" s="30" t="s">
        <v>825</v>
      </c>
      <c r="F367" s="53" t="s">
        <v>308</v>
      </c>
      <c r="G367" s="32">
        <v>44388</v>
      </c>
      <c r="H367" s="33">
        <v>0.50436342592592587</v>
      </c>
      <c r="I367" s="30" t="s">
        <v>216</v>
      </c>
      <c r="J367" s="34">
        <v>4059510</v>
      </c>
      <c r="K367" s="35" t="s">
        <v>17</v>
      </c>
      <c r="L367" s="36">
        <v>730711.79999999993</v>
      </c>
      <c r="M367" s="30" t="s">
        <v>701</v>
      </c>
      <c r="N367" s="30" t="s">
        <v>41</v>
      </c>
      <c r="O367" s="30" t="s">
        <v>1542</v>
      </c>
      <c r="P367" s="30" t="s">
        <v>1542</v>
      </c>
      <c r="Q367" s="30" t="str">
        <f t="shared" si="25"/>
        <v>SM</v>
      </c>
      <c r="R367" s="30" t="str">
        <f t="shared" si="26"/>
        <v>CM</v>
      </c>
      <c r="S367" s="30" t="str">
        <f>VLOOKUP(M367,'Data - Employee Rights Master'!$C$3:$D$32,2,0)</f>
        <v>SM</v>
      </c>
      <c r="T367" s="30" t="str">
        <f>VLOOKUP(N367,'Data - Employee Rights Master'!$C$3:$D$32,2,0)</f>
        <v>CM</v>
      </c>
      <c r="U367" s="41" t="str">
        <f t="shared" si="27"/>
        <v>PASS</v>
      </c>
      <c r="V367" s="41" t="str">
        <f t="shared" si="28"/>
        <v>NA</v>
      </c>
      <c r="W367" s="30" t="str">
        <f t="shared" si="29"/>
        <v>2122</v>
      </c>
      <c r="X367" s="30" t="str">
        <f>VLOOKUP(MONTH(G367),Key!$F$3:$G$14,2,0)</f>
        <v>Jul</v>
      </c>
      <c r="Y367" s="30" t="str">
        <f>IFERROR(IF(MATCH(F367,'Test 6'!C$5:C$9,0)&gt;0,"RP"),"NON-RP")</f>
        <v>RP</v>
      </c>
    </row>
    <row r="368" spans="2:25" x14ac:dyDescent="0.5">
      <c r="B368" s="30">
        <v>364</v>
      </c>
      <c r="C368" s="30" t="s">
        <v>826</v>
      </c>
      <c r="D368" s="31">
        <v>2122105</v>
      </c>
      <c r="E368" s="30" t="s">
        <v>827</v>
      </c>
      <c r="F368" s="53" t="s">
        <v>50</v>
      </c>
      <c r="G368" s="32">
        <v>44384</v>
      </c>
      <c r="H368" s="33">
        <v>0.42348339276709984</v>
      </c>
      <c r="I368" s="30" t="s">
        <v>216</v>
      </c>
      <c r="J368" s="34">
        <v>420600</v>
      </c>
      <c r="K368" s="35" t="s">
        <v>17</v>
      </c>
      <c r="L368" s="36">
        <v>75708</v>
      </c>
      <c r="M368" s="30" t="s">
        <v>46</v>
      </c>
      <c r="N368" s="30" t="s">
        <v>24</v>
      </c>
      <c r="O368" s="30" t="s">
        <v>1542</v>
      </c>
      <c r="P368" s="30" t="s">
        <v>1542</v>
      </c>
      <c r="Q368" s="30" t="str">
        <f t="shared" si="25"/>
        <v>AM</v>
      </c>
      <c r="R368" s="30" t="str">
        <f t="shared" si="26"/>
        <v>DM</v>
      </c>
      <c r="S368" s="30" t="str">
        <f>VLOOKUP(M368,'Data - Employee Rights Master'!$C$3:$D$32,2,0)</f>
        <v>AM</v>
      </c>
      <c r="T368" s="30" t="str">
        <f>VLOOKUP(N368,'Data - Employee Rights Master'!$C$3:$D$32,2,0)</f>
        <v>DM</v>
      </c>
      <c r="U368" s="41" t="str">
        <f t="shared" si="27"/>
        <v>PASS</v>
      </c>
      <c r="V368" s="41" t="str">
        <f t="shared" si="28"/>
        <v>NA</v>
      </c>
      <c r="W368" s="30" t="str">
        <f t="shared" si="29"/>
        <v>2122</v>
      </c>
      <c r="X368" s="30" t="str">
        <f>VLOOKUP(MONTH(G368),Key!$F$3:$G$14,2,0)</f>
        <v>Jul</v>
      </c>
      <c r="Y368" s="30" t="str">
        <f>IFERROR(IF(MATCH(F368,'Test 6'!C$5:C$9,0)&gt;0,"RP"),"NON-RP")</f>
        <v>NON-RP</v>
      </c>
    </row>
    <row r="369" spans="2:25" x14ac:dyDescent="0.5">
      <c r="B369" s="30">
        <v>365</v>
      </c>
      <c r="C369" s="30" t="s">
        <v>828</v>
      </c>
      <c r="D369" s="31">
        <v>2122106</v>
      </c>
      <c r="E369" s="30" t="s">
        <v>829</v>
      </c>
      <c r="F369" s="53" t="s">
        <v>128</v>
      </c>
      <c r="G369" s="32">
        <v>44385</v>
      </c>
      <c r="H369" s="33">
        <v>0.49732947161492858</v>
      </c>
      <c r="I369" s="30" t="s">
        <v>163</v>
      </c>
      <c r="J369" s="34">
        <v>247030</v>
      </c>
      <c r="K369" s="35" t="s">
        <v>17</v>
      </c>
      <c r="L369" s="36">
        <v>44465.4</v>
      </c>
      <c r="M369" s="30" t="s">
        <v>46</v>
      </c>
      <c r="N369" s="30" t="s">
        <v>68</v>
      </c>
      <c r="O369" s="30" t="s">
        <v>1542</v>
      </c>
      <c r="P369" s="30" t="s">
        <v>1542</v>
      </c>
      <c r="Q369" s="30" t="str">
        <f t="shared" si="25"/>
        <v>AM</v>
      </c>
      <c r="R369" s="30" t="str">
        <f t="shared" si="26"/>
        <v>DM</v>
      </c>
      <c r="S369" s="30" t="str">
        <f>VLOOKUP(M369,'Data - Employee Rights Master'!$C$3:$D$32,2,0)</f>
        <v>AM</v>
      </c>
      <c r="T369" s="30" t="str">
        <f>VLOOKUP(N369,'Data - Employee Rights Master'!$C$3:$D$32,2,0)</f>
        <v>DM</v>
      </c>
      <c r="U369" s="41" t="str">
        <f t="shared" si="27"/>
        <v>PASS</v>
      </c>
      <c r="V369" s="41" t="str">
        <f t="shared" si="28"/>
        <v>NA</v>
      </c>
      <c r="W369" s="30" t="str">
        <f t="shared" si="29"/>
        <v>2122</v>
      </c>
      <c r="X369" s="30" t="str">
        <f>VLOOKUP(MONTH(G369),Key!$F$3:$G$14,2,0)</f>
        <v>Jul</v>
      </c>
      <c r="Y369" s="30" t="str">
        <f>IFERROR(IF(MATCH(F369,'Test 6'!C$5:C$9,0)&gt;0,"RP"),"NON-RP")</f>
        <v>NON-RP</v>
      </c>
    </row>
    <row r="370" spans="2:25" x14ac:dyDescent="0.5">
      <c r="B370" s="30">
        <v>366</v>
      </c>
      <c r="C370" s="30" t="s">
        <v>830</v>
      </c>
      <c r="D370" s="31">
        <v>2122107</v>
      </c>
      <c r="E370" s="30" t="s">
        <v>831</v>
      </c>
      <c r="F370" s="53" t="s">
        <v>54</v>
      </c>
      <c r="G370" s="32">
        <v>44385</v>
      </c>
      <c r="H370" s="33">
        <v>0.49278053064262967</v>
      </c>
      <c r="I370" s="30" t="s">
        <v>216</v>
      </c>
      <c r="J370" s="34">
        <v>254270</v>
      </c>
      <c r="K370" s="35" t="s">
        <v>17</v>
      </c>
      <c r="L370" s="36">
        <v>45768.6</v>
      </c>
      <c r="M370" s="30" t="s">
        <v>32</v>
      </c>
      <c r="N370" s="30" t="s">
        <v>24</v>
      </c>
      <c r="O370" s="30" t="s">
        <v>1542</v>
      </c>
      <c r="P370" s="30" t="s">
        <v>1542</v>
      </c>
      <c r="Q370" s="30" t="str">
        <f t="shared" si="25"/>
        <v>AM</v>
      </c>
      <c r="R370" s="30" t="str">
        <f t="shared" si="26"/>
        <v>DM</v>
      </c>
      <c r="S370" s="30" t="str">
        <f>VLOOKUP(M370,'Data - Employee Rights Master'!$C$3:$D$32,2,0)</f>
        <v>AM</v>
      </c>
      <c r="T370" s="30" t="str">
        <f>VLOOKUP(N370,'Data - Employee Rights Master'!$C$3:$D$32,2,0)</f>
        <v>DM</v>
      </c>
      <c r="U370" s="41" t="str">
        <f t="shared" si="27"/>
        <v>PASS</v>
      </c>
      <c r="V370" s="41" t="str">
        <f t="shared" si="28"/>
        <v>NA</v>
      </c>
      <c r="W370" s="30" t="str">
        <f t="shared" si="29"/>
        <v>2122</v>
      </c>
      <c r="X370" s="30" t="str">
        <f>VLOOKUP(MONTH(G370),Key!$F$3:$G$14,2,0)</f>
        <v>Jul</v>
      </c>
      <c r="Y370" s="30" t="str">
        <f>IFERROR(IF(MATCH(F370,'Test 6'!C$5:C$9,0)&gt;0,"RP"),"NON-RP")</f>
        <v>NON-RP</v>
      </c>
    </row>
    <row r="371" spans="2:25" x14ac:dyDescent="0.5">
      <c r="B371" s="30">
        <v>367</v>
      </c>
      <c r="C371" s="30" t="s">
        <v>832</v>
      </c>
      <c r="D371" s="31">
        <v>2122108</v>
      </c>
      <c r="E371" s="30" t="s">
        <v>833</v>
      </c>
      <c r="F371" s="53" t="s">
        <v>45</v>
      </c>
      <c r="G371" s="32">
        <v>44385</v>
      </c>
      <c r="H371" s="33">
        <v>0.62381740363344584</v>
      </c>
      <c r="I371" s="30" t="s">
        <v>216</v>
      </c>
      <c r="J371" s="34">
        <v>344300</v>
      </c>
      <c r="K371" s="35" t="s">
        <v>17</v>
      </c>
      <c r="L371" s="36">
        <v>61974</v>
      </c>
      <c r="M371" s="30" t="s">
        <v>46</v>
      </c>
      <c r="N371" s="30" t="s">
        <v>51</v>
      </c>
      <c r="O371" s="30" t="s">
        <v>1542</v>
      </c>
      <c r="P371" s="30" t="s">
        <v>1542</v>
      </c>
      <c r="Q371" s="30" t="str">
        <f t="shared" si="25"/>
        <v>AM</v>
      </c>
      <c r="R371" s="30" t="str">
        <f t="shared" si="26"/>
        <v>DM</v>
      </c>
      <c r="S371" s="30" t="str">
        <f>VLOOKUP(M371,'Data - Employee Rights Master'!$C$3:$D$32,2,0)</f>
        <v>AM</v>
      </c>
      <c r="T371" s="30" t="str">
        <f>VLOOKUP(N371,'Data - Employee Rights Master'!$C$3:$D$32,2,0)</f>
        <v>DM</v>
      </c>
      <c r="U371" s="41" t="str">
        <f t="shared" si="27"/>
        <v>PASS</v>
      </c>
      <c r="V371" s="41" t="str">
        <f t="shared" si="28"/>
        <v>NA</v>
      </c>
      <c r="W371" s="30" t="str">
        <f t="shared" si="29"/>
        <v>2122</v>
      </c>
      <c r="X371" s="30" t="str">
        <f>VLOOKUP(MONTH(G371),Key!$F$3:$G$14,2,0)</f>
        <v>Jul</v>
      </c>
      <c r="Y371" s="30" t="str">
        <f>IFERROR(IF(MATCH(F371,'Test 6'!C$5:C$9,0)&gt;0,"RP"),"NON-RP")</f>
        <v>NON-RP</v>
      </c>
    </row>
    <row r="372" spans="2:25" x14ac:dyDescent="0.5">
      <c r="B372" s="30">
        <v>368</v>
      </c>
      <c r="C372" s="30" t="s">
        <v>834</v>
      </c>
      <c r="D372" s="31">
        <v>2122109</v>
      </c>
      <c r="E372" s="30" t="s">
        <v>835</v>
      </c>
      <c r="F372" s="53" t="s">
        <v>122</v>
      </c>
      <c r="G372" s="32">
        <v>44385</v>
      </c>
      <c r="H372" s="33">
        <v>0.55073273145144186</v>
      </c>
      <c r="I372" s="30" t="s">
        <v>163</v>
      </c>
      <c r="J372" s="34">
        <v>457400</v>
      </c>
      <c r="K372" s="35" t="s">
        <v>17</v>
      </c>
      <c r="L372" s="36">
        <v>82332</v>
      </c>
      <c r="M372" s="30" t="s">
        <v>32</v>
      </c>
      <c r="N372" s="30" t="s">
        <v>19</v>
      </c>
      <c r="O372" s="30" t="s">
        <v>1542</v>
      </c>
      <c r="P372" s="30" t="s">
        <v>1542</v>
      </c>
      <c r="Q372" s="30" t="str">
        <f t="shared" si="25"/>
        <v>AM</v>
      </c>
      <c r="R372" s="30" t="str">
        <f t="shared" si="26"/>
        <v>DM</v>
      </c>
      <c r="S372" s="30" t="str">
        <f>VLOOKUP(M372,'Data - Employee Rights Master'!$C$3:$D$32,2,0)</f>
        <v>AM</v>
      </c>
      <c r="T372" s="30" t="str">
        <f>VLOOKUP(N372,'Data - Employee Rights Master'!$C$3:$D$32,2,0)</f>
        <v>DM</v>
      </c>
      <c r="U372" s="41" t="str">
        <f t="shared" si="27"/>
        <v>PASS</v>
      </c>
      <c r="V372" s="41" t="str">
        <f t="shared" si="28"/>
        <v>NA</v>
      </c>
      <c r="W372" s="30" t="str">
        <f t="shared" si="29"/>
        <v>2122</v>
      </c>
      <c r="X372" s="30" t="str">
        <f>VLOOKUP(MONTH(G372),Key!$F$3:$G$14,2,0)</f>
        <v>Jul</v>
      </c>
      <c r="Y372" s="30" t="str">
        <f>IFERROR(IF(MATCH(F372,'Test 6'!C$5:C$9,0)&gt;0,"RP"),"NON-RP")</f>
        <v>NON-RP</v>
      </c>
    </row>
    <row r="373" spans="2:25" x14ac:dyDescent="0.5">
      <c r="B373" s="30">
        <v>369</v>
      </c>
      <c r="C373" s="30" t="s">
        <v>836</v>
      </c>
      <c r="D373" s="31">
        <v>2122110</v>
      </c>
      <c r="E373" s="30" t="s">
        <v>837</v>
      </c>
      <c r="F373" s="53" t="s">
        <v>81</v>
      </c>
      <c r="G373" s="32">
        <v>44386</v>
      </c>
      <c r="H373" s="33">
        <v>0.59141745604054941</v>
      </c>
      <c r="I373" s="30" t="s">
        <v>216</v>
      </c>
      <c r="J373" s="34">
        <v>314630</v>
      </c>
      <c r="K373" s="35" t="s">
        <v>17</v>
      </c>
      <c r="L373" s="36">
        <v>56633.4</v>
      </c>
      <c r="M373" s="30" t="s">
        <v>28</v>
      </c>
      <c r="N373" s="30" t="s">
        <v>51</v>
      </c>
      <c r="O373" s="30" t="s">
        <v>1542</v>
      </c>
      <c r="P373" s="30" t="s">
        <v>1542</v>
      </c>
      <c r="Q373" s="30" t="str">
        <f t="shared" si="25"/>
        <v>AM</v>
      </c>
      <c r="R373" s="30" t="str">
        <f t="shared" si="26"/>
        <v>DM</v>
      </c>
      <c r="S373" s="30" t="str">
        <f>VLOOKUP(M373,'Data - Employee Rights Master'!$C$3:$D$32,2,0)</f>
        <v>AM</v>
      </c>
      <c r="T373" s="30" t="str">
        <f>VLOOKUP(N373,'Data - Employee Rights Master'!$C$3:$D$32,2,0)</f>
        <v>DM</v>
      </c>
      <c r="U373" s="41" t="str">
        <f t="shared" si="27"/>
        <v>PASS</v>
      </c>
      <c r="V373" s="41" t="str">
        <f t="shared" si="28"/>
        <v>NA</v>
      </c>
      <c r="W373" s="30" t="str">
        <f t="shared" si="29"/>
        <v>2122</v>
      </c>
      <c r="X373" s="30" t="str">
        <f>VLOOKUP(MONTH(G373),Key!$F$3:$G$14,2,0)</f>
        <v>Jul</v>
      </c>
      <c r="Y373" s="30" t="str">
        <f>IFERROR(IF(MATCH(F373,'Test 6'!C$5:C$9,0)&gt;0,"RP"),"NON-RP")</f>
        <v>NON-RP</v>
      </c>
    </row>
    <row r="374" spans="2:25" x14ac:dyDescent="0.5">
      <c r="B374" s="30">
        <v>370</v>
      </c>
      <c r="C374" s="30" t="s">
        <v>838</v>
      </c>
      <c r="D374" s="31">
        <v>2122111</v>
      </c>
      <c r="E374" s="30" t="s">
        <v>839</v>
      </c>
      <c r="F374" s="53" t="s">
        <v>103</v>
      </c>
      <c r="G374" s="32">
        <v>44387</v>
      </c>
      <c r="H374" s="33">
        <v>0.62824245697541536</v>
      </c>
      <c r="I374" s="30" t="s">
        <v>216</v>
      </c>
      <c r="J374" s="34">
        <v>403900</v>
      </c>
      <c r="K374" s="35" t="s">
        <v>17</v>
      </c>
      <c r="L374" s="36">
        <v>72702</v>
      </c>
      <c r="M374" s="30" t="s">
        <v>23</v>
      </c>
      <c r="N374" s="30" t="s">
        <v>51</v>
      </c>
      <c r="O374" s="30" t="s">
        <v>1542</v>
      </c>
      <c r="P374" s="30" t="s">
        <v>1542</v>
      </c>
      <c r="Q374" s="30" t="str">
        <f t="shared" si="25"/>
        <v>AM</v>
      </c>
      <c r="R374" s="30" t="str">
        <f t="shared" si="26"/>
        <v>DM</v>
      </c>
      <c r="S374" s="30" t="str">
        <f>VLOOKUP(M374,'Data - Employee Rights Master'!$C$3:$D$32,2,0)</f>
        <v>AM</v>
      </c>
      <c r="T374" s="30" t="str">
        <f>VLOOKUP(N374,'Data - Employee Rights Master'!$C$3:$D$32,2,0)</f>
        <v>DM</v>
      </c>
      <c r="U374" s="41" t="str">
        <f t="shared" si="27"/>
        <v>PASS</v>
      </c>
      <c r="V374" s="41" t="str">
        <f t="shared" si="28"/>
        <v>NA</v>
      </c>
      <c r="W374" s="30" t="str">
        <f t="shared" si="29"/>
        <v>2122</v>
      </c>
      <c r="X374" s="30" t="str">
        <f>VLOOKUP(MONTH(G374),Key!$F$3:$G$14,2,0)</f>
        <v>Jul</v>
      </c>
      <c r="Y374" s="30" t="str">
        <f>IFERROR(IF(MATCH(F374,'Test 6'!C$5:C$9,0)&gt;0,"RP"),"NON-RP")</f>
        <v>NON-RP</v>
      </c>
    </row>
    <row r="375" spans="2:25" x14ac:dyDescent="0.5">
      <c r="B375" s="30">
        <v>371</v>
      </c>
      <c r="C375" s="30" t="s">
        <v>840</v>
      </c>
      <c r="D375" s="31">
        <v>2122112</v>
      </c>
      <c r="E375" s="30" t="s">
        <v>841</v>
      </c>
      <c r="F375" s="53" t="s">
        <v>60</v>
      </c>
      <c r="G375" s="32">
        <v>44389</v>
      </c>
      <c r="H375" s="33">
        <v>0.5115321227729891</v>
      </c>
      <c r="I375" s="30" t="s">
        <v>216</v>
      </c>
      <c r="J375" s="34">
        <v>318940</v>
      </c>
      <c r="K375" s="35" t="s">
        <v>17</v>
      </c>
      <c r="L375" s="36">
        <v>57409.2</v>
      </c>
      <c r="M375" s="30" t="s">
        <v>23</v>
      </c>
      <c r="N375" s="30" t="s">
        <v>68</v>
      </c>
      <c r="O375" s="30" t="s">
        <v>1542</v>
      </c>
      <c r="P375" s="30" t="s">
        <v>1542</v>
      </c>
      <c r="Q375" s="30" t="str">
        <f t="shared" si="25"/>
        <v>AM</v>
      </c>
      <c r="R375" s="30" t="str">
        <f t="shared" si="26"/>
        <v>DM</v>
      </c>
      <c r="S375" s="30" t="str">
        <f>VLOOKUP(M375,'Data - Employee Rights Master'!$C$3:$D$32,2,0)</f>
        <v>AM</v>
      </c>
      <c r="T375" s="30" t="str">
        <f>VLOOKUP(N375,'Data - Employee Rights Master'!$C$3:$D$32,2,0)</f>
        <v>DM</v>
      </c>
      <c r="U375" s="41" t="str">
        <f t="shared" si="27"/>
        <v>PASS</v>
      </c>
      <c r="V375" s="41" t="str">
        <f t="shared" si="28"/>
        <v>NA</v>
      </c>
      <c r="W375" s="30" t="str">
        <f t="shared" si="29"/>
        <v>2122</v>
      </c>
      <c r="X375" s="30" t="str">
        <f>VLOOKUP(MONTH(G375),Key!$F$3:$G$14,2,0)</f>
        <v>Jul</v>
      </c>
      <c r="Y375" s="30" t="str">
        <f>IFERROR(IF(MATCH(F375,'Test 6'!C$5:C$9,0)&gt;0,"RP"),"NON-RP")</f>
        <v>NON-RP</v>
      </c>
    </row>
    <row r="376" spans="2:25" x14ac:dyDescent="0.5">
      <c r="B376" s="30">
        <v>372</v>
      </c>
      <c r="C376" s="30" t="s">
        <v>842</v>
      </c>
      <c r="D376" s="31">
        <v>2122113</v>
      </c>
      <c r="E376" s="30" t="s">
        <v>843</v>
      </c>
      <c r="F376" s="53" t="s">
        <v>203</v>
      </c>
      <c r="G376" s="32">
        <v>44389</v>
      </c>
      <c r="H376" s="33">
        <v>0.542612843305596</v>
      </c>
      <c r="I376" s="30" t="s">
        <v>216</v>
      </c>
      <c r="J376" s="34">
        <v>345820</v>
      </c>
      <c r="K376" s="35" t="s">
        <v>17</v>
      </c>
      <c r="L376" s="36">
        <v>62247.6</v>
      </c>
      <c r="M376" s="30" t="s">
        <v>37</v>
      </c>
      <c r="N376" s="30" t="s">
        <v>68</v>
      </c>
      <c r="O376" s="30" t="s">
        <v>1542</v>
      </c>
      <c r="P376" s="30" t="s">
        <v>1542</v>
      </c>
      <c r="Q376" s="30" t="str">
        <f t="shared" si="25"/>
        <v>AM</v>
      </c>
      <c r="R376" s="30" t="str">
        <f t="shared" si="26"/>
        <v>DM</v>
      </c>
      <c r="S376" s="30" t="str">
        <f>VLOOKUP(M376,'Data - Employee Rights Master'!$C$3:$D$32,2,0)</f>
        <v>AM</v>
      </c>
      <c r="T376" s="30" t="str">
        <f>VLOOKUP(N376,'Data - Employee Rights Master'!$C$3:$D$32,2,0)</f>
        <v>DM</v>
      </c>
      <c r="U376" s="41" t="str">
        <f t="shared" si="27"/>
        <v>PASS</v>
      </c>
      <c r="V376" s="41" t="str">
        <f t="shared" si="28"/>
        <v>NA</v>
      </c>
      <c r="W376" s="30" t="str">
        <f t="shared" si="29"/>
        <v>2122</v>
      </c>
      <c r="X376" s="30" t="str">
        <f>VLOOKUP(MONTH(G376),Key!$F$3:$G$14,2,0)</f>
        <v>Jul</v>
      </c>
      <c r="Y376" s="30" t="str">
        <f>IFERROR(IF(MATCH(F376,'Test 6'!C$5:C$9,0)&gt;0,"RP"),"NON-RP")</f>
        <v>NON-RP</v>
      </c>
    </row>
    <row r="377" spans="2:25" x14ac:dyDescent="0.5">
      <c r="B377" s="30">
        <v>373</v>
      </c>
      <c r="C377" s="30" t="s">
        <v>844</v>
      </c>
      <c r="D377" s="31">
        <v>2122114</v>
      </c>
      <c r="E377" s="30" t="s">
        <v>845</v>
      </c>
      <c r="F377" s="53" t="s">
        <v>119</v>
      </c>
      <c r="G377" s="32">
        <v>44389</v>
      </c>
      <c r="H377" s="33">
        <v>0.52241587750008434</v>
      </c>
      <c r="I377" s="30" t="s">
        <v>216</v>
      </c>
      <c r="J377" s="34">
        <v>475420</v>
      </c>
      <c r="K377" s="35" t="s">
        <v>17</v>
      </c>
      <c r="L377" s="36">
        <v>85575.599999999991</v>
      </c>
      <c r="M377" s="30" t="s">
        <v>18</v>
      </c>
      <c r="N377" s="30" t="s">
        <v>51</v>
      </c>
      <c r="O377" s="30" t="s">
        <v>1542</v>
      </c>
      <c r="P377" s="30" t="s">
        <v>1542</v>
      </c>
      <c r="Q377" s="30" t="str">
        <f t="shared" si="25"/>
        <v>AM</v>
      </c>
      <c r="R377" s="30" t="str">
        <f t="shared" si="26"/>
        <v>DM</v>
      </c>
      <c r="S377" s="30" t="str">
        <f>VLOOKUP(M377,'Data - Employee Rights Master'!$C$3:$D$32,2,0)</f>
        <v>AM</v>
      </c>
      <c r="T377" s="30" t="str">
        <f>VLOOKUP(N377,'Data - Employee Rights Master'!$C$3:$D$32,2,0)</f>
        <v>DM</v>
      </c>
      <c r="U377" s="41" t="str">
        <f t="shared" si="27"/>
        <v>PASS</v>
      </c>
      <c r="V377" s="41" t="str">
        <f t="shared" si="28"/>
        <v>NA</v>
      </c>
      <c r="W377" s="30" t="str">
        <f t="shared" si="29"/>
        <v>2122</v>
      </c>
      <c r="X377" s="30" t="str">
        <f>VLOOKUP(MONTH(G377),Key!$F$3:$G$14,2,0)</f>
        <v>Jul</v>
      </c>
      <c r="Y377" s="30" t="str">
        <f>IFERROR(IF(MATCH(F377,'Test 6'!C$5:C$9,0)&gt;0,"RP"),"NON-RP")</f>
        <v>NON-RP</v>
      </c>
    </row>
    <row r="378" spans="2:25" x14ac:dyDescent="0.5">
      <c r="B378" s="30">
        <v>374</v>
      </c>
      <c r="C378" s="30" t="s">
        <v>846</v>
      </c>
      <c r="D378" s="31">
        <v>2122115</v>
      </c>
      <c r="E378" s="30" t="s">
        <v>847</v>
      </c>
      <c r="F378" s="53" t="s">
        <v>81</v>
      </c>
      <c r="G378" s="32">
        <v>44389</v>
      </c>
      <c r="H378" s="33">
        <v>0.7069622264841009</v>
      </c>
      <c r="I378" s="30" t="s">
        <v>216</v>
      </c>
      <c r="J378" s="34">
        <v>307180</v>
      </c>
      <c r="K378" s="35" t="s">
        <v>17</v>
      </c>
      <c r="L378" s="36">
        <v>55292.4</v>
      </c>
      <c r="M378" s="30" t="s">
        <v>46</v>
      </c>
      <c r="N378" s="30" t="s">
        <v>24</v>
      </c>
      <c r="O378" s="30" t="s">
        <v>1542</v>
      </c>
      <c r="P378" s="30" t="s">
        <v>1542</v>
      </c>
      <c r="Q378" s="30" t="str">
        <f t="shared" si="25"/>
        <v>AM</v>
      </c>
      <c r="R378" s="30" t="str">
        <f t="shared" si="26"/>
        <v>DM</v>
      </c>
      <c r="S378" s="30" t="str">
        <f>VLOOKUP(M378,'Data - Employee Rights Master'!$C$3:$D$32,2,0)</f>
        <v>AM</v>
      </c>
      <c r="T378" s="30" t="str">
        <f>VLOOKUP(N378,'Data - Employee Rights Master'!$C$3:$D$32,2,0)</f>
        <v>DM</v>
      </c>
      <c r="U378" s="41" t="str">
        <f t="shared" si="27"/>
        <v>PASS</v>
      </c>
      <c r="V378" s="41" t="str">
        <f t="shared" si="28"/>
        <v>NA</v>
      </c>
      <c r="W378" s="30" t="str">
        <f t="shared" si="29"/>
        <v>2122</v>
      </c>
      <c r="X378" s="30" t="str">
        <f>VLOOKUP(MONTH(G378),Key!$F$3:$G$14,2,0)</f>
        <v>Jul</v>
      </c>
      <c r="Y378" s="30" t="str">
        <f>IFERROR(IF(MATCH(F378,'Test 6'!C$5:C$9,0)&gt;0,"RP"),"NON-RP")</f>
        <v>NON-RP</v>
      </c>
    </row>
    <row r="379" spans="2:25" x14ac:dyDescent="0.5">
      <c r="B379" s="30">
        <v>375</v>
      </c>
      <c r="C379" s="30" t="s">
        <v>848</v>
      </c>
      <c r="D379" s="31">
        <v>2122116</v>
      </c>
      <c r="E379" s="30" t="s">
        <v>849</v>
      </c>
      <c r="F379" s="53" t="s">
        <v>195</v>
      </c>
      <c r="G379" s="32">
        <v>44389</v>
      </c>
      <c r="H379" s="33">
        <v>0.64423916599651232</v>
      </c>
      <c r="I379" s="30" t="s">
        <v>216</v>
      </c>
      <c r="J379" s="34">
        <v>337680</v>
      </c>
      <c r="K379" s="35" t="s">
        <v>17</v>
      </c>
      <c r="L379" s="36">
        <v>60782.399999999994</v>
      </c>
      <c r="M379" s="30" t="s">
        <v>32</v>
      </c>
      <c r="N379" s="30" t="s">
        <v>24</v>
      </c>
      <c r="O379" s="30" t="s">
        <v>1542</v>
      </c>
      <c r="P379" s="30" t="s">
        <v>1542</v>
      </c>
      <c r="Q379" s="30" t="str">
        <f t="shared" si="25"/>
        <v>AM</v>
      </c>
      <c r="R379" s="30" t="str">
        <f t="shared" si="26"/>
        <v>DM</v>
      </c>
      <c r="S379" s="30" t="str">
        <f>VLOOKUP(M379,'Data - Employee Rights Master'!$C$3:$D$32,2,0)</f>
        <v>AM</v>
      </c>
      <c r="T379" s="30" t="str">
        <f>VLOOKUP(N379,'Data - Employee Rights Master'!$C$3:$D$32,2,0)</f>
        <v>DM</v>
      </c>
      <c r="U379" s="41" t="str">
        <f t="shared" si="27"/>
        <v>PASS</v>
      </c>
      <c r="V379" s="41" t="str">
        <f t="shared" si="28"/>
        <v>NA</v>
      </c>
      <c r="W379" s="30" t="str">
        <f t="shared" si="29"/>
        <v>2122</v>
      </c>
      <c r="X379" s="30" t="str">
        <f>VLOOKUP(MONTH(G379),Key!$F$3:$G$14,2,0)</f>
        <v>Jul</v>
      </c>
      <c r="Y379" s="30" t="str">
        <f>IFERROR(IF(MATCH(F379,'Test 6'!C$5:C$9,0)&gt;0,"RP"),"NON-RP")</f>
        <v>NON-RP</v>
      </c>
    </row>
    <row r="380" spans="2:25" x14ac:dyDescent="0.5">
      <c r="B380" s="30">
        <v>376</v>
      </c>
      <c r="C380" s="30" t="s">
        <v>850</v>
      </c>
      <c r="D380" s="31">
        <v>2122117</v>
      </c>
      <c r="E380" s="30" t="s">
        <v>851</v>
      </c>
      <c r="F380" s="53" t="s">
        <v>103</v>
      </c>
      <c r="G380" s="32">
        <v>44391</v>
      </c>
      <c r="H380" s="33">
        <v>0.68851545937339687</v>
      </c>
      <c r="I380" s="30" t="s">
        <v>216</v>
      </c>
      <c r="J380" s="34">
        <v>234720</v>
      </c>
      <c r="K380" s="35" t="s">
        <v>17</v>
      </c>
      <c r="L380" s="36">
        <v>42249.599999999999</v>
      </c>
      <c r="M380" s="30" t="s">
        <v>18</v>
      </c>
      <c r="N380" s="30" t="s">
        <v>47</v>
      </c>
      <c r="O380" s="30" t="s">
        <v>1542</v>
      </c>
      <c r="P380" s="30" t="s">
        <v>1542</v>
      </c>
      <c r="Q380" s="30" t="str">
        <f t="shared" si="25"/>
        <v>AM</v>
      </c>
      <c r="R380" s="30" t="str">
        <f t="shared" si="26"/>
        <v>DM</v>
      </c>
      <c r="S380" s="30" t="str">
        <f>VLOOKUP(M380,'Data - Employee Rights Master'!$C$3:$D$32,2,0)</f>
        <v>AM</v>
      </c>
      <c r="T380" s="30" t="str">
        <f>VLOOKUP(N380,'Data - Employee Rights Master'!$C$3:$D$32,2,0)</f>
        <v>DM</v>
      </c>
      <c r="U380" s="41" t="str">
        <f t="shared" si="27"/>
        <v>PASS</v>
      </c>
      <c r="V380" s="41" t="str">
        <f t="shared" si="28"/>
        <v>NA</v>
      </c>
      <c r="W380" s="30" t="str">
        <f t="shared" si="29"/>
        <v>2122</v>
      </c>
      <c r="X380" s="30" t="str">
        <f>VLOOKUP(MONTH(G380),Key!$F$3:$G$14,2,0)</f>
        <v>Jul</v>
      </c>
      <c r="Y380" s="30" t="str">
        <f>IFERROR(IF(MATCH(F380,'Test 6'!C$5:C$9,0)&gt;0,"RP"),"NON-RP")</f>
        <v>NON-RP</v>
      </c>
    </row>
    <row r="381" spans="2:25" x14ac:dyDescent="0.5">
      <c r="B381" s="30">
        <v>377</v>
      </c>
      <c r="C381" s="30" t="s">
        <v>852</v>
      </c>
      <c r="D381" s="31">
        <v>2122118</v>
      </c>
      <c r="E381" s="30" t="s">
        <v>853</v>
      </c>
      <c r="F381" s="53" t="s">
        <v>103</v>
      </c>
      <c r="G381" s="32">
        <v>44396</v>
      </c>
      <c r="H381" s="33">
        <v>0.62072566973662036</v>
      </c>
      <c r="I381" s="30" t="s">
        <v>216</v>
      </c>
      <c r="J381" s="34">
        <v>4996140</v>
      </c>
      <c r="K381" s="35" t="s">
        <v>17</v>
      </c>
      <c r="L381" s="36">
        <v>899305.2</v>
      </c>
      <c r="M381" s="30" t="s">
        <v>41</v>
      </c>
      <c r="N381" s="30" t="s">
        <v>42</v>
      </c>
      <c r="O381" s="30" t="s">
        <v>1542</v>
      </c>
      <c r="P381" s="30" t="s">
        <v>1542</v>
      </c>
      <c r="Q381" s="30" t="str">
        <f t="shared" si="25"/>
        <v>CM</v>
      </c>
      <c r="R381" s="30" t="str">
        <f t="shared" si="26"/>
        <v>CFO</v>
      </c>
      <c r="S381" s="30" t="str">
        <f>VLOOKUP(M381,'Data - Employee Rights Master'!$C$3:$D$32,2,0)</f>
        <v>CM</v>
      </c>
      <c r="T381" s="30" t="str">
        <f>VLOOKUP(N381,'Data - Employee Rights Master'!$C$3:$D$32,2,0)</f>
        <v>CFO</v>
      </c>
      <c r="U381" s="41" t="str">
        <f t="shared" si="27"/>
        <v>PASS</v>
      </c>
      <c r="V381" s="41" t="str">
        <f t="shared" si="28"/>
        <v>NA</v>
      </c>
      <c r="W381" s="30" t="str">
        <f t="shared" si="29"/>
        <v>2122</v>
      </c>
      <c r="X381" s="30" t="str">
        <f>VLOOKUP(MONTH(G381),Key!$F$3:$G$14,2,0)</f>
        <v>Jul</v>
      </c>
      <c r="Y381" s="30" t="str">
        <f>IFERROR(IF(MATCH(F381,'Test 6'!C$5:C$9,0)&gt;0,"RP"),"NON-RP")</f>
        <v>NON-RP</v>
      </c>
    </row>
    <row r="382" spans="2:25" x14ac:dyDescent="0.5">
      <c r="B382" s="30">
        <v>378</v>
      </c>
      <c r="C382" s="30" t="s">
        <v>854</v>
      </c>
      <c r="D382" s="31">
        <v>2122119</v>
      </c>
      <c r="E382" s="30" t="s">
        <v>855</v>
      </c>
      <c r="F382" s="53" t="s">
        <v>269</v>
      </c>
      <c r="G382" s="32">
        <v>44396</v>
      </c>
      <c r="H382" s="33">
        <v>0.63216311743623943</v>
      </c>
      <c r="I382" s="30" t="s">
        <v>216</v>
      </c>
      <c r="J382" s="34">
        <v>214640</v>
      </c>
      <c r="K382" s="35" t="s">
        <v>17</v>
      </c>
      <c r="L382" s="36">
        <v>38635.199999999997</v>
      </c>
      <c r="M382" s="30" t="s">
        <v>32</v>
      </c>
      <c r="N382" s="30" t="s">
        <v>19</v>
      </c>
      <c r="O382" s="30" t="s">
        <v>1542</v>
      </c>
      <c r="P382" s="30" t="s">
        <v>1542</v>
      </c>
      <c r="Q382" s="30" t="str">
        <f t="shared" si="25"/>
        <v>AM</v>
      </c>
      <c r="R382" s="30" t="str">
        <f t="shared" si="26"/>
        <v>DM</v>
      </c>
      <c r="S382" s="30" t="str">
        <f>VLOOKUP(M382,'Data - Employee Rights Master'!$C$3:$D$32,2,0)</f>
        <v>AM</v>
      </c>
      <c r="T382" s="30" t="str">
        <f>VLOOKUP(N382,'Data - Employee Rights Master'!$C$3:$D$32,2,0)</f>
        <v>DM</v>
      </c>
      <c r="U382" s="41" t="str">
        <f t="shared" si="27"/>
        <v>PASS</v>
      </c>
      <c r="V382" s="41" t="str">
        <f t="shared" si="28"/>
        <v>NA</v>
      </c>
      <c r="W382" s="30" t="str">
        <f t="shared" si="29"/>
        <v>2122</v>
      </c>
      <c r="X382" s="30" t="str">
        <f>VLOOKUP(MONTH(G382),Key!$F$3:$G$14,2,0)</f>
        <v>Jul</v>
      </c>
      <c r="Y382" s="30" t="str">
        <f>IFERROR(IF(MATCH(F382,'Test 6'!C$5:C$9,0)&gt;0,"RP"),"NON-RP")</f>
        <v>NON-RP</v>
      </c>
    </row>
    <row r="383" spans="2:25" x14ac:dyDescent="0.5">
      <c r="B383" s="30">
        <v>379</v>
      </c>
      <c r="C383" s="30" t="s">
        <v>856</v>
      </c>
      <c r="D383" s="31">
        <v>2122120</v>
      </c>
      <c r="E383" s="30" t="s">
        <v>857</v>
      </c>
      <c r="F383" s="53" t="s">
        <v>308</v>
      </c>
      <c r="G383" s="32">
        <v>44395</v>
      </c>
      <c r="H383" s="33">
        <v>0.50341664780436945</v>
      </c>
      <c r="I383" s="30" t="s">
        <v>216</v>
      </c>
      <c r="J383" s="34">
        <v>4211080</v>
      </c>
      <c r="K383" s="35" t="s">
        <v>17</v>
      </c>
      <c r="L383" s="36">
        <v>757994.4</v>
      </c>
      <c r="M383" s="30" t="s">
        <v>69</v>
      </c>
      <c r="N383" s="30" t="s">
        <v>41</v>
      </c>
      <c r="O383" s="30" t="s">
        <v>1542</v>
      </c>
      <c r="P383" s="30" t="s">
        <v>1542</v>
      </c>
      <c r="Q383" s="30" t="str">
        <f t="shared" si="25"/>
        <v>SM</v>
      </c>
      <c r="R383" s="30" t="str">
        <f t="shared" si="26"/>
        <v>CM</v>
      </c>
      <c r="S383" s="30" t="str">
        <f>VLOOKUP(M383,'Data - Employee Rights Master'!$C$3:$D$32,2,0)</f>
        <v>SM</v>
      </c>
      <c r="T383" s="30" t="str">
        <f>VLOOKUP(N383,'Data - Employee Rights Master'!$C$3:$D$32,2,0)</f>
        <v>CM</v>
      </c>
      <c r="U383" s="41" t="str">
        <f t="shared" si="27"/>
        <v>PASS</v>
      </c>
      <c r="V383" s="41" t="str">
        <f t="shared" si="28"/>
        <v>NA</v>
      </c>
      <c r="W383" s="30" t="str">
        <f t="shared" si="29"/>
        <v>2122</v>
      </c>
      <c r="X383" s="30" t="str">
        <f>VLOOKUP(MONTH(G383),Key!$F$3:$G$14,2,0)</f>
        <v>Jul</v>
      </c>
      <c r="Y383" s="30" t="str">
        <f>IFERROR(IF(MATCH(F383,'Test 6'!C$5:C$9,0)&gt;0,"RP"),"NON-RP")</f>
        <v>RP</v>
      </c>
    </row>
    <row r="384" spans="2:25" x14ac:dyDescent="0.5">
      <c r="B384" s="30">
        <v>380</v>
      </c>
      <c r="C384" s="30" t="s">
        <v>858</v>
      </c>
      <c r="D384" s="31">
        <v>2122121</v>
      </c>
      <c r="E384" s="30" t="s">
        <v>859</v>
      </c>
      <c r="F384" s="53" t="s">
        <v>27</v>
      </c>
      <c r="G384" s="32">
        <v>44397</v>
      </c>
      <c r="H384" s="33">
        <v>0.56542378969175555</v>
      </c>
      <c r="I384" s="30" t="s">
        <v>216</v>
      </c>
      <c r="J384" s="34">
        <v>247860</v>
      </c>
      <c r="K384" s="35" t="s">
        <v>17</v>
      </c>
      <c r="L384" s="36">
        <v>44614.799999999996</v>
      </c>
      <c r="M384" s="30" t="s">
        <v>28</v>
      </c>
      <c r="N384" s="30" t="s">
        <v>19</v>
      </c>
      <c r="O384" s="30" t="s">
        <v>1542</v>
      </c>
      <c r="P384" s="30" t="s">
        <v>1542</v>
      </c>
      <c r="Q384" s="30" t="str">
        <f t="shared" si="25"/>
        <v>AM</v>
      </c>
      <c r="R384" s="30" t="str">
        <f t="shared" si="26"/>
        <v>DM</v>
      </c>
      <c r="S384" s="30" t="str">
        <f>VLOOKUP(M384,'Data - Employee Rights Master'!$C$3:$D$32,2,0)</f>
        <v>AM</v>
      </c>
      <c r="T384" s="30" t="str">
        <f>VLOOKUP(N384,'Data - Employee Rights Master'!$C$3:$D$32,2,0)</f>
        <v>DM</v>
      </c>
      <c r="U384" s="41" t="str">
        <f t="shared" si="27"/>
        <v>PASS</v>
      </c>
      <c r="V384" s="41" t="str">
        <f t="shared" si="28"/>
        <v>NA</v>
      </c>
      <c r="W384" s="30" t="str">
        <f t="shared" si="29"/>
        <v>2122</v>
      </c>
      <c r="X384" s="30" t="str">
        <f>VLOOKUP(MONTH(G384),Key!$F$3:$G$14,2,0)</f>
        <v>Jul</v>
      </c>
      <c r="Y384" s="30" t="str">
        <f>IFERROR(IF(MATCH(F384,'Test 6'!C$5:C$9,0)&gt;0,"RP"),"NON-RP")</f>
        <v>NON-RP</v>
      </c>
    </row>
    <row r="385" spans="2:25" x14ac:dyDescent="0.5">
      <c r="B385" s="30">
        <v>381</v>
      </c>
      <c r="C385" s="30" t="s">
        <v>860</v>
      </c>
      <c r="D385" s="31">
        <v>2122122</v>
      </c>
      <c r="E385" s="30" t="s">
        <v>861</v>
      </c>
      <c r="F385" s="53" t="s">
        <v>143</v>
      </c>
      <c r="G385" s="32">
        <v>44398</v>
      </c>
      <c r="H385" s="33">
        <v>0.66957677384603242</v>
      </c>
      <c r="I385" s="30" t="s">
        <v>216</v>
      </c>
      <c r="J385" s="34">
        <v>229830</v>
      </c>
      <c r="K385" s="35" t="s">
        <v>17</v>
      </c>
      <c r="L385" s="36">
        <v>41369.4</v>
      </c>
      <c r="M385" s="30" t="s">
        <v>32</v>
      </c>
      <c r="N385" s="30" t="s">
        <v>47</v>
      </c>
      <c r="O385" s="30" t="s">
        <v>1542</v>
      </c>
      <c r="P385" s="30" t="s">
        <v>1542</v>
      </c>
      <c r="Q385" s="30" t="str">
        <f t="shared" si="25"/>
        <v>AM</v>
      </c>
      <c r="R385" s="30" t="str">
        <f t="shared" si="26"/>
        <v>DM</v>
      </c>
      <c r="S385" s="30" t="str">
        <f>VLOOKUP(M385,'Data - Employee Rights Master'!$C$3:$D$32,2,0)</f>
        <v>AM</v>
      </c>
      <c r="T385" s="30" t="str">
        <f>VLOOKUP(N385,'Data - Employee Rights Master'!$C$3:$D$32,2,0)</f>
        <v>DM</v>
      </c>
      <c r="U385" s="41" t="str">
        <f t="shared" si="27"/>
        <v>PASS</v>
      </c>
      <c r="V385" s="41" t="str">
        <f t="shared" si="28"/>
        <v>NA</v>
      </c>
      <c r="W385" s="30" t="str">
        <f t="shared" si="29"/>
        <v>2122</v>
      </c>
      <c r="X385" s="30" t="str">
        <f>VLOOKUP(MONTH(G385),Key!$F$3:$G$14,2,0)</f>
        <v>Jul</v>
      </c>
      <c r="Y385" s="30" t="str">
        <f>IFERROR(IF(MATCH(F385,'Test 6'!C$5:C$9,0)&gt;0,"RP"),"NON-RP")</f>
        <v>NON-RP</v>
      </c>
    </row>
    <row r="386" spans="2:25" x14ac:dyDescent="0.5">
      <c r="B386" s="30">
        <v>382</v>
      </c>
      <c r="C386" s="30" t="s">
        <v>862</v>
      </c>
      <c r="D386" s="31">
        <v>2122123</v>
      </c>
      <c r="E386" s="30" t="s">
        <v>863</v>
      </c>
      <c r="F386" s="53" t="s">
        <v>114</v>
      </c>
      <c r="G386" s="32">
        <v>44398</v>
      </c>
      <c r="H386" s="33">
        <v>0.65242682398839091</v>
      </c>
      <c r="I386" s="30" t="s">
        <v>216</v>
      </c>
      <c r="J386" s="34">
        <v>399460</v>
      </c>
      <c r="K386" s="35" t="s">
        <v>17</v>
      </c>
      <c r="L386" s="36">
        <v>71902.8</v>
      </c>
      <c r="M386" s="30" t="s">
        <v>46</v>
      </c>
      <c r="N386" s="30" t="s">
        <v>47</v>
      </c>
      <c r="O386" s="30" t="s">
        <v>1542</v>
      </c>
      <c r="P386" s="30" t="s">
        <v>1542</v>
      </c>
      <c r="Q386" s="30" t="str">
        <f t="shared" si="25"/>
        <v>AM</v>
      </c>
      <c r="R386" s="30" t="str">
        <f t="shared" si="26"/>
        <v>DM</v>
      </c>
      <c r="S386" s="30" t="str">
        <f>VLOOKUP(M386,'Data - Employee Rights Master'!$C$3:$D$32,2,0)</f>
        <v>AM</v>
      </c>
      <c r="T386" s="30" t="str">
        <f>VLOOKUP(N386,'Data - Employee Rights Master'!$C$3:$D$32,2,0)</f>
        <v>DM</v>
      </c>
      <c r="U386" s="41" t="str">
        <f t="shared" si="27"/>
        <v>PASS</v>
      </c>
      <c r="V386" s="41" t="str">
        <f t="shared" si="28"/>
        <v>NA</v>
      </c>
      <c r="W386" s="30" t="str">
        <f t="shared" si="29"/>
        <v>2122</v>
      </c>
      <c r="X386" s="30" t="str">
        <f>VLOOKUP(MONTH(G386),Key!$F$3:$G$14,2,0)</f>
        <v>Jul</v>
      </c>
      <c r="Y386" s="30" t="str">
        <f>IFERROR(IF(MATCH(F386,'Test 6'!C$5:C$9,0)&gt;0,"RP"),"NON-RP")</f>
        <v>NON-RP</v>
      </c>
    </row>
    <row r="387" spans="2:25" x14ac:dyDescent="0.5">
      <c r="B387" s="30">
        <v>383</v>
      </c>
      <c r="C387" s="30" t="s">
        <v>864</v>
      </c>
      <c r="D387" s="31">
        <v>2122124</v>
      </c>
      <c r="E387" s="30" t="s">
        <v>865</v>
      </c>
      <c r="F387" s="53" t="s">
        <v>87</v>
      </c>
      <c r="G387" s="32">
        <v>44399</v>
      </c>
      <c r="H387" s="33">
        <v>0.62657514825006222</v>
      </c>
      <c r="I387" s="30" t="s">
        <v>216</v>
      </c>
      <c r="J387" s="34">
        <v>352720</v>
      </c>
      <c r="K387" s="35" t="s">
        <v>17</v>
      </c>
      <c r="L387" s="36">
        <v>63489.599999999999</v>
      </c>
      <c r="M387" s="30" t="s">
        <v>32</v>
      </c>
      <c r="N387" s="30" t="s">
        <v>68</v>
      </c>
      <c r="O387" s="30" t="s">
        <v>1542</v>
      </c>
      <c r="P387" s="30" t="s">
        <v>1542</v>
      </c>
      <c r="Q387" s="30" t="str">
        <f t="shared" si="25"/>
        <v>AM</v>
      </c>
      <c r="R387" s="30" t="str">
        <f t="shared" si="26"/>
        <v>DM</v>
      </c>
      <c r="S387" s="30" t="str">
        <f>VLOOKUP(M387,'Data - Employee Rights Master'!$C$3:$D$32,2,0)</f>
        <v>AM</v>
      </c>
      <c r="T387" s="30" t="str">
        <f>VLOOKUP(N387,'Data - Employee Rights Master'!$C$3:$D$32,2,0)</f>
        <v>DM</v>
      </c>
      <c r="U387" s="41" t="str">
        <f t="shared" si="27"/>
        <v>PASS</v>
      </c>
      <c r="V387" s="41" t="str">
        <f t="shared" si="28"/>
        <v>NA</v>
      </c>
      <c r="W387" s="30" t="str">
        <f t="shared" si="29"/>
        <v>2122</v>
      </c>
      <c r="X387" s="30" t="str">
        <f>VLOOKUP(MONTH(G387),Key!$F$3:$G$14,2,0)</f>
        <v>Jul</v>
      </c>
      <c r="Y387" s="30" t="str">
        <f>IFERROR(IF(MATCH(F387,'Test 6'!C$5:C$9,0)&gt;0,"RP"),"NON-RP")</f>
        <v>NON-RP</v>
      </c>
    </row>
    <row r="388" spans="2:25" x14ac:dyDescent="0.5">
      <c r="B388" s="30">
        <v>384</v>
      </c>
      <c r="C388" s="30" t="s">
        <v>866</v>
      </c>
      <c r="D388" s="31">
        <v>2122125</v>
      </c>
      <c r="E388" s="30" t="s">
        <v>867</v>
      </c>
      <c r="F388" s="53" t="s">
        <v>332</v>
      </c>
      <c r="G388" s="32">
        <v>44401</v>
      </c>
      <c r="H388" s="33">
        <v>0.69083812327640137</v>
      </c>
      <c r="I388" s="30" t="s">
        <v>216</v>
      </c>
      <c r="J388" s="34">
        <v>297520</v>
      </c>
      <c r="K388" s="35" t="s">
        <v>17</v>
      </c>
      <c r="L388" s="36">
        <v>53553.599999999999</v>
      </c>
      <c r="M388" s="30" t="s">
        <v>32</v>
      </c>
      <c r="N388" s="30" t="s">
        <v>24</v>
      </c>
      <c r="O388" s="30" t="s">
        <v>1542</v>
      </c>
      <c r="P388" s="30" t="s">
        <v>1542</v>
      </c>
      <c r="Q388" s="30" t="str">
        <f t="shared" si="25"/>
        <v>AM</v>
      </c>
      <c r="R388" s="30" t="str">
        <f t="shared" si="26"/>
        <v>DM</v>
      </c>
      <c r="S388" s="30" t="str">
        <f>VLOOKUP(M388,'Data - Employee Rights Master'!$C$3:$D$32,2,0)</f>
        <v>AM</v>
      </c>
      <c r="T388" s="30" t="str">
        <f>VLOOKUP(N388,'Data - Employee Rights Master'!$C$3:$D$32,2,0)</f>
        <v>DM</v>
      </c>
      <c r="U388" s="41" t="str">
        <f t="shared" si="27"/>
        <v>PASS</v>
      </c>
      <c r="V388" s="41" t="str">
        <f t="shared" si="28"/>
        <v>NA</v>
      </c>
      <c r="W388" s="30" t="str">
        <f t="shared" si="29"/>
        <v>2122</v>
      </c>
      <c r="X388" s="30" t="str">
        <f>VLOOKUP(MONTH(G388),Key!$F$3:$G$14,2,0)</f>
        <v>Jul</v>
      </c>
      <c r="Y388" s="30" t="str">
        <f>IFERROR(IF(MATCH(F388,'Test 6'!C$5:C$9,0)&gt;0,"RP"),"NON-RP")</f>
        <v>NON-RP</v>
      </c>
    </row>
    <row r="389" spans="2:25" x14ac:dyDescent="0.5">
      <c r="B389" s="30">
        <v>385</v>
      </c>
      <c r="C389" s="30" t="s">
        <v>868</v>
      </c>
      <c r="D389" s="31">
        <v>2122126</v>
      </c>
      <c r="E389" s="30" t="s">
        <v>869</v>
      </c>
      <c r="F389" s="53" t="s">
        <v>35</v>
      </c>
      <c r="G389" s="32">
        <v>44401</v>
      </c>
      <c r="H389" s="33">
        <v>0.60169925106592359</v>
      </c>
      <c r="I389" s="30" t="s">
        <v>216</v>
      </c>
      <c r="J389" s="34">
        <v>4531660</v>
      </c>
      <c r="K389" s="35" t="s">
        <v>17</v>
      </c>
      <c r="L389" s="36">
        <v>815698.79999999993</v>
      </c>
      <c r="M389" s="30" t="s">
        <v>41</v>
      </c>
      <c r="N389" s="30" t="s">
        <v>42</v>
      </c>
      <c r="O389" s="30" t="s">
        <v>1542</v>
      </c>
      <c r="P389" s="30" t="s">
        <v>1542</v>
      </c>
      <c r="Q389" s="30" t="str">
        <f t="shared" si="25"/>
        <v>CM</v>
      </c>
      <c r="R389" s="30" t="str">
        <f t="shared" si="26"/>
        <v>CFO</v>
      </c>
      <c r="S389" s="30" t="str">
        <f>VLOOKUP(M389,'Data - Employee Rights Master'!$C$3:$D$32,2,0)</f>
        <v>CM</v>
      </c>
      <c r="T389" s="30" t="str">
        <f>VLOOKUP(N389,'Data - Employee Rights Master'!$C$3:$D$32,2,0)</f>
        <v>CFO</v>
      </c>
      <c r="U389" s="41" t="str">
        <f t="shared" si="27"/>
        <v>PASS</v>
      </c>
      <c r="V389" s="41" t="str">
        <f t="shared" si="28"/>
        <v>NA</v>
      </c>
      <c r="W389" s="30" t="str">
        <f t="shared" si="29"/>
        <v>2122</v>
      </c>
      <c r="X389" s="30" t="str">
        <f>VLOOKUP(MONTH(G389),Key!$F$3:$G$14,2,0)</f>
        <v>Jul</v>
      </c>
      <c r="Y389" s="30" t="str">
        <f>IFERROR(IF(MATCH(F389,'Test 6'!C$5:C$9,0)&gt;0,"RP"),"NON-RP")</f>
        <v>NON-RP</v>
      </c>
    </row>
    <row r="390" spans="2:25" x14ac:dyDescent="0.5">
      <c r="B390" s="30">
        <v>386</v>
      </c>
      <c r="C390" s="30" t="s">
        <v>870</v>
      </c>
      <c r="D390" s="31">
        <v>2122127</v>
      </c>
      <c r="E390" s="30" t="s">
        <v>871</v>
      </c>
      <c r="F390" s="53" t="s">
        <v>238</v>
      </c>
      <c r="G390" s="32">
        <v>44401</v>
      </c>
      <c r="H390" s="33">
        <v>0.49918909960313618</v>
      </c>
      <c r="I390" s="30" t="s">
        <v>216</v>
      </c>
      <c r="J390" s="34">
        <v>471240</v>
      </c>
      <c r="K390" s="35" t="s">
        <v>17</v>
      </c>
      <c r="L390" s="36">
        <v>84823.2</v>
      </c>
      <c r="M390" s="30" t="s">
        <v>61</v>
      </c>
      <c r="N390" s="30" t="s">
        <v>24</v>
      </c>
      <c r="O390" s="30" t="s">
        <v>1542</v>
      </c>
      <c r="P390" s="30" t="s">
        <v>1542</v>
      </c>
      <c r="Q390" s="30" t="str">
        <f t="shared" ref="Q390:Q453" si="30">IF(J390&lt;200000,"SE",IF(J390&lt;500000,"AM",IF(J390&lt;1000000,"DM",IF(J390&lt;4500000,"SM",IF(J390&gt;=4500000,"CM")))))</f>
        <v>AM</v>
      </c>
      <c r="R390" s="30" t="str">
        <f t="shared" ref="R390:R453" si="31">IF(Q390="SE","AM",IF(Q390="AM","DM",IF(Q390="DM","SM",IF(Q390="SM","CM",IF(Q390="CM","CFO")))))</f>
        <v>DM</v>
      </c>
      <c r="S390" s="30" t="str">
        <f>VLOOKUP(M390,'Data - Employee Rights Master'!$C$3:$D$32,2,0)</f>
        <v>AM</v>
      </c>
      <c r="T390" s="30" t="str">
        <f>VLOOKUP(N390,'Data - Employee Rights Master'!$C$3:$D$32,2,0)</f>
        <v>DM</v>
      </c>
      <c r="U390" s="41" t="str">
        <f t="shared" ref="U390:U453" si="32">IF(AND(S390=Q390,T390=R390),"PASS","DEVIATION")</f>
        <v>PASS</v>
      </c>
      <c r="V390" s="41" t="str">
        <f t="shared" ref="V390:V453" si="33">IF(J390&gt;5000000,IF(AND(O390="Approved",P390&lt;&gt;"NA"),"PASS","FLAG"),"NA")</f>
        <v>NA</v>
      </c>
      <c r="W390" s="30" t="str">
        <f t="shared" ref="W390:W453" si="34">LEFT(C390,4)</f>
        <v>2122</v>
      </c>
      <c r="X390" s="30" t="str">
        <f>VLOOKUP(MONTH(G390),Key!$F$3:$G$14,2,0)</f>
        <v>Jul</v>
      </c>
      <c r="Y390" s="30" t="str">
        <f>IFERROR(IF(MATCH(F390,'Test 6'!C$5:C$9,0)&gt;0,"RP"),"NON-RP")</f>
        <v>NON-RP</v>
      </c>
    </row>
    <row r="391" spans="2:25" x14ac:dyDescent="0.5">
      <c r="B391" s="30">
        <v>387</v>
      </c>
      <c r="C391" s="30" t="s">
        <v>872</v>
      </c>
      <c r="D391" s="31">
        <v>2122128</v>
      </c>
      <c r="E391" s="30" t="s">
        <v>873</v>
      </c>
      <c r="F391" s="53" t="s">
        <v>50</v>
      </c>
      <c r="G391" s="32">
        <v>44405</v>
      </c>
      <c r="H391" s="33">
        <v>0.45490602929387686</v>
      </c>
      <c r="I391" s="30" t="s">
        <v>216</v>
      </c>
      <c r="J391" s="34">
        <v>4229320</v>
      </c>
      <c r="K391" s="35" t="s">
        <v>17</v>
      </c>
      <c r="L391" s="36">
        <v>761277.6</v>
      </c>
      <c r="M391" s="30" t="s">
        <v>69</v>
      </c>
      <c r="N391" s="30" t="s">
        <v>41</v>
      </c>
      <c r="O391" s="30" t="s">
        <v>1542</v>
      </c>
      <c r="P391" s="30" t="s">
        <v>1542</v>
      </c>
      <c r="Q391" s="30" t="str">
        <f t="shared" si="30"/>
        <v>SM</v>
      </c>
      <c r="R391" s="30" t="str">
        <f t="shared" si="31"/>
        <v>CM</v>
      </c>
      <c r="S391" s="30" t="str">
        <f>VLOOKUP(M391,'Data - Employee Rights Master'!$C$3:$D$32,2,0)</f>
        <v>SM</v>
      </c>
      <c r="T391" s="30" t="str">
        <f>VLOOKUP(N391,'Data - Employee Rights Master'!$C$3:$D$32,2,0)</f>
        <v>CM</v>
      </c>
      <c r="U391" s="41" t="str">
        <f t="shared" si="32"/>
        <v>PASS</v>
      </c>
      <c r="V391" s="41" t="str">
        <f t="shared" si="33"/>
        <v>NA</v>
      </c>
      <c r="W391" s="30" t="str">
        <f t="shared" si="34"/>
        <v>2122</v>
      </c>
      <c r="X391" s="30" t="str">
        <f>VLOOKUP(MONTH(G391),Key!$F$3:$G$14,2,0)</f>
        <v>Jul</v>
      </c>
      <c r="Y391" s="30" t="str">
        <f>IFERROR(IF(MATCH(F391,'Test 6'!C$5:C$9,0)&gt;0,"RP"),"NON-RP")</f>
        <v>NON-RP</v>
      </c>
    </row>
    <row r="392" spans="2:25" x14ac:dyDescent="0.5">
      <c r="B392" s="30">
        <v>388</v>
      </c>
      <c r="C392" s="30" t="s">
        <v>1309</v>
      </c>
      <c r="D392" s="31">
        <v>2122129</v>
      </c>
      <c r="E392" s="30" t="s">
        <v>874</v>
      </c>
      <c r="F392" s="53" t="s">
        <v>290</v>
      </c>
      <c r="G392" s="32">
        <v>44406</v>
      </c>
      <c r="H392" s="33">
        <v>0.4362949742406248</v>
      </c>
      <c r="I392" s="30" t="s">
        <v>216</v>
      </c>
      <c r="J392" s="34">
        <v>4620700</v>
      </c>
      <c r="K392" s="35" t="s">
        <v>17</v>
      </c>
      <c r="L392" s="36">
        <v>831726</v>
      </c>
      <c r="M392" s="30" t="s">
        <v>41</v>
      </c>
      <c r="N392" s="30" t="s">
        <v>42</v>
      </c>
      <c r="O392" s="30" t="s">
        <v>1542</v>
      </c>
      <c r="P392" s="30" t="s">
        <v>1542</v>
      </c>
      <c r="Q392" s="30" t="str">
        <f t="shared" si="30"/>
        <v>CM</v>
      </c>
      <c r="R392" s="30" t="str">
        <f t="shared" si="31"/>
        <v>CFO</v>
      </c>
      <c r="S392" s="30" t="str">
        <f>VLOOKUP(M392,'Data - Employee Rights Master'!$C$3:$D$32,2,0)</f>
        <v>CM</v>
      </c>
      <c r="T392" s="30" t="str">
        <f>VLOOKUP(N392,'Data - Employee Rights Master'!$C$3:$D$32,2,0)</f>
        <v>CFO</v>
      </c>
      <c r="U392" s="41" t="str">
        <f t="shared" si="32"/>
        <v>PASS</v>
      </c>
      <c r="V392" s="41" t="str">
        <f t="shared" si="33"/>
        <v>NA</v>
      </c>
      <c r="W392" s="30" t="str">
        <f t="shared" si="34"/>
        <v>2122</v>
      </c>
      <c r="X392" s="30" t="str">
        <f>VLOOKUP(MONTH(G392),Key!$F$3:$G$14,2,0)</f>
        <v>Jul</v>
      </c>
      <c r="Y392" s="30" t="str">
        <f>IFERROR(IF(MATCH(F392,'Test 6'!C$5:C$9,0)&gt;0,"RP"),"NON-RP")</f>
        <v>NON-RP</v>
      </c>
    </row>
    <row r="393" spans="2:25" x14ac:dyDescent="0.5">
      <c r="B393" s="30">
        <v>389</v>
      </c>
      <c r="C393" s="30" t="s">
        <v>875</v>
      </c>
      <c r="D393" s="31">
        <v>2122130</v>
      </c>
      <c r="E393" s="30" t="s">
        <v>876</v>
      </c>
      <c r="F393" s="53" t="s">
        <v>143</v>
      </c>
      <c r="G393" s="32">
        <v>44410</v>
      </c>
      <c r="H393" s="33">
        <v>0.68151610913510052</v>
      </c>
      <c r="I393" s="30" t="s">
        <v>277</v>
      </c>
      <c r="J393" s="34">
        <v>307480</v>
      </c>
      <c r="K393" s="35" t="s">
        <v>17</v>
      </c>
      <c r="L393" s="36">
        <v>55346.400000000001</v>
      </c>
      <c r="M393" s="30" t="s">
        <v>28</v>
      </c>
      <c r="N393" s="30" t="s">
        <v>51</v>
      </c>
      <c r="O393" s="30" t="s">
        <v>1542</v>
      </c>
      <c r="P393" s="30" t="s">
        <v>1542</v>
      </c>
      <c r="Q393" s="30" t="str">
        <f t="shared" si="30"/>
        <v>AM</v>
      </c>
      <c r="R393" s="30" t="str">
        <f t="shared" si="31"/>
        <v>DM</v>
      </c>
      <c r="S393" s="30" t="str">
        <f>VLOOKUP(M393,'Data - Employee Rights Master'!$C$3:$D$32,2,0)</f>
        <v>AM</v>
      </c>
      <c r="T393" s="30" t="str">
        <f>VLOOKUP(N393,'Data - Employee Rights Master'!$C$3:$D$32,2,0)</f>
        <v>DM</v>
      </c>
      <c r="U393" s="41" t="str">
        <f t="shared" si="32"/>
        <v>PASS</v>
      </c>
      <c r="V393" s="41" t="str">
        <f t="shared" si="33"/>
        <v>NA</v>
      </c>
      <c r="W393" s="30" t="str">
        <f t="shared" si="34"/>
        <v>2122</v>
      </c>
      <c r="X393" s="30" t="str">
        <f>VLOOKUP(MONTH(G393),Key!$F$3:$G$14,2,0)</f>
        <v>Aug</v>
      </c>
      <c r="Y393" s="30" t="str">
        <f>IFERROR(IF(MATCH(F393,'Test 6'!C$5:C$9,0)&gt;0,"RP"),"NON-RP")</f>
        <v>NON-RP</v>
      </c>
    </row>
    <row r="394" spans="2:25" x14ac:dyDescent="0.5">
      <c r="B394" s="30">
        <v>390</v>
      </c>
      <c r="C394" s="30" t="s">
        <v>877</v>
      </c>
      <c r="D394" s="31">
        <v>2122131</v>
      </c>
      <c r="E394" s="30" t="s">
        <v>878</v>
      </c>
      <c r="F394" s="53" t="s">
        <v>22</v>
      </c>
      <c r="G394" s="32">
        <v>44410</v>
      </c>
      <c r="H394" s="33">
        <v>0.48443643583036422</v>
      </c>
      <c r="I394" s="30" t="s">
        <v>277</v>
      </c>
      <c r="J394" s="34">
        <v>423590</v>
      </c>
      <c r="K394" s="35" t="s">
        <v>17</v>
      </c>
      <c r="L394" s="36">
        <v>76246.2</v>
      </c>
      <c r="M394" s="30" t="s">
        <v>23</v>
      </c>
      <c r="N394" s="30" t="s">
        <v>68</v>
      </c>
      <c r="O394" s="30" t="s">
        <v>1542</v>
      </c>
      <c r="P394" s="30" t="s">
        <v>1542</v>
      </c>
      <c r="Q394" s="30" t="str">
        <f t="shared" si="30"/>
        <v>AM</v>
      </c>
      <c r="R394" s="30" t="str">
        <f t="shared" si="31"/>
        <v>DM</v>
      </c>
      <c r="S394" s="30" t="str">
        <f>VLOOKUP(M394,'Data - Employee Rights Master'!$C$3:$D$32,2,0)</f>
        <v>AM</v>
      </c>
      <c r="T394" s="30" t="str">
        <f>VLOOKUP(N394,'Data - Employee Rights Master'!$C$3:$D$32,2,0)</f>
        <v>DM</v>
      </c>
      <c r="U394" s="41" t="str">
        <f t="shared" si="32"/>
        <v>PASS</v>
      </c>
      <c r="V394" s="41" t="str">
        <f t="shared" si="33"/>
        <v>NA</v>
      </c>
      <c r="W394" s="30" t="str">
        <f t="shared" si="34"/>
        <v>2122</v>
      </c>
      <c r="X394" s="30" t="str">
        <f>VLOOKUP(MONTH(G394),Key!$F$3:$G$14,2,0)</f>
        <v>Aug</v>
      </c>
      <c r="Y394" s="30" t="str">
        <f>IFERROR(IF(MATCH(F394,'Test 6'!C$5:C$9,0)&gt;0,"RP"),"NON-RP")</f>
        <v>NON-RP</v>
      </c>
    </row>
    <row r="395" spans="2:25" x14ac:dyDescent="0.5">
      <c r="B395" s="30">
        <v>391</v>
      </c>
      <c r="C395" s="30" t="s">
        <v>879</v>
      </c>
      <c r="D395" s="31">
        <v>2122132</v>
      </c>
      <c r="E395" s="30" t="s">
        <v>880</v>
      </c>
      <c r="F395" s="53" t="s">
        <v>229</v>
      </c>
      <c r="G395" s="32">
        <v>44410</v>
      </c>
      <c r="H395" s="33">
        <v>0.48620074084091236</v>
      </c>
      <c r="I395" s="30" t="s">
        <v>277</v>
      </c>
      <c r="J395" s="34">
        <v>276420</v>
      </c>
      <c r="K395" s="35" t="s">
        <v>17</v>
      </c>
      <c r="L395" s="36">
        <v>49755.6</v>
      </c>
      <c r="M395" s="30" t="s">
        <v>28</v>
      </c>
      <c r="N395" s="30" t="s">
        <v>68</v>
      </c>
      <c r="O395" s="30" t="s">
        <v>1542</v>
      </c>
      <c r="P395" s="30" t="s">
        <v>1542</v>
      </c>
      <c r="Q395" s="30" t="str">
        <f t="shared" si="30"/>
        <v>AM</v>
      </c>
      <c r="R395" s="30" t="str">
        <f t="shared" si="31"/>
        <v>DM</v>
      </c>
      <c r="S395" s="30" t="str">
        <f>VLOOKUP(M395,'Data - Employee Rights Master'!$C$3:$D$32,2,0)</f>
        <v>AM</v>
      </c>
      <c r="T395" s="30" t="str">
        <f>VLOOKUP(N395,'Data - Employee Rights Master'!$C$3:$D$32,2,0)</f>
        <v>DM</v>
      </c>
      <c r="U395" s="41" t="str">
        <f t="shared" si="32"/>
        <v>PASS</v>
      </c>
      <c r="V395" s="41" t="str">
        <f t="shared" si="33"/>
        <v>NA</v>
      </c>
      <c r="W395" s="30" t="str">
        <f t="shared" si="34"/>
        <v>2122</v>
      </c>
      <c r="X395" s="30" t="str">
        <f>VLOOKUP(MONTH(G395),Key!$F$3:$G$14,2,0)</f>
        <v>Aug</v>
      </c>
      <c r="Y395" s="30" t="str">
        <f>IFERROR(IF(MATCH(F395,'Test 6'!C$5:C$9,0)&gt;0,"RP"),"NON-RP")</f>
        <v>NON-RP</v>
      </c>
    </row>
    <row r="396" spans="2:25" x14ac:dyDescent="0.5">
      <c r="B396" s="30">
        <v>392</v>
      </c>
      <c r="C396" s="30" t="s">
        <v>881</v>
      </c>
      <c r="D396" s="31">
        <v>2122133</v>
      </c>
      <c r="E396" s="30" t="s">
        <v>882</v>
      </c>
      <c r="F396" s="53" t="s">
        <v>184</v>
      </c>
      <c r="G396" s="32">
        <v>44410</v>
      </c>
      <c r="H396" s="33">
        <v>0.57518063994491142</v>
      </c>
      <c r="I396" s="30" t="s">
        <v>277</v>
      </c>
      <c r="J396" s="34">
        <v>270730</v>
      </c>
      <c r="K396" s="35" t="s">
        <v>17</v>
      </c>
      <c r="L396" s="36">
        <v>48731.4</v>
      </c>
      <c r="M396" s="30" t="s">
        <v>37</v>
      </c>
      <c r="N396" s="30" t="s">
        <v>68</v>
      </c>
      <c r="O396" s="30" t="s">
        <v>1542</v>
      </c>
      <c r="P396" s="30" t="s">
        <v>1542</v>
      </c>
      <c r="Q396" s="30" t="str">
        <f t="shared" si="30"/>
        <v>AM</v>
      </c>
      <c r="R396" s="30" t="str">
        <f t="shared" si="31"/>
        <v>DM</v>
      </c>
      <c r="S396" s="30" t="str">
        <f>VLOOKUP(M396,'Data - Employee Rights Master'!$C$3:$D$32,2,0)</f>
        <v>AM</v>
      </c>
      <c r="T396" s="30" t="str">
        <f>VLOOKUP(N396,'Data - Employee Rights Master'!$C$3:$D$32,2,0)</f>
        <v>DM</v>
      </c>
      <c r="U396" s="41" t="str">
        <f t="shared" si="32"/>
        <v>PASS</v>
      </c>
      <c r="V396" s="41" t="str">
        <f t="shared" si="33"/>
        <v>NA</v>
      </c>
      <c r="W396" s="30" t="str">
        <f t="shared" si="34"/>
        <v>2122</v>
      </c>
      <c r="X396" s="30" t="str">
        <f>VLOOKUP(MONTH(G396),Key!$F$3:$G$14,2,0)</f>
        <v>Aug</v>
      </c>
      <c r="Y396" s="30" t="str">
        <f>IFERROR(IF(MATCH(F396,'Test 6'!C$5:C$9,0)&gt;0,"RP"),"NON-RP")</f>
        <v>NON-RP</v>
      </c>
    </row>
    <row r="397" spans="2:25" x14ac:dyDescent="0.5">
      <c r="B397" s="30">
        <v>393</v>
      </c>
      <c r="C397" s="30" t="s">
        <v>883</v>
      </c>
      <c r="D397" s="31">
        <v>2122134</v>
      </c>
      <c r="E397" s="30" t="s">
        <v>884</v>
      </c>
      <c r="F397" s="53" t="s">
        <v>156</v>
      </c>
      <c r="G397" s="32">
        <v>44411</v>
      </c>
      <c r="H397" s="33">
        <v>0.57797629986847709</v>
      </c>
      <c r="I397" s="30" t="s">
        <v>277</v>
      </c>
      <c r="J397" s="34">
        <v>319200</v>
      </c>
      <c r="K397" s="35" t="s">
        <v>17</v>
      </c>
      <c r="L397" s="36">
        <v>57456</v>
      </c>
      <c r="M397" s="30" t="s">
        <v>37</v>
      </c>
      <c r="N397" s="30" t="s">
        <v>68</v>
      </c>
      <c r="O397" s="30" t="s">
        <v>1542</v>
      </c>
      <c r="P397" s="30" t="s">
        <v>1542</v>
      </c>
      <c r="Q397" s="30" t="str">
        <f t="shared" si="30"/>
        <v>AM</v>
      </c>
      <c r="R397" s="30" t="str">
        <f t="shared" si="31"/>
        <v>DM</v>
      </c>
      <c r="S397" s="30" t="str">
        <f>VLOOKUP(M397,'Data - Employee Rights Master'!$C$3:$D$32,2,0)</f>
        <v>AM</v>
      </c>
      <c r="T397" s="30" t="str">
        <f>VLOOKUP(N397,'Data - Employee Rights Master'!$C$3:$D$32,2,0)</f>
        <v>DM</v>
      </c>
      <c r="U397" s="41" t="str">
        <f t="shared" si="32"/>
        <v>PASS</v>
      </c>
      <c r="V397" s="41" t="str">
        <f t="shared" si="33"/>
        <v>NA</v>
      </c>
      <c r="W397" s="30" t="str">
        <f t="shared" si="34"/>
        <v>2122</v>
      </c>
      <c r="X397" s="30" t="str">
        <f>VLOOKUP(MONTH(G397),Key!$F$3:$G$14,2,0)</f>
        <v>Aug</v>
      </c>
      <c r="Y397" s="30" t="str">
        <f>IFERROR(IF(MATCH(F397,'Test 6'!C$5:C$9,0)&gt;0,"RP"),"NON-RP")</f>
        <v>NON-RP</v>
      </c>
    </row>
    <row r="398" spans="2:25" x14ac:dyDescent="0.5">
      <c r="B398" s="30">
        <v>394</v>
      </c>
      <c r="C398" s="30" t="s">
        <v>885</v>
      </c>
      <c r="D398" s="31">
        <v>2122135</v>
      </c>
      <c r="E398" s="30" t="s">
        <v>886</v>
      </c>
      <c r="F398" s="53" t="s">
        <v>308</v>
      </c>
      <c r="G398" s="32">
        <v>44415</v>
      </c>
      <c r="H398" s="33">
        <v>0.80775462962962974</v>
      </c>
      <c r="I398" s="30" t="s">
        <v>277</v>
      </c>
      <c r="J398" s="34">
        <v>4250210</v>
      </c>
      <c r="K398" s="35" t="s">
        <v>17</v>
      </c>
      <c r="L398" s="36">
        <v>765037.79999999993</v>
      </c>
      <c r="M398" s="30" t="s">
        <v>701</v>
      </c>
      <c r="N398" s="30" t="s">
        <v>41</v>
      </c>
      <c r="O398" s="30" t="s">
        <v>1542</v>
      </c>
      <c r="P398" s="30" t="s">
        <v>1542</v>
      </c>
      <c r="Q398" s="30" t="str">
        <f t="shared" si="30"/>
        <v>SM</v>
      </c>
      <c r="R398" s="30" t="str">
        <f t="shared" si="31"/>
        <v>CM</v>
      </c>
      <c r="S398" s="30" t="str">
        <f>VLOOKUP(M398,'Data - Employee Rights Master'!$C$3:$D$32,2,0)</f>
        <v>SM</v>
      </c>
      <c r="T398" s="30" t="str">
        <f>VLOOKUP(N398,'Data - Employee Rights Master'!$C$3:$D$32,2,0)</f>
        <v>CM</v>
      </c>
      <c r="U398" s="41" t="str">
        <f t="shared" si="32"/>
        <v>PASS</v>
      </c>
      <c r="V398" s="41" t="str">
        <f t="shared" si="33"/>
        <v>NA</v>
      </c>
      <c r="W398" s="30" t="str">
        <f t="shared" si="34"/>
        <v>2122</v>
      </c>
      <c r="X398" s="30" t="str">
        <f>VLOOKUP(MONTH(G398),Key!$F$3:$G$14,2,0)</f>
        <v>Aug</v>
      </c>
      <c r="Y398" s="30" t="str">
        <f>IFERROR(IF(MATCH(F398,'Test 6'!C$5:C$9,0)&gt;0,"RP"),"NON-RP")</f>
        <v>RP</v>
      </c>
    </row>
    <row r="399" spans="2:25" x14ac:dyDescent="0.5">
      <c r="B399" s="30">
        <v>395</v>
      </c>
      <c r="C399" s="30" t="s">
        <v>887</v>
      </c>
      <c r="D399" s="31">
        <v>2122136</v>
      </c>
      <c r="E399" s="30" t="s">
        <v>888</v>
      </c>
      <c r="F399" s="53" t="s">
        <v>77</v>
      </c>
      <c r="G399" s="32">
        <v>44412</v>
      </c>
      <c r="H399" s="33">
        <v>0.69866990123475348</v>
      </c>
      <c r="I399" s="30" t="s">
        <v>277</v>
      </c>
      <c r="J399" s="34">
        <v>338300</v>
      </c>
      <c r="K399" s="35" t="s">
        <v>17</v>
      </c>
      <c r="L399" s="36">
        <v>60894</v>
      </c>
      <c r="M399" s="30" t="s">
        <v>37</v>
      </c>
      <c r="N399" s="30" t="s">
        <v>51</v>
      </c>
      <c r="O399" s="30" t="s">
        <v>1542</v>
      </c>
      <c r="P399" s="30" t="s">
        <v>1542</v>
      </c>
      <c r="Q399" s="30" t="str">
        <f t="shared" si="30"/>
        <v>AM</v>
      </c>
      <c r="R399" s="30" t="str">
        <f t="shared" si="31"/>
        <v>DM</v>
      </c>
      <c r="S399" s="30" t="str">
        <f>VLOOKUP(M399,'Data - Employee Rights Master'!$C$3:$D$32,2,0)</f>
        <v>AM</v>
      </c>
      <c r="T399" s="30" t="str">
        <f>VLOOKUP(N399,'Data - Employee Rights Master'!$C$3:$D$32,2,0)</f>
        <v>DM</v>
      </c>
      <c r="U399" s="41" t="str">
        <f t="shared" si="32"/>
        <v>PASS</v>
      </c>
      <c r="V399" s="41" t="str">
        <f t="shared" si="33"/>
        <v>NA</v>
      </c>
      <c r="W399" s="30" t="str">
        <f t="shared" si="34"/>
        <v>2122</v>
      </c>
      <c r="X399" s="30" t="str">
        <f>VLOOKUP(MONTH(G399),Key!$F$3:$G$14,2,0)</f>
        <v>Aug</v>
      </c>
      <c r="Y399" s="30" t="str">
        <f>IFERROR(IF(MATCH(F399,'Test 6'!C$5:C$9,0)&gt;0,"RP"),"NON-RP")</f>
        <v>NON-RP</v>
      </c>
    </row>
    <row r="400" spans="2:25" x14ac:dyDescent="0.5">
      <c r="B400" s="30">
        <v>396</v>
      </c>
      <c r="C400" s="30" t="s">
        <v>889</v>
      </c>
      <c r="D400" s="31">
        <v>2122137</v>
      </c>
      <c r="E400" s="30" t="s">
        <v>890</v>
      </c>
      <c r="F400" s="53" t="s">
        <v>143</v>
      </c>
      <c r="G400" s="32">
        <v>44412</v>
      </c>
      <c r="H400" s="33">
        <v>0.70091693344343753</v>
      </c>
      <c r="I400" s="30" t="s">
        <v>277</v>
      </c>
      <c r="J400" s="34">
        <v>344160</v>
      </c>
      <c r="K400" s="35" t="s">
        <v>17</v>
      </c>
      <c r="L400" s="36">
        <v>61948.799999999996</v>
      </c>
      <c r="M400" s="30" t="s">
        <v>28</v>
      </c>
      <c r="N400" s="30" t="s">
        <v>24</v>
      </c>
      <c r="O400" s="30" t="s">
        <v>1542</v>
      </c>
      <c r="P400" s="30" t="s">
        <v>1542</v>
      </c>
      <c r="Q400" s="30" t="str">
        <f t="shared" si="30"/>
        <v>AM</v>
      </c>
      <c r="R400" s="30" t="str">
        <f t="shared" si="31"/>
        <v>DM</v>
      </c>
      <c r="S400" s="30" t="str">
        <f>VLOOKUP(M400,'Data - Employee Rights Master'!$C$3:$D$32,2,0)</f>
        <v>AM</v>
      </c>
      <c r="T400" s="30" t="str">
        <f>VLOOKUP(N400,'Data - Employee Rights Master'!$C$3:$D$32,2,0)</f>
        <v>DM</v>
      </c>
      <c r="U400" s="41" t="str">
        <f t="shared" si="32"/>
        <v>PASS</v>
      </c>
      <c r="V400" s="41" t="str">
        <f t="shared" si="33"/>
        <v>NA</v>
      </c>
      <c r="W400" s="30" t="str">
        <f t="shared" si="34"/>
        <v>2122</v>
      </c>
      <c r="X400" s="30" t="str">
        <f>VLOOKUP(MONTH(G400),Key!$F$3:$G$14,2,0)</f>
        <v>Aug</v>
      </c>
      <c r="Y400" s="30" t="str">
        <f>IFERROR(IF(MATCH(F400,'Test 6'!C$5:C$9,0)&gt;0,"RP"),"NON-RP")</f>
        <v>NON-RP</v>
      </c>
    </row>
    <row r="401" spans="2:25" x14ac:dyDescent="0.5">
      <c r="B401" s="30">
        <v>397</v>
      </c>
      <c r="C401" s="30" t="s">
        <v>891</v>
      </c>
      <c r="D401" s="31">
        <v>2122138</v>
      </c>
      <c r="E401" s="30" t="s">
        <v>892</v>
      </c>
      <c r="F401" s="53" t="s">
        <v>122</v>
      </c>
      <c r="G401" s="32">
        <v>44413</v>
      </c>
      <c r="H401" s="33">
        <v>0.68129042663021488</v>
      </c>
      <c r="I401" s="30" t="s">
        <v>277</v>
      </c>
      <c r="J401" s="34">
        <v>41820</v>
      </c>
      <c r="K401" s="35" t="s">
        <v>17</v>
      </c>
      <c r="L401" s="36">
        <v>7527.5999999999995</v>
      </c>
      <c r="M401" s="30" t="s">
        <v>737</v>
      </c>
      <c r="N401" s="30" t="s">
        <v>18</v>
      </c>
      <c r="O401" s="30" t="s">
        <v>1542</v>
      </c>
      <c r="P401" s="30" t="s">
        <v>1542</v>
      </c>
      <c r="Q401" s="30" t="str">
        <f t="shared" si="30"/>
        <v>SE</v>
      </c>
      <c r="R401" s="30" t="str">
        <f t="shared" si="31"/>
        <v>AM</v>
      </c>
      <c r="S401" s="30" t="str">
        <f>VLOOKUP(M401,'Data - Employee Rights Master'!$C$3:$D$32,2,0)</f>
        <v>SE</v>
      </c>
      <c r="T401" s="30" t="str">
        <f>VLOOKUP(N401,'Data - Employee Rights Master'!$C$3:$D$32,2,0)</f>
        <v>AM</v>
      </c>
      <c r="U401" s="41" t="str">
        <f t="shared" si="32"/>
        <v>PASS</v>
      </c>
      <c r="V401" s="41" t="str">
        <f t="shared" si="33"/>
        <v>NA</v>
      </c>
      <c r="W401" s="30" t="str">
        <f t="shared" si="34"/>
        <v>2122</v>
      </c>
      <c r="X401" s="30" t="str">
        <f>VLOOKUP(MONTH(G401),Key!$F$3:$G$14,2,0)</f>
        <v>Aug</v>
      </c>
      <c r="Y401" s="30" t="str">
        <f>IFERROR(IF(MATCH(F401,'Test 6'!C$5:C$9,0)&gt;0,"RP"),"NON-RP")</f>
        <v>NON-RP</v>
      </c>
    </row>
    <row r="402" spans="2:25" x14ac:dyDescent="0.5">
      <c r="B402" s="30">
        <v>398</v>
      </c>
      <c r="C402" s="30" t="s">
        <v>893</v>
      </c>
      <c r="D402" s="31">
        <v>2122139</v>
      </c>
      <c r="E402" s="30" t="s">
        <v>894</v>
      </c>
      <c r="F402" s="53" t="s">
        <v>84</v>
      </c>
      <c r="G402" s="32">
        <v>44413</v>
      </c>
      <c r="H402" s="33">
        <v>0.58492587833774468</v>
      </c>
      <c r="I402" s="30" t="s">
        <v>277</v>
      </c>
      <c r="J402" s="34">
        <v>21320</v>
      </c>
      <c r="K402" s="35" t="s">
        <v>17</v>
      </c>
      <c r="L402" s="36">
        <v>3837.6</v>
      </c>
      <c r="M402" s="30" t="s">
        <v>106</v>
      </c>
      <c r="N402" s="30" t="s">
        <v>37</v>
      </c>
      <c r="O402" s="30" t="s">
        <v>1542</v>
      </c>
      <c r="P402" s="30" t="s">
        <v>1542</v>
      </c>
      <c r="Q402" s="30" t="str">
        <f t="shared" si="30"/>
        <v>SE</v>
      </c>
      <c r="R402" s="30" t="str">
        <f t="shared" si="31"/>
        <v>AM</v>
      </c>
      <c r="S402" s="30" t="str">
        <f>VLOOKUP(M402,'Data - Employee Rights Master'!$C$3:$D$32,2,0)</f>
        <v>SE</v>
      </c>
      <c r="T402" s="30" t="str">
        <f>VLOOKUP(N402,'Data - Employee Rights Master'!$C$3:$D$32,2,0)</f>
        <v>AM</v>
      </c>
      <c r="U402" s="41" t="str">
        <f t="shared" si="32"/>
        <v>PASS</v>
      </c>
      <c r="V402" s="41" t="str">
        <f t="shared" si="33"/>
        <v>NA</v>
      </c>
      <c r="W402" s="30" t="str">
        <f t="shared" si="34"/>
        <v>2122</v>
      </c>
      <c r="X402" s="30" t="str">
        <f>VLOOKUP(MONTH(G402),Key!$F$3:$G$14,2,0)</f>
        <v>Aug</v>
      </c>
      <c r="Y402" s="30" t="str">
        <f>IFERROR(IF(MATCH(F402,'Test 6'!C$5:C$9,0)&gt;0,"RP"),"NON-RP")</f>
        <v>NON-RP</v>
      </c>
    </row>
    <row r="403" spans="2:25" x14ac:dyDescent="0.5">
      <c r="B403" s="30">
        <v>399</v>
      </c>
      <c r="C403" s="30" t="s">
        <v>895</v>
      </c>
      <c r="D403" s="31">
        <v>2122140</v>
      </c>
      <c r="E403" s="30" t="s">
        <v>896</v>
      </c>
      <c r="F403" s="53" t="s">
        <v>45</v>
      </c>
      <c r="G403" s="32">
        <v>44414</v>
      </c>
      <c r="H403" s="33">
        <v>0.69962760336279572</v>
      </c>
      <c r="I403" s="30" t="s">
        <v>277</v>
      </c>
      <c r="J403" s="34">
        <v>35390</v>
      </c>
      <c r="K403" s="35" t="s">
        <v>17</v>
      </c>
      <c r="L403" s="36">
        <v>6370.2</v>
      </c>
      <c r="M403" s="30" t="s">
        <v>36</v>
      </c>
      <c r="N403" s="30" t="s">
        <v>28</v>
      </c>
      <c r="O403" s="30" t="s">
        <v>1542</v>
      </c>
      <c r="P403" s="30" t="s">
        <v>1542</v>
      </c>
      <c r="Q403" s="30" t="str">
        <f t="shared" si="30"/>
        <v>SE</v>
      </c>
      <c r="R403" s="30" t="str">
        <f t="shared" si="31"/>
        <v>AM</v>
      </c>
      <c r="S403" s="30" t="str">
        <f>VLOOKUP(M403,'Data - Employee Rights Master'!$C$3:$D$32,2,0)</f>
        <v>SE</v>
      </c>
      <c r="T403" s="30" t="str">
        <f>VLOOKUP(N403,'Data - Employee Rights Master'!$C$3:$D$32,2,0)</f>
        <v>AM</v>
      </c>
      <c r="U403" s="41" t="str">
        <f t="shared" si="32"/>
        <v>PASS</v>
      </c>
      <c r="V403" s="41" t="str">
        <f t="shared" si="33"/>
        <v>NA</v>
      </c>
      <c r="W403" s="30" t="str">
        <f t="shared" si="34"/>
        <v>2122</v>
      </c>
      <c r="X403" s="30" t="str">
        <f>VLOOKUP(MONTH(G403),Key!$F$3:$G$14,2,0)</f>
        <v>Aug</v>
      </c>
      <c r="Y403" s="30" t="str">
        <f>IFERROR(IF(MATCH(F403,'Test 6'!C$5:C$9,0)&gt;0,"RP"),"NON-RP")</f>
        <v>NON-RP</v>
      </c>
    </row>
    <row r="404" spans="2:25" x14ac:dyDescent="0.5">
      <c r="B404" s="30">
        <v>400</v>
      </c>
      <c r="C404" s="30" t="s">
        <v>897</v>
      </c>
      <c r="D404" s="31">
        <v>2122141</v>
      </c>
      <c r="E404" s="30" t="s">
        <v>898</v>
      </c>
      <c r="F404" s="53" t="s">
        <v>156</v>
      </c>
      <c r="G404" s="32">
        <v>44414</v>
      </c>
      <c r="H404" s="33">
        <v>0.49349251332219446</v>
      </c>
      <c r="I404" s="30" t="s">
        <v>277</v>
      </c>
      <c r="J404" s="34">
        <v>31300</v>
      </c>
      <c r="K404" s="35" t="s">
        <v>17</v>
      </c>
      <c r="L404" s="36">
        <v>5634</v>
      </c>
      <c r="M404" s="30" t="s">
        <v>737</v>
      </c>
      <c r="N404" s="30" t="s">
        <v>46</v>
      </c>
      <c r="O404" s="30" t="s">
        <v>1542</v>
      </c>
      <c r="P404" s="30" t="s">
        <v>1542</v>
      </c>
      <c r="Q404" s="30" t="str">
        <f t="shared" si="30"/>
        <v>SE</v>
      </c>
      <c r="R404" s="30" t="str">
        <f t="shared" si="31"/>
        <v>AM</v>
      </c>
      <c r="S404" s="30" t="str">
        <f>VLOOKUP(M404,'Data - Employee Rights Master'!$C$3:$D$32,2,0)</f>
        <v>SE</v>
      </c>
      <c r="T404" s="30" t="str">
        <f>VLOOKUP(N404,'Data - Employee Rights Master'!$C$3:$D$32,2,0)</f>
        <v>AM</v>
      </c>
      <c r="U404" s="41" t="str">
        <f t="shared" si="32"/>
        <v>PASS</v>
      </c>
      <c r="V404" s="41" t="str">
        <f t="shared" si="33"/>
        <v>NA</v>
      </c>
      <c r="W404" s="30" t="str">
        <f t="shared" si="34"/>
        <v>2122</v>
      </c>
      <c r="X404" s="30" t="str">
        <f>VLOOKUP(MONTH(G404),Key!$F$3:$G$14,2,0)</f>
        <v>Aug</v>
      </c>
      <c r="Y404" s="30" t="str">
        <f>IFERROR(IF(MATCH(F404,'Test 6'!C$5:C$9,0)&gt;0,"RP"),"NON-RP")</f>
        <v>NON-RP</v>
      </c>
    </row>
    <row r="405" spans="2:25" x14ac:dyDescent="0.5">
      <c r="B405" s="30">
        <v>401</v>
      </c>
      <c r="C405" s="30" t="s">
        <v>899</v>
      </c>
      <c r="D405" s="31">
        <v>2122142</v>
      </c>
      <c r="E405" s="30" t="s">
        <v>900</v>
      </c>
      <c r="F405" s="53" t="s">
        <v>229</v>
      </c>
      <c r="G405" s="32">
        <v>44415</v>
      </c>
      <c r="H405" s="33">
        <v>0.45043309146261484</v>
      </c>
      <c r="I405" s="30" t="s">
        <v>277</v>
      </c>
      <c r="J405" s="34">
        <v>33140</v>
      </c>
      <c r="K405" s="35" t="s">
        <v>17</v>
      </c>
      <c r="L405" s="36">
        <v>5965.2</v>
      </c>
      <c r="M405" s="30" t="s">
        <v>134</v>
      </c>
      <c r="N405" s="30" t="s">
        <v>32</v>
      </c>
      <c r="O405" s="30" t="s">
        <v>1542</v>
      </c>
      <c r="P405" s="30" t="s">
        <v>1542</v>
      </c>
      <c r="Q405" s="30" t="str">
        <f t="shared" si="30"/>
        <v>SE</v>
      </c>
      <c r="R405" s="30" t="str">
        <f t="shared" si="31"/>
        <v>AM</v>
      </c>
      <c r="S405" s="30" t="str">
        <f>VLOOKUP(M405,'Data - Employee Rights Master'!$C$3:$D$32,2,0)</f>
        <v>SE</v>
      </c>
      <c r="T405" s="30" t="str">
        <f>VLOOKUP(N405,'Data - Employee Rights Master'!$C$3:$D$32,2,0)</f>
        <v>AM</v>
      </c>
      <c r="U405" s="41" t="str">
        <f t="shared" si="32"/>
        <v>PASS</v>
      </c>
      <c r="V405" s="41" t="str">
        <f t="shared" si="33"/>
        <v>NA</v>
      </c>
      <c r="W405" s="30" t="str">
        <f t="shared" si="34"/>
        <v>2122</v>
      </c>
      <c r="X405" s="30" t="str">
        <f>VLOOKUP(MONTH(G405),Key!$F$3:$G$14,2,0)</f>
        <v>Aug</v>
      </c>
      <c r="Y405" s="30" t="str">
        <f>IFERROR(IF(MATCH(F405,'Test 6'!C$5:C$9,0)&gt;0,"RP"),"NON-RP")</f>
        <v>NON-RP</v>
      </c>
    </row>
    <row r="406" spans="2:25" x14ac:dyDescent="0.5">
      <c r="B406" s="30">
        <v>402</v>
      </c>
      <c r="C406" s="30" t="s">
        <v>901</v>
      </c>
      <c r="D406" s="31">
        <v>2122143</v>
      </c>
      <c r="E406" s="30" t="s">
        <v>902</v>
      </c>
      <c r="F406" s="53" t="s">
        <v>103</v>
      </c>
      <c r="G406" s="32">
        <v>44417</v>
      </c>
      <c r="H406" s="33">
        <v>0.56841183957159502</v>
      </c>
      <c r="I406" s="30" t="s">
        <v>277</v>
      </c>
      <c r="J406" s="34">
        <v>37350</v>
      </c>
      <c r="K406" s="35" t="s">
        <v>17</v>
      </c>
      <c r="L406" s="36">
        <v>6723</v>
      </c>
      <c r="M406" s="30" t="s">
        <v>200</v>
      </c>
      <c r="N406" s="30" t="s">
        <v>37</v>
      </c>
      <c r="O406" s="30" t="s">
        <v>1542</v>
      </c>
      <c r="P406" s="30" t="s">
        <v>1542</v>
      </c>
      <c r="Q406" s="30" t="str">
        <f t="shared" si="30"/>
        <v>SE</v>
      </c>
      <c r="R406" s="30" t="str">
        <f t="shared" si="31"/>
        <v>AM</v>
      </c>
      <c r="S406" s="30" t="str">
        <f>VLOOKUP(M406,'Data - Employee Rights Master'!$C$3:$D$32,2,0)</f>
        <v>SE</v>
      </c>
      <c r="T406" s="30" t="str">
        <f>VLOOKUP(N406,'Data - Employee Rights Master'!$C$3:$D$32,2,0)</f>
        <v>AM</v>
      </c>
      <c r="U406" s="41" t="str">
        <f t="shared" si="32"/>
        <v>PASS</v>
      </c>
      <c r="V406" s="41" t="str">
        <f t="shared" si="33"/>
        <v>NA</v>
      </c>
      <c r="W406" s="30" t="str">
        <f t="shared" si="34"/>
        <v>2122</v>
      </c>
      <c r="X406" s="30" t="str">
        <f>VLOOKUP(MONTH(G406),Key!$F$3:$G$14,2,0)</f>
        <v>Aug</v>
      </c>
      <c r="Y406" s="30" t="str">
        <f>IFERROR(IF(MATCH(F406,'Test 6'!C$5:C$9,0)&gt;0,"RP"),"NON-RP")</f>
        <v>NON-RP</v>
      </c>
    </row>
    <row r="407" spans="2:25" x14ac:dyDescent="0.5">
      <c r="B407" s="30">
        <v>403</v>
      </c>
      <c r="C407" s="30" t="s">
        <v>903</v>
      </c>
      <c r="D407" s="31">
        <v>2122144</v>
      </c>
      <c r="E407" s="30" t="s">
        <v>904</v>
      </c>
      <c r="F407" s="53" t="s">
        <v>84</v>
      </c>
      <c r="G407" s="32">
        <v>44418</v>
      </c>
      <c r="H407" s="33">
        <v>0.47064364731543545</v>
      </c>
      <c r="I407" s="30" t="s">
        <v>277</v>
      </c>
      <c r="J407" s="34">
        <v>34190</v>
      </c>
      <c r="K407" s="35" t="s">
        <v>17</v>
      </c>
      <c r="L407" s="36">
        <v>6154.2</v>
      </c>
      <c r="M407" s="30" t="s">
        <v>168</v>
      </c>
      <c r="N407" s="30" t="s">
        <v>28</v>
      </c>
      <c r="O407" s="30" t="s">
        <v>1542</v>
      </c>
      <c r="P407" s="30" t="s">
        <v>1542</v>
      </c>
      <c r="Q407" s="30" t="str">
        <f t="shared" si="30"/>
        <v>SE</v>
      </c>
      <c r="R407" s="30" t="str">
        <f t="shared" si="31"/>
        <v>AM</v>
      </c>
      <c r="S407" s="30" t="str">
        <f>VLOOKUP(M407,'Data - Employee Rights Master'!$C$3:$D$32,2,0)</f>
        <v>SE</v>
      </c>
      <c r="T407" s="30" t="str">
        <f>VLOOKUP(N407,'Data - Employee Rights Master'!$C$3:$D$32,2,0)</f>
        <v>AM</v>
      </c>
      <c r="U407" s="41" t="str">
        <f t="shared" si="32"/>
        <v>PASS</v>
      </c>
      <c r="V407" s="41" t="str">
        <f t="shared" si="33"/>
        <v>NA</v>
      </c>
      <c r="W407" s="30" t="str">
        <f t="shared" si="34"/>
        <v>2122</v>
      </c>
      <c r="X407" s="30" t="str">
        <f>VLOOKUP(MONTH(G407),Key!$F$3:$G$14,2,0)</f>
        <v>Aug</v>
      </c>
      <c r="Y407" s="30" t="str">
        <f>IFERROR(IF(MATCH(F407,'Test 6'!C$5:C$9,0)&gt;0,"RP"),"NON-RP")</f>
        <v>NON-RP</v>
      </c>
    </row>
    <row r="408" spans="2:25" x14ac:dyDescent="0.5">
      <c r="B408" s="30">
        <v>404</v>
      </c>
      <c r="C408" s="30" t="s">
        <v>905</v>
      </c>
      <c r="D408" s="31">
        <v>2122145</v>
      </c>
      <c r="E408" s="30" t="s">
        <v>906</v>
      </c>
      <c r="F408" s="53" t="s">
        <v>114</v>
      </c>
      <c r="G408" s="32">
        <v>44418</v>
      </c>
      <c r="H408" s="33">
        <v>0.58578730306735882</v>
      </c>
      <c r="I408" s="30" t="s">
        <v>277</v>
      </c>
      <c r="J408" s="34">
        <v>40780</v>
      </c>
      <c r="K408" s="35" t="s">
        <v>17</v>
      </c>
      <c r="L408" s="36">
        <v>7340.4</v>
      </c>
      <c r="M408" s="30" t="s">
        <v>106</v>
      </c>
      <c r="N408" s="30" t="s">
        <v>61</v>
      </c>
      <c r="O408" s="30" t="s">
        <v>1542</v>
      </c>
      <c r="P408" s="30" t="s">
        <v>1542</v>
      </c>
      <c r="Q408" s="30" t="str">
        <f t="shared" si="30"/>
        <v>SE</v>
      </c>
      <c r="R408" s="30" t="str">
        <f t="shared" si="31"/>
        <v>AM</v>
      </c>
      <c r="S408" s="30" t="str">
        <f>VLOOKUP(M408,'Data - Employee Rights Master'!$C$3:$D$32,2,0)</f>
        <v>SE</v>
      </c>
      <c r="T408" s="30" t="str">
        <f>VLOOKUP(N408,'Data - Employee Rights Master'!$C$3:$D$32,2,0)</f>
        <v>AM</v>
      </c>
      <c r="U408" s="41" t="str">
        <f t="shared" si="32"/>
        <v>PASS</v>
      </c>
      <c r="V408" s="41" t="str">
        <f t="shared" si="33"/>
        <v>NA</v>
      </c>
      <c r="W408" s="30" t="str">
        <f t="shared" si="34"/>
        <v>2122</v>
      </c>
      <c r="X408" s="30" t="str">
        <f>VLOOKUP(MONTH(G408),Key!$F$3:$G$14,2,0)</f>
        <v>Aug</v>
      </c>
      <c r="Y408" s="30" t="str">
        <f>IFERROR(IF(MATCH(F408,'Test 6'!C$5:C$9,0)&gt;0,"RP"),"NON-RP")</f>
        <v>NON-RP</v>
      </c>
    </row>
    <row r="409" spans="2:25" x14ac:dyDescent="0.5">
      <c r="B409" s="30">
        <v>405</v>
      </c>
      <c r="C409" s="30" t="s">
        <v>907</v>
      </c>
      <c r="D409" s="31">
        <v>2122146</v>
      </c>
      <c r="E409" s="30" t="s">
        <v>908</v>
      </c>
      <c r="F409" s="53" t="s">
        <v>203</v>
      </c>
      <c r="G409" s="32">
        <v>44418</v>
      </c>
      <c r="H409" s="33">
        <v>0.45288800413651925</v>
      </c>
      <c r="I409" s="30" t="s">
        <v>277</v>
      </c>
      <c r="J409" s="34">
        <v>31620</v>
      </c>
      <c r="K409" s="35" t="s">
        <v>17</v>
      </c>
      <c r="L409" s="36">
        <v>5691.5999999999995</v>
      </c>
      <c r="M409" s="30" t="s">
        <v>168</v>
      </c>
      <c r="N409" s="30" t="s">
        <v>32</v>
      </c>
      <c r="O409" s="30" t="s">
        <v>1542</v>
      </c>
      <c r="P409" s="30" t="s">
        <v>1542</v>
      </c>
      <c r="Q409" s="30" t="str">
        <f t="shared" si="30"/>
        <v>SE</v>
      </c>
      <c r="R409" s="30" t="str">
        <f t="shared" si="31"/>
        <v>AM</v>
      </c>
      <c r="S409" s="30" t="str">
        <f>VLOOKUP(M409,'Data - Employee Rights Master'!$C$3:$D$32,2,0)</f>
        <v>SE</v>
      </c>
      <c r="T409" s="30" t="str">
        <f>VLOOKUP(N409,'Data - Employee Rights Master'!$C$3:$D$32,2,0)</f>
        <v>AM</v>
      </c>
      <c r="U409" s="41" t="str">
        <f t="shared" si="32"/>
        <v>PASS</v>
      </c>
      <c r="V409" s="41" t="str">
        <f t="shared" si="33"/>
        <v>NA</v>
      </c>
      <c r="W409" s="30" t="str">
        <f t="shared" si="34"/>
        <v>2122</v>
      </c>
      <c r="X409" s="30" t="str">
        <f>VLOOKUP(MONTH(G409),Key!$F$3:$G$14,2,0)</f>
        <v>Aug</v>
      </c>
      <c r="Y409" s="30" t="str">
        <f>IFERROR(IF(MATCH(F409,'Test 6'!C$5:C$9,0)&gt;0,"RP"),"NON-RP")</f>
        <v>NON-RP</v>
      </c>
    </row>
    <row r="410" spans="2:25" x14ac:dyDescent="0.5">
      <c r="B410" s="30">
        <v>406</v>
      </c>
      <c r="C410" s="30" t="s">
        <v>909</v>
      </c>
      <c r="D410" s="31">
        <v>2122147</v>
      </c>
      <c r="E410" s="30" t="s">
        <v>910</v>
      </c>
      <c r="F410" s="53" t="s">
        <v>143</v>
      </c>
      <c r="G410" s="32">
        <v>44419</v>
      </c>
      <c r="H410" s="33">
        <v>0.53179355987977694</v>
      </c>
      <c r="I410" s="30" t="s">
        <v>163</v>
      </c>
      <c r="J410" s="34">
        <v>494490</v>
      </c>
      <c r="K410" s="35" t="s">
        <v>17</v>
      </c>
      <c r="L410" s="36">
        <v>89008.2</v>
      </c>
      <c r="M410" s="30" t="s">
        <v>28</v>
      </c>
      <c r="N410" s="30" t="s">
        <v>47</v>
      </c>
      <c r="O410" s="30" t="s">
        <v>1542</v>
      </c>
      <c r="P410" s="30" t="s">
        <v>1542</v>
      </c>
      <c r="Q410" s="30" t="str">
        <f t="shared" si="30"/>
        <v>AM</v>
      </c>
      <c r="R410" s="30" t="str">
        <f t="shared" si="31"/>
        <v>DM</v>
      </c>
      <c r="S410" s="30" t="str">
        <f>VLOOKUP(M410,'Data - Employee Rights Master'!$C$3:$D$32,2,0)</f>
        <v>AM</v>
      </c>
      <c r="T410" s="30" t="str">
        <f>VLOOKUP(N410,'Data - Employee Rights Master'!$C$3:$D$32,2,0)</f>
        <v>DM</v>
      </c>
      <c r="U410" s="41" t="str">
        <f t="shared" si="32"/>
        <v>PASS</v>
      </c>
      <c r="V410" s="41" t="str">
        <f t="shared" si="33"/>
        <v>NA</v>
      </c>
      <c r="W410" s="30" t="str">
        <f t="shared" si="34"/>
        <v>2122</v>
      </c>
      <c r="X410" s="30" t="str">
        <f>VLOOKUP(MONTH(G410),Key!$F$3:$G$14,2,0)</f>
        <v>Aug</v>
      </c>
      <c r="Y410" s="30" t="str">
        <f>IFERROR(IF(MATCH(F410,'Test 6'!C$5:C$9,0)&gt;0,"RP"),"NON-RP")</f>
        <v>NON-RP</v>
      </c>
    </row>
    <row r="411" spans="2:25" x14ac:dyDescent="0.5">
      <c r="B411" s="30">
        <v>407</v>
      </c>
      <c r="C411" s="30" t="s">
        <v>911</v>
      </c>
      <c r="D411" s="31">
        <v>2122148</v>
      </c>
      <c r="E411" s="30" t="s">
        <v>912</v>
      </c>
      <c r="F411" s="53" t="s">
        <v>111</v>
      </c>
      <c r="G411" s="32">
        <v>44423</v>
      </c>
      <c r="H411" s="33">
        <v>0.46967499174840938</v>
      </c>
      <c r="I411" s="30" t="s">
        <v>277</v>
      </c>
      <c r="J411" s="34">
        <v>4927020</v>
      </c>
      <c r="K411" s="35" t="s">
        <v>17</v>
      </c>
      <c r="L411" s="36">
        <v>886863.6</v>
      </c>
      <c r="M411" s="30" t="s">
        <v>41</v>
      </c>
      <c r="N411" s="30" t="s">
        <v>42</v>
      </c>
      <c r="O411" s="30" t="s">
        <v>1542</v>
      </c>
      <c r="P411" s="30" t="s">
        <v>1542</v>
      </c>
      <c r="Q411" s="30" t="str">
        <f t="shared" si="30"/>
        <v>CM</v>
      </c>
      <c r="R411" s="30" t="str">
        <f t="shared" si="31"/>
        <v>CFO</v>
      </c>
      <c r="S411" s="30" t="str">
        <f>VLOOKUP(M411,'Data - Employee Rights Master'!$C$3:$D$32,2,0)</f>
        <v>CM</v>
      </c>
      <c r="T411" s="30" t="str">
        <f>VLOOKUP(N411,'Data - Employee Rights Master'!$C$3:$D$32,2,0)</f>
        <v>CFO</v>
      </c>
      <c r="U411" s="41" t="str">
        <f t="shared" si="32"/>
        <v>PASS</v>
      </c>
      <c r="V411" s="41" t="str">
        <f t="shared" si="33"/>
        <v>NA</v>
      </c>
      <c r="W411" s="30" t="str">
        <f t="shared" si="34"/>
        <v>2122</v>
      </c>
      <c r="X411" s="30" t="str">
        <f>VLOOKUP(MONTH(G411),Key!$F$3:$G$14,2,0)</f>
        <v>Aug</v>
      </c>
      <c r="Y411" s="30" t="str">
        <f>IFERROR(IF(MATCH(F411,'Test 6'!C$5:C$9,0)&gt;0,"RP"),"NON-RP")</f>
        <v>RP</v>
      </c>
    </row>
    <row r="412" spans="2:25" x14ac:dyDescent="0.5">
      <c r="B412" s="30">
        <v>408</v>
      </c>
      <c r="C412" s="30" t="s">
        <v>913</v>
      </c>
      <c r="D412" s="31">
        <v>2122149</v>
      </c>
      <c r="E412" s="30" t="s">
        <v>914</v>
      </c>
      <c r="F412" s="53" t="s">
        <v>35</v>
      </c>
      <c r="G412" s="32">
        <v>44419</v>
      </c>
      <c r="H412" s="33">
        <v>0.53062952265690233</v>
      </c>
      <c r="I412" s="30" t="s">
        <v>277</v>
      </c>
      <c r="J412" s="34">
        <v>31490</v>
      </c>
      <c r="K412" s="35" t="s">
        <v>17</v>
      </c>
      <c r="L412" s="36">
        <v>5668.2</v>
      </c>
      <c r="M412" s="30" t="s">
        <v>168</v>
      </c>
      <c r="N412" s="30" t="s">
        <v>23</v>
      </c>
      <c r="O412" s="30" t="s">
        <v>1542</v>
      </c>
      <c r="P412" s="30" t="s">
        <v>1542</v>
      </c>
      <c r="Q412" s="30" t="str">
        <f t="shared" si="30"/>
        <v>SE</v>
      </c>
      <c r="R412" s="30" t="str">
        <f t="shared" si="31"/>
        <v>AM</v>
      </c>
      <c r="S412" s="30" t="str">
        <f>VLOOKUP(M412,'Data - Employee Rights Master'!$C$3:$D$32,2,0)</f>
        <v>SE</v>
      </c>
      <c r="T412" s="30" t="str">
        <f>VLOOKUP(N412,'Data - Employee Rights Master'!$C$3:$D$32,2,0)</f>
        <v>AM</v>
      </c>
      <c r="U412" s="41" t="str">
        <f t="shared" si="32"/>
        <v>PASS</v>
      </c>
      <c r="V412" s="41" t="str">
        <f t="shared" si="33"/>
        <v>NA</v>
      </c>
      <c r="W412" s="30" t="str">
        <f t="shared" si="34"/>
        <v>2122</v>
      </c>
      <c r="X412" s="30" t="str">
        <f>VLOOKUP(MONTH(G412),Key!$F$3:$G$14,2,0)</f>
        <v>Aug</v>
      </c>
      <c r="Y412" s="30" t="str">
        <f>IFERROR(IF(MATCH(F412,'Test 6'!C$5:C$9,0)&gt;0,"RP"),"NON-RP")</f>
        <v>NON-RP</v>
      </c>
    </row>
    <row r="413" spans="2:25" x14ac:dyDescent="0.5">
      <c r="B413" s="30">
        <v>409</v>
      </c>
      <c r="C413" s="30" t="s">
        <v>915</v>
      </c>
      <c r="D413" s="31">
        <v>2122150</v>
      </c>
      <c r="E413" s="30" t="s">
        <v>916</v>
      </c>
      <c r="F413" s="53" t="s">
        <v>122</v>
      </c>
      <c r="G413" s="32">
        <v>44420</v>
      </c>
      <c r="H413" s="33">
        <v>0.67664875890659348</v>
      </c>
      <c r="I413" s="30" t="s">
        <v>277</v>
      </c>
      <c r="J413" s="34">
        <v>423580</v>
      </c>
      <c r="K413" s="35" t="s">
        <v>17</v>
      </c>
      <c r="L413" s="36">
        <v>76244.399999999994</v>
      </c>
      <c r="M413" s="30" t="s">
        <v>37</v>
      </c>
      <c r="N413" s="30" t="s">
        <v>51</v>
      </c>
      <c r="O413" s="30" t="s">
        <v>1542</v>
      </c>
      <c r="P413" s="30" t="s">
        <v>1542</v>
      </c>
      <c r="Q413" s="30" t="str">
        <f t="shared" si="30"/>
        <v>AM</v>
      </c>
      <c r="R413" s="30" t="str">
        <f t="shared" si="31"/>
        <v>DM</v>
      </c>
      <c r="S413" s="30" t="str">
        <f>VLOOKUP(M413,'Data - Employee Rights Master'!$C$3:$D$32,2,0)</f>
        <v>AM</v>
      </c>
      <c r="T413" s="30" t="str">
        <f>VLOOKUP(N413,'Data - Employee Rights Master'!$C$3:$D$32,2,0)</f>
        <v>DM</v>
      </c>
      <c r="U413" s="41" t="str">
        <f t="shared" si="32"/>
        <v>PASS</v>
      </c>
      <c r="V413" s="41" t="str">
        <f t="shared" si="33"/>
        <v>NA</v>
      </c>
      <c r="W413" s="30" t="str">
        <f t="shared" si="34"/>
        <v>2122</v>
      </c>
      <c r="X413" s="30" t="str">
        <f>VLOOKUP(MONTH(G413),Key!$F$3:$G$14,2,0)</f>
        <v>Aug</v>
      </c>
      <c r="Y413" s="30" t="str">
        <f>IFERROR(IF(MATCH(F413,'Test 6'!C$5:C$9,0)&gt;0,"RP"),"NON-RP")</f>
        <v>NON-RP</v>
      </c>
    </row>
    <row r="414" spans="2:25" x14ac:dyDescent="0.5">
      <c r="B414" s="30">
        <v>410</v>
      </c>
      <c r="C414" s="30" t="s">
        <v>917</v>
      </c>
      <c r="D414" s="31">
        <v>2122151</v>
      </c>
      <c r="E414" s="30" t="s">
        <v>918</v>
      </c>
      <c r="F414" s="53" t="s">
        <v>269</v>
      </c>
      <c r="G414" s="32">
        <v>44420</v>
      </c>
      <c r="H414" s="33">
        <v>0.52453225944912185</v>
      </c>
      <c r="I414" s="30" t="s">
        <v>277</v>
      </c>
      <c r="J414" s="34">
        <v>30970</v>
      </c>
      <c r="K414" s="35" t="s">
        <v>17</v>
      </c>
      <c r="L414" s="36">
        <v>5574.5999999999995</v>
      </c>
      <c r="M414" s="30" t="s">
        <v>134</v>
      </c>
      <c r="N414" s="30" t="s">
        <v>18</v>
      </c>
      <c r="O414" s="30" t="s">
        <v>1542</v>
      </c>
      <c r="P414" s="30" t="s">
        <v>1542</v>
      </c>
      <c r="Q414" s="30" t="str">
        <f t="shared" si="30"/>
        <v>SE</v>
      </c>
      <c r="R414" s="30" t="str">
        <f t="shared" si="31"/>
        <v>AM</v>
      </c>
      <c r="S414" s="30" t="str">
        <f>VLOOKUP(M414,'Data - Employee Rights Master'!$C$3:$D$32,2,0)</f>
        <v>SE</v>
      </c>
      <c r="T414" s="30" t="str">
        <f>VLOOKUP(N414,'Data - Employee Rights Master'!$C$3:$D$32,2,0)</f>
        <v>AM</v>
      </c>
      <c r="U414" s="41" t="str">
        <f t="shared" si="32"/>
        <v>PASS</v>
      </c>
      <c r="V414" s="41" t="str">
        <f t="shared" si="33"/>
        <v>NA</v>
      </c>
      <c r="W414" s="30" t="str">
        <f t="shared" si="34"/>
        <v>2122</v>
      </c>
      <c r="X414" s="30" t="str">
        <f>VLOOKUP(MONTH(G414),Key!$F$3:$G$14,2,0)</f>
        <v>Aug</v>
      </c>
      <c r="Y414" s="30" t="str">
        <f>IFERROR(IF(MATCH(F414,'Test 6'!C$5:C$9,0)&gt;0,"RP"),"NON-RP")</f>
        <v>NON-RP</v>
      </c>
    </row>
    <row r="415" spans="2:25" x14ac:dyDescent="0.5">
      <c r="B415" s="30">
        <v>411</v>
      </c>
      <c r="C415" s="30" t="s">
        <v>919</v>
      </c>
      <c r="D415" s="31">
        <v>2122152</v>
      </c>
      <c r="E415" s="30" t="s">
        <v>920</v>
      </c>
      <c r="F415" s="53" t="s">
        <v>81</v>
      </c>
      <c r="G415" s="32">
        <v>44420</v>
      </c>
      <c r="H415" s="33">
        <v>0.5372546383552359</v>
      </c>
      <c r="I415" s="30" t="s">
        <v>277</v>
      </c>
      <c r="J415" s="34">
        <v>461700</v>
      </c>
      <c r="K415" s="35" t="s">
        <v>17</v>
      </c>
      <c r="L415" s="36">
        <v>83106</v>
      </c>
      <c r="M415" s="30" t="s">
        <v>18</v>
      </c>
      <c r="N415" s="30" t="s">
        <v>47</v>
      </c>
      <c r="O415" s="30" t="s">
        <v>1542</v>
      </c>
      <c r="P415" s="30" t="s">
        <v>1542</v>
      </c>
      <c r="Q415" s="30" t="str">
        <f t="shared" si="30"/>
        <v>AM</v>
      </c>
      <c r="R415" s="30" t="str">
        <f t="shared" si="31"/>
        <v>DM</v>
      </c>
      <c r="S415" s="30" t="str">
        <f>VLOOKUP(M415,'Data - Employee Rights Master'!$C$3:$D$32,2,0)</f>
        <v>AM</v>
      </c>
      <c r="T415" s="30" t="str">
        <f>VLOOKUP(N415,'Data - Employee Rights Master'!$C$3:$D$32,2,0)</f>
        <v>DM</v>
      </c>
      <c r="U415" s="41" t="str">
        <f t="shared" si="32"/>
        <v>PASS</v>
      </c>
      <c r="V415" s="41" t="str">
        <f t="shared" si="33"/>
        <v>NA</v>
      </c>
      <c r="W415" s="30" t="str">
        <f t="shared" si="34"/>
        <v>2122</v>
      </c>
      <c r="X415" s="30" t="str">
        <f>VLOOKUP(MONTH(G415),Key!$F$3:$G$14,2,0)</f>
        <v>Aug</v>
      </c>
      <c r="Y415" s="30" t="str">
        <f>IFERROR(IF(MATCH(F415,'Test 6'!C$5:C$9,0)&gt;0,"RP"),"NON-RP")</f>
        <v>NON-RP</v>
      </c>
    </row>
    <row r="416" spans="2:25" x14ac:dyDescent="0.5">
      <c r="B416" s="30">
        <v>412</v>
      </c>
      <c r="C416" s="30" t="s">
        <v>921</v>
      </c>
      <c r="D416" s="31">
        <v>2122153</v>
      </c>
      <c r="E416" s="30" t="s">
        <v>922</v>
      </c>
      <c r="F416" s="53" t="s">
        <v>45</v>
      </c>
      <c r="G416" s="32">
        <v>44421</v>
      </c>
      <c r="H416" s="33">
        <v>0.55760500037567085</v>
      </c>
      <c r="I416" s="30" t="s">
        <v>277</v>
      </c>
      <c r="J416" s="34">
        <v>40120</v>
      </c>
      <c r="K416" s="35" t="s">
        <v>17</v>
      </c>
      <c r="L416" s="36">
        <v>7221.5999999999995</v>
      </c>
      <c r="M416" s="30" t="s">
        <v>923</v>
      </c>
      <c r="N416" s="30" t="s">
        <v>46</v>
      </c>
      <c r="O416" s="30" t="s">
        <v>1542</v>
      </c>
      <c r="P416" s="30" t="s">
        <v>1542</v>
      </c>
      <c r="Q416" s="30" t="str">
        <f t="shared" si="30"/>
        <v>SE</v>
      </c>
      <c r="R416" s="30" t="str">
        <f t="shared" si="31"/>
        <v>AM</v>
      </c>
      <c r="S416" s="30" t="str">
        <f>VLOOKUP(M416,'Data - Employee Rights Master'!$C$3:$D$32,2,0)</f>
        <v>SE</v>
      </c>
      <c r="T416" s="30" t="str">
        <f>VLOOKUP(N416,'Data - Employee Rights Master'!$C$3:$D$32,2,0)</f>
        <v>AM</v>
      </c>
      <c r="U416" s="41" t="str">
        <f t="shared" si="32"/>
        <v>PASS</v>
      </c>
      <c r="V416" s="41" t="str">
        <f t="shared" si="33"/>
        <v>NA</v>
      </c>
      <c r="W416" s="30" t="str">
        <f t="shared" si="34"/>
        <v>2122</v>
      </c>
      <c r="X416" s="30" t="str">
        <f>VLOOKUP(MONTH(G416),Key!$F$3:$G$14,2,0)</f>
        <v>Aug</v>
      </c>
      <c r="Y416" s="30" t="str">
        <f>IFERROR(IF(MATCH(F416,'Test 6'!C$5:C$9,0)&gt;0,"RP"),"NON-RP")</f>
        <v>NON-RP</v>
      </c>
    </row>
    <row r="417" spans="2:25" x14ac:dyDescent="0.5">
      <c r="B417" s="30">
        <v>413</v>
      </c>
      <c r="C417" s="30" t="s">
        <v>924</v>
      </c>
      <c r="D417" s="31">
        <v>2122154</v>
      </c>
      <c r="E417" s="30" t="s">
        <v>925</v>
      </c>
      <c r="F417" s="53" t="s">
        <v>272</v>
      </c>
      <c r="G417" s="32">
        <v>44421</v>
      </c>
      <c r="H417" s="33">
        <v>0.58232642184528738</v>
      </c>
      <c r="I417" s="30" t="s">
        <v>277</v>
      </c>
      <c r="J417" s="34">
        <v>30120</v>
      </c>
      <c r="K417" s="35" t="s">
        <v>17</v>
      </c>
      <c r="L417" s="36">
        <v>5421.5999999999995</v>
      </c>
      <c r="M417" s="30" t="s">
        <v>134</v>
      </c>
      <c r="N417" s="30" t="s">
        <v>37</v>
      </c>
      <c r="O417" s="30" t="s">
        <v>1542</v>
      </c>
      <c r="P417" s="30" t="s">
        <v>1542</v>
      </c>
      <c r="Q417" s="30" t="str">
        <f t="shared" si="30"/>
        <v>SE</v>
      </c>
      <c r="R417" s="30" t="str">
        <f t="shared" si="31"/>
        <v>AM</v>
      </c>
      <c r="S417" s="30" t="str">
        <f>VLOOKUP(M417,'Data - Employee Rights Master'!$C$3:$D$32,2,0)</f>
        <v>SE</v>
      </c>
      <c r="T417" s="30" t="str">
        <f>VLOOKUP(N417,'Data - Employee Rights Master'!$C$3:$D$32,2,0)</f>
        <v>AM</v>
      </c>
      <c r="U417" s="41" t="str">
        <f t="shared" si="32"/>
        <v>PASS</v>
      </c>
      <c r="V417" s="41" t="str">
        <f t="shared" si="33"/>
        <v>NA</v>
      </c>
      <c r="W417" s="30" t="str">
        <f t="shared" si="34"/>
        <v>2122</v>
      </c>
      <c r="X417" s="30" t="str">
        <f>VLOOKUP(MONTH(G417),Key!$F$3:$G$14,2,0)</f>
        <v>Aug</v>
      </c>
      <c r="Y417" s="30" t="str">
        <f>IFERROR(IF(MATCH(F417,'Test 6'!C$5:C$9,0)&gt;0,"RP"),"NON-RP")</f>
        <v>NON-RP</v>
      </c>
    </row>
    <row r="418" spans="2:25" x14ac:dyDescent="0.5">
      <c r="B418" s="30">
        <v>414</v>
      </c>
      <c r="C418" s="30" t="s">
        <v>926</v>
      </c>
      <c r="D418" s="31">
        <v>2122155</v>
      </c>
      <c r="E418" s="30" t="s">
        <v>927</v>
      </c>
      <c r="F418" s="53" t="s">
        <v>143</v>
      </c>
      <c r="G418" s="32">
        <v>44424</v>
      </c>
      <c r="H418" s="33">
        <v>0.46276002747657191</v>
      </c>
      <c r="I418" s="30" t="s">
        <v>277</v>
      </c>
      <c r="J418" s="34">
        <v>13417040</v>
      </c>
      <c r="K418" s="35" t="s">
        <v>17</v>
      </c>
      <c r="L418" s="36">
        <v>2415067.1999999997</v>
      </c>
      <c r="M418" s="30" t="s">
        <v>41</v>
      </c>
      <c r="N418" s="30" t="s">
        <v>42</v>
      </c>
      <c r="O418" s="30" t="s">
        <v>1575</v>
      </c>
      <c r="P418" s="30" t="s">
        <v>1584</v>
      </c>
      <c r="Q418" s="30" t="str">
        <f t="shared" si="30"/>
        <v>CM</v>
      </c>
      <c r="R418" s="30" t="str">
        <f t="shared" si="31"/>
        <v>CFO</v>
      </c>
      <c r="S418" s="30" t="str">
        <f>VLOOKUP(M418,'Data - Employee Rights Master'!$C$3:$D$32,2,0)</f>
        <v>CM</v>
      </c>
      <c r="T418" s="30" t="str">
        <f>VLOOKUP(N418,'Data - Employee Rights Master'!$C$3:$D$32,2,0)</f>
        <v>CFO</v>
      </c>
      <c r="U418" s="41" t="str">
        <f t="shared" si="32"/>
        <v>PASS</v>
      </c>
      <c r="V418" s="41" t="str">
        <f t="shared" si="33"/>
        <v>PASS</v>
      </c>
      <c r="W418" s="30" t="str">
        <f t="shared" si="34"/>
        <v>2122</v>
      </c>
      <c r="X418" s="30" t="str">
        <f>VLOOKUP(MONTH(G418),Key!$F$3:$G$14,2,0)</f>
        <v>Aug</v>
      </c>
      <c r="Y418" s="30" t="str">
        <f>IFERROR(IF(MATCH(F418,'Test 6'!C$5:C$9,0)&gt;0,"RP"),"NON-RP")</f>
        <v>NON-RP</v>
      </c>
    </row>
    <row r="419" spans="2:25" x14ac:dyDescent="0.5">
      <c r="B419" s="30">
        <v>415</v>
      </c>
      <c r="C419" s="30" t="s">
        <v>928</v>
      </c>
      <c r="D419" s="31">
        <v>2122156</v>
      </c>
      <c r="E419" s="30" t="s">
        <v>929</v>
      </c>
      <c r="F419" s="53" t="s">
        <v>269</v>
      </c>
      <c r="G419" s="32">
        <v>44424</v>
      </c>
      <c r="H419" s="33">
        <v>0.66068802074060462</v>
      </c>
      <c r="I419" s="30" t="s">
        <v>277</v>
      </c>
      <c r="J419" s="34">
        <v>6976300</v>
      </c>
      <c r="K419" s="35" t="s">
        <v>17</v>
      </c>
      <c r="L419" s="36">
        <v>1255734</v>
      </c>
      <c r="M419" s="30" t="s">
        <v>41</v>
      </c>
      <c r="N419" s="30" t="s">
        <v>42</v>
      </c>
      <c r="O419" s="30" t="s">
        <v>1575</v>
      </c>
      <c r="P419" s="30" t="s">
        <v>1585</v>
      </c>
      <c r="Q419" s="30" t="str">
        <f t="shared" si="30"/>
        <v>CM</v>
      </c>
      <c r="R419" s="30" t="str">
        <f t="shared" si="31"/>
        <v>CFO</v>
      </c>
      <c r="S419" s="30" t="str">
        <f>VLOOKUP(M419,'Data - Employee Rights Master'!$C$3:$D$32,2,0)</f>
        <v>CM</v>
      </c>
      <c r="T419" s="30" t="str">
        <f>VLOOKUP(N419,'Data - Employee Rights Master'!$C$3:$D$32,2,0)</f>
        <v>CFO</v>
      </c>
      <c r="U419" s="41" t="str">
        <f t="shared" si="32"/>
        <v>PASS</v>
      </c>
      <c r="V419" s="41" t="str">
        <f t="shared" si="33"/>
        <v>PASS</v>
      </c>
      <c r="W419" s="30" t="str">
        <f t="shared" si="34"/>
        <v>2122</v>
      </c>
      <c r="X419" s="30" t="str">
        <f>VLOOKUP(MONTH(G419),Key!$F$3:$G$14,2,0)</f>
        <v>Aug</v>
      </c>
      <c r="Y419" s="30" t="str">
        <f>IFERROR(IF(MATCH(F419,'Test 6'!C$5:C$9,0)&gt;0,"RP"),"NON-RP")</f>
        <v>NON-RP</v>
      </c>
    </row>
    <row r="420" spans="2:25" x14ac:dyDescent="0.5">
      <c r="B420" s="30">
        <v>416</v>
      </c>
      <c r="C420" s="30" t="s">
        <v>930</v>
      </c>
      <c r="D420" s="31">
        <v>2122157</v>
      </c>
      <c r="E420" s="30" t="s">
        <v>931</v>
      </c>
      <c r="F420" s="53" t="s">
        <v>27</v>
      </c>
      <c r="G420" s="32">
        <v>44425</v>
      </c>
      <c r="H420" s="33">
        <v>0.47860365165354679</v>
      </c>
      <c r="I420" s="30" t="s">
        <v>277</v>
      </c>
      <c r="J420" s="34">
        <v>274140</v>
      </c>
      <c r="K420" s="35" t="s">
        <v>17</v>
      </c>
      <c r="L420" s="36">
        <v>49345.2</v>
      </c>
      <c r="M420" s="30" t="s">
        <v>32</v>
      </c>
      <c r="N420" s="30" t="s">
        <v>19</v>
      </c>
      <c r="O420" s="30" t="s">
        <v>1542</v>
      </c>
      <c r="P420" s="30" t="s">
        <v>1542</v>
      </c>
      <c r="Q420" s="30" t="str">
        <f t="shared" si="30"/>
        <v>AM</v>
      </c>
      <c r="R420" s="30" t="str">
        <f t="shared" si="31"/>
        <v>DM</v>
      </c>
      <c r="S420" s="30" t="str">
        <f>VLOOKUP(M420,'Data - Employee Rights Master'!$C$3:$D$32,2,0)</f>
        <v>AM</v>
      </c>
      <c r="T420" s="30" t="str">
        <f>VLOOKUP(N420,'Data - Employee Rights Master'!$C$3:$D$32,2,0)</f>
        <v>DM</v>
      </c>
      <c r="U420" s="41" t="str">
        <f t="shared" si="32"/>
        <v>PASS</v>
      </c>
      <c r="V420" s="41" t="str">
        <f t="shared" si="33"/>
        <v>NA</v>
      </c>
      <c r="W420" s="30" t="str">
        <f t="shared" si="34"/>
        <v>2122</v>
      </c>
      <c r="X420" s="30" t="str">
        <f>VLOOKUP(MONTH(G420),Key!$F$3:$G$14,2,0)</f>
        <v>Aug</v>
      </c>
      <c r="Y420" s="30" t="str">
        <f>IFERROR(IF(MATCH(F420,'Test 6'!C$5:C$9,0)&gt;0,"RP"),"NON-RP")</f>
        <v>NON-RP</v>
      </c>
    </row>
    <row r="421" spans="2:25" x14ac:dyDescent="0.5">
      <c r="B421" s="30">
        <v>417</v>
      </c>
      <c r="C421" s="30" t="s">
        <v>932</v>
      </c>
      <c r="D421" s="31">
        <v>2122158</v>
      </c>
      <c r="E421" s="30" t="s">
        <v>933</v>
      </c>
      <c r="F421" s="53" t="s">
        <v>95</v>
      </c>
      <c r="G421" s="32">
        <v>44426</v>
      </c>
      <c r="H421" s="33">
        <v>0.48685268135537069</v>
      </c>
      <c r="I421" s="30" t="s">
        <v>277</v>
      </c>
      <c r="J421" s="34">
        <v>462050</v>
      </c>
      <c r="K421" s="35" t="s">
        <v>17</v>
      </c>
      <c r="L421" s="36">
        <v>83169</v>
      </c>
      <c r="M421" s="30" t="s">
        <v>18</v>
      </c>
      <c r="N421" s="30" t="s">
        <v>68</v>
      </c>
      <c r="O421" s="30" t="s">
        <v>1542</v>
      </c>
      <c r="P421" s="30" t="s">
        <v>1542</v>
      </c>
      <c r="Q421" s="30" t="str">
        <f t="shared" si="30"/>
        <v>AM</v>
      </c>
      <c r="R421" s="30" t="str">
        <f t="shared" si="31"/>
        <v>DM</v>
      </c>
      <c r="S421" s="30" t="str">
        <f>VLOOKUP(M421,'Data - Employee Rights Master'!$C$3:$D$32,2,0)</f>
        <v>AM</v>
      </c>
      <c r="T421" s="30" t="str">
        <f>VLOOKUP(N421,'Data - Employee Rights Master'!$C$3:$D$32,2,0)</f>
        <v>DM</v>
      </c>
      <c r="U421" s="41" t="str">
        <f t="shared" si="32"/>
        <v>PASS</v>
      </c>
      <c r="V421" s="41" t="str">
        <f t="shared" si="33"/>
        <v>NA</v>
      </c>
      <c r="W421" s="30" t="str">
        <f t="shared" si="34"/>
        <v>2122</v>
      </c>
      <c r="X421" s="30" t="str">
        <f>VLOOKUP(MONTH(G421),Key!$F$3:$G$14,2,0)</f>
        <v>Aug</v>
      </c>
      <c r="Y421" s="30" t="str">
        <f>IFERROR(IF(MATCH(F421,'Test 6'!C$5:C$9,0)&gt;0,"RP"),"NON-RP")</f>
        <v>NON-RP</v>
      </c>
    </row>
    <row r="422" spans="2:25" x14ac:dyDescent="0.5">
      <c r="B422" s="30">
        <v>418</v>
      </c>
      <c r="C422" s="30" t="s">
        <v>934</v>
      </c>
      <c r="D422" s="31">
        <v>2122159</v>
      </c>
      <c r="E422" s="30" t="s">
        <v>935</v>
      </c>
      <c r="F422" s="53" t="s">
        <v>60</v>
      </c>
      <c r="G422" s="32">
        <v>44426</v>
      </c>
      <c r="H422" s="33">
        <v>0.68184652530833234</v>
      </c>
      <c r="I422" s="30" t="s">
        <v>277</v>
      </c>
      <c r="J422" s="34">
        <v>297220</v>
      </c>
      <c r="K422" s="35" t="s">
        <v>17</v>
      </c>
      <c r="L422" s="36">
        <v>53499.6</v>
      </c>
      <c r="M422" s="30" t="s">
        <v>18</v>
      </c>
      <c r="N422" s="30" t="s">
        <v>51</v>
      </c>
      <c r="O422" s="30" t="s">
        <v>1542</v>
      </c>
      <c r="P422" s="30" t="s">
        <v>1542</v>
      </c>
      <c r="Q422" s="30" t="str">
        <f t="shared" si="30"/>
        <v>AM</v>
      </c>
      <c r="R422" s="30" t="str">
        <f t="shared" si="31"/>
        <v>DM</v>
      </c>
      <c r="S422" s="30" t="str">
        <f>VLOOKUP(M422,'Data - Employee Rights Master'!$C$3:$D$32,2,0)</f>
        <v>AM</v>
      </c>
      <c r="T422" s="30" t="str">
        <f>VLOOKUP(N422,'Data - Employee Rights Master'!$C$3:$D$32,2,0)</f>
        <v>DM</v>
      </c>
      <c r="U422" s="41" t="str">
        <f t="shared" si="32"/>
        <v>PASS</v>
      </c>
      <c r="V422" s="41" t="str">
        <f t="shared" si="33"/>
        <v>NA</v>
      </c>
      <c r="W422" s="30" t="str">
        <f t="shared" si="34"/>
        <v>2122</v>
      </c>
      <c r="X422" s="30" t="str">
        <f>VLOOKUP(MONTH(G422),Key!$F$3:$G$14,2,0)</f>
        <v>Aug</v>
      </c>
      <c r="Y422" s="30" t="str">
        <f>IFERROR(IF(MATCH(F422,'Test 6'!C$5:C$9,0)&gt;0,"RP"),"NON-RP")</f>
        <v>NON-RP</v>
      </c>
    </row>
    <row r="423" spans="2:25" x14ac:dyDescent="0.5">
      <c r="B423" s="30">
        <v>419</v>
      </c>
      <c r="C423" s="30" t="s">
        <v>936</v>
      </c>
      <c r="D423" s="31">
        <v>2122160</v>
      </c>
      <c r="E423" s="30" t="s">
        <v>937</v>
      </c>
      <c r="F423" s="53" t="s">
        <v>119</v>
      </c>
      <c r="G423" s="32">
        <v>44426</v>
      </c>
      <c r="H423" s="33">
        <v>0.44780351932972323</v>
      </c>
      <c r="I423" s="30" t="s">
        <v>277</v>
      </c>
      <c r="J423" s="34">
        <v>4002900</v>
      </c>
      <c r="K423" s="35" t="s">
        <v>17</v>
      </c>
      <c r="L423" s="36">
        <v>720522</v>
      </c>
      <c r="M423" s="30" t="s">
        <v>701</v>
      </c>
      <c r="N423" s="30" t="s">
        <v>41</v>
      </c>
      <c r="O423" s="30" t="s">
        <v>1542</v>
      </c>
      <c r="P423" s="30" t="s">
        <v>1542</v>
      </c>
      <c r="Q423" s="30" t="str">
        <f t="shared" si="30"/>
        <v>SM</v>
      </c>
      <c r="R423" s="30" t="str">
        <f t="shared" si="31"/>
        <v>CM</v>
      </c>
      <c r="S423" s="30" t="str">
        <f>VLOOKUP(M423,'Data - Employee Rights Master'!$C$3:$D$32,2,0)</f>
        <v>SM</v>
      </c>
      <c r="T423" s="30" t="str">
        <f>VLOOKUP(N423,'Data - Employee Rights Master'!$C$3:$D$32,2,0)</f>
        <v>CM</v>
      </c>
      <c r="U423" s="41" t="str">
        <f t="shared" si="32"/>
        <v>PASS</v>
      </c>
      <c r="V423" s="41" t="str">
        <f t="shared" si="33"/>
        <v>NA</v>
      </c>
      <c r="W423" s="30" t="str">
        <f t="shared" si="34"/>
        <v>2122</v>
      </c>
      <c r="X423" s="30" t="str">
        <f>VLOOKUP(MONTH(G423),Key!$F$3:$G$14,2,0)</f>
        <v>Aug</v>
      </c>
      <c r="Y423" s="30" t="str">
        <f>IFERROR(IF(MATCH(F423,'Test 6'!C$5:C$9,0)&gt;0,"RP"),"NON-RP")</f>
        <v>NON-RP</v>
      </c>
    </row>
    <row r="424" spans="2:25" x14ac:dyDescent="0.5">
      <c r="B424" s="30">
        <v>420</v>
      </c>
      <c r="C424" s="30" t="s">
        <v>938</v>
      </c>
      <c r="D424" s="31">
        <v>2122161</v>
      </c>
      <c r="E424" s="30" t="s">
        <v>939</v>
      </c>
      <c r="F424" s="53" t="s">
        <v>131</v>
      </c>
      <c r="G424" s="32">
        <v>44427</v>
      </c>
      <c r="H424" s="33">
        <v>0.6231367088586639</v>
      </c>
      <c r="I424" s="30" t="s">
        <v>277</v>
      </c>
      <c r="J424" s="34">
        <v>283880</v>
      </c>
      <c r="K424" s="35" t="s">
        <v>17</v>
      </c>
      <c r="L424" s="36">
        <v>51098.400000000001</v>
      </c>
      <c r="M424" s="30" t="s">
        <v>28</v>
      </c>
      <c r="N424" s="30" t="s">
        <v>68</v>
      </c>
      <c r="O424" s="30" t="s">
        <v>1542</v>
      </c>
      <c r="P424" s="30" t="s">
        <v>1542</v>
      </c>
      <c r="Q424" s="30" t="str">
        <f t="shared" si="30"/>
        <v>AM</v>
      </c>
      <c r="R424" s="30" t="str">
        <f t="shared" si="31"/>
        <v>DM</v>
      </c>
      <c r="S424" s="30" t="str">
        <f>VLOOKUP(M424,'Data - Employee Rights Master'!$C$3:$D$32,2,0)</f>
        <v>AM</v>
      </c>
      <c r="T424" s="30" t="str">
        <f>VLOOKUP(N424,'Data - Employee Rights Master'!$C$3:$D$32,2,0)</f>
        <v>DM</v>
      </c>
      <c r="U424" s="41" t="str">
        <f t="shared" si="32"/>
        <v>PASS</v>
      </c>
      <c r="V424" s="41" t="str">
        <f t="shared" si="33"/>
        <v>NA</v>
      </c>
      <c r="W424" s="30" t="str">
        <f t="shared" si="34"/>
        <v>2122</v>
      </c>
      <c r="X424" s="30" t="str">
        <f>VLOOKUP(MONTH(G424),Key!$F$3:$G$14,2,0)</f>
        <v>Aug</v>
      </c>
      <c r="Y424" s="30" t="str">
        <f>IFERROR(IF(MATCH(F424,'Test 6'!C$5:C$9,0)&gt;0,"RP"),"NON-RP")</f>
        <v>NON-RP</v>
      </c>
    </row>
    <row r="425" spans="2:25" x14ac:dyDescent="0.5">
      <c r="B425" s="30">
        <v>421</v>
      </c>
      <c r="C425" s="30" t="s">
        <v>940</v>
      </c>
      <c r="D425" s="31">
        <v>2122162</v>
      </c>
      <c r="E425" s="30" t="s">
        <v>941</v>
      </c>
      <c r="F425" s="53" t="s">
        <v>92</v>
      </c>
      <c r="G425" s="32">
        <v>44428</v>
      </c>
      <c r="H425" s="33">
        <v>0.52274581578076684</v>
      </c>
      <c r="I425" s="30" t="s">
        <v>277</v>
      </c>
      <c r="J425" s="34">
        <v>221870</v>
      </c>
      <c r="K425" s="35" t="s">
        <v>17</v>
      </c>
      <c r="L425" s="36">
        <v>39936.6</v>
      </c>
      <c r="M425" s="30" t="s">
        <v>28</v>
      </c>
      <c r="N425" s="30" t="s">
        <v>51</v>
      </c>
      <c r="O425" s="30" t="s">
        <v>1542</v>
      </c>
      <c r="P425" s="30" t="s">
        <v>1542</v>
      </c>
      <c r="Q425" s="30" t="str">
        <f t="shared" si="30"/>
        <v>AM</v>
      </c>
      <c r="R425" s="30" t="str">
        <f t="shared" si="31"/>
        <v>DM</v>
      </c>
      <c r="S425" s="30" t="str">
        <f>VLOOKUP(M425,'Data - Employee Rights Master'!$C$3:$D$32,2,0)</f>
        <v>AM</v>
      </c>
      <c r="T425" s="30" t="str">
        <f>VLOOKUP(N425,'Data - Employee Rights Master'!$C$3:$D$32,2,0)</f>
        <v>DM</v>
      </c>
      <c r="U425" s="41" t="str">
        <f t="shared" si="32"/>
        <v>PASS</v>
      </c>
      <c r="V425" s="41" t="str">
        <f t="shared" si="33"/>
        <v>NA</v>
      </c>
      <c r="W425" s="30" t="str">
        <f t="shared" si="34"/>
        <v>2122</v>
      </c>
      <c r="X425" s="30" t="str">
        <f>VLOOKUP(MONTH(G425),Key!$F$3:$G$14,2,0)</f>
        <v>Aug</v>
      </c>
      <c r="Y425" s="30" t="str">
        <f>IFERROR(IF(MATCH(F425,'Test 6'!C$5:C$9,0)&gt;0,"RP"),"NON-RP")</f>
        <v>NON-RP</v>
      </c>
    </row>
    <row r="426" spans="2:25" x14ac:dyDescent="0.5">
      <c r="B426" s="30">
        <v>422</v>
      </c>
      <c r="C426" s="30" t="s">
        <v>942</v>
      </c>
      <c r="D426" s="31">
        <v>2122163</v>
      </c>
      <c r="E426" s="30" t="s">
        <v>943</v>
      </c>
      <c r="F426" s="53" t="s">
        <v>378</v>
      </c>
      <c r="G426" s="32">
        <v>44429</v>
      </c>
      <c r="H426" s="33">
        <v>0.82451388888888888</v>
      </c>
      <c r="I426" s="30" t="s">
        <v>277</v>
      </c>
      <c r="J426" s="34">
        <v>4728180</v>
      </c>
      <c r="K426" s="35" t="s">
        <v>17</v>
      </c>
      <c r="L426" s="36">
        <v>851072.4</v>
      </c>
      <c r="M426" s="30" t="s">
        <v>41</v>
      </c>
      <c r="N426" s="30" t="s">
        <v>42</v>
      </c>
      <c r="O426" s="30" t="s">
        <v>1542</v>
      </c>
      <c r="P426" s="30" t="s">
        <v>1542</v>
      </c>
      <c r="Q426" s="30" t="str">
        <f t="shared" si="30"/>
        <v>CM</v>
      </c>
      <c r="R426" s="30" t="str">
        <f t="shared" si="31"/>
        <v>CFO</v>
      </c>
      <c r="S426" s="30" t="str">
        <f>VLOOKUP(M426,'Data - Employee Rights Master'!$C$3:$D$32,2,0)</f>
        <v>CM</v>
      </c>
      <c r="T426" s="30" t="str">
        <f>VLOOKUP(N426,'Data - Employee Rights Master'!$C$3:$D$32,2,0)</f>
        <v>CFO</v>
      </c>
      <c r="U426" s="41" t="str">
        <f t="shared" si="32"/>
        <v>PASS</v>
      </c>
      <c r="V426" s="41" t="str">
        <f t="shared" si="33"/>
        <v>NA</v>
      </c>
      <c r="W426" s="30" t="str">
        <f t="shared" si="34"/>
        <v>2122</v>
      </c>
      <c r="X426" s="30" t="str">
        <f>VLOOKUP(MONTH(G426),Key!$F$3:$G$14,2,0)</f>
        <v>Aug</v>
      </c>
      <c r="Y426" s="30" t="str">
        <f>IFERROR(IF(MATCH(F426,'Test 6'!C$5:C$9,0)&gt;0,"RP"),"NON-RP")</f>
        <v>RP</v>
      </c>
    </row>
    <row r="427" spans="2:25" x14ac:dyDescent="0.5">
      <c r="B427" s="30">
        <v>423</v>
      </c>
      <c r="C427" s="30" t="s">
        <v>944</v>
      </c>
      <c r="D427" s="31">
        <v>2122164</v>
      </c>
      <c r="E427" s="30" t="s">
        <v>945</v>
      </c>
      <c r="F427" s="53" t="s">
        <v>87</v>
      </c>
      <c r="G427" s="32">
        <v>44432</v>
      </c>
      <c r="H427" s="33">
        <v>0.60133392203314895</v>
      </c>
      <c r="I427" s="30" t="s">
        <v>277</v>
      </c>
      <c r="J427" s="34">
        <v>217350</v>
      </c>
      <c r="K427" s="35" t="s">
        <v>17</v>
      </c>
      <c r="L427" s="36">
        <v>39123</v>
      </c>
      <c r="M427" s="30" t="s">
        <v>18</v>
      </c>
      <c r="N427" s="30" t="s">
        <v>68</v>
      </c>
      <c r="O427" s="30" t="s">
        <v>1542</v>
      </c>
      <c r="P427" s="30" t="s">
        <v>1542</v>
      </c>
      <c r="Q427" s="30" t="str">
        <f t="shared" si="30"/>
        <v>AM</v>
      </c>
      <c r="R427" s="30" t="str">
        <f t="shared" si="31"/>
        <v>DM</v>
      </c>
      <c r="S427" s="30" t="str">
        <f>VLOOKUP(M427,'Data - Employee Rights Master'!$C$3:$D$32,2,0)</f>
        <v>AM</v>
      </c>
      <c r="T427" s="30" t="str">
        <f>VLOOKUP(N427,'Data - Employee Rights Master'!$C$3:$D$32,2,0)</f>
        <v>DM</v>
      </c>
      <c r="U427" s="41" t="str">
        <f t="shared" si="32"/>
        <v>PASS</v>
      </c>
      <c r="V427" s="41" t="str">
        <f t="shared" si="33"/>
        <v>NA</v>
      </c>
      <c r="W427" s="30" t="str">
        <f t="shared" si="34"/>
        <v>2122</v>
      </c>
      <c r="X427" s="30" t="str">
        <f>VLOOKUP(MONTH(G427),Key!$F$3:$G$14,2,0)</f>
        <v>Aug</v>
      </c>
      <c r="Y427" s="30" t="str">
        <f>IFERROR(IF(MATCH(F427,'Test 6'!C$5:C$9,0)&gt;0,"RP"),"NON-RP")</f>
        <v>NON-RP</v>
      </c>
    </row>
    <row r="428" spans="2:25" x14ac:dyDescent="0.5">
      <c r="B428" s="30">
        <v>424</v>
      </c>
      <c r="C428" s="30" t="s">
        <v>946</v>
      </c>
      <c r="D428" s="31">
        <v>2122165</v>
      </c>
      <c r="E428" s="30" t="s">
        <v>947</v>
      </c>
      <c r="F428" s="53" t="s">
        <v>229</v>
      </c>
      <c r="G428" s="32">
        <v>44432</v>
      </c>
      <c r="H428" s="33">
        <v>0.60927897547837684</v>
      </c>
      <c r="I428" s="30" t="s">
        <v>277</v>
      </c>
      <c r="J428" s="34">
        <v>377140</v>
      </c>
      <c r="K428" s="35" t="s">
        <v>17</v>
      </c>
      <c r="L428" s="36">
        <v>67885.2</v>
      </c>
      <c r="M428" s="30" t="s">
        <v>28</v>
      </c>
      <c r="N428" s="30" t="s">
        <v>24</v>
      </c>
      <c r="O428" s="30" t="s">
        <v>1542</v>
      </c>
      <c r="P428" s="30" t="s">
        <v>1542</v>
      </c>
      <c r="Q428" s="30" t="str">
        <f t="shared" si="30"/>
        <v>AM</v>
      </c>
      <c r="R428" s="30" t="str">
        <f t="shared" si="31"/>
        <v>DM</v>
      </c>
      <c r="S428" s="30" t="str">
        <f>VLOOKUP(M428,'Data - Employee Rights Master'!$C$3:$D$32,2,0)</f>
        <v>AM</v>
      </c>
      <c r="T428" s="30" t="str">
        <f>VLOOKUP(N428,'Data - Employee Rights Master'!$C$3:$D$32,2,0)</f>
        <v>DM</v>
      </c>
      <c r="U428" s="41" t="str">
        <f t="shared" si="32"/>
        <v>PASS</v>
      </c>
      <c r="V428" s="41" t="str">
        <f t="shared" si="33"/>
        <v>NA</v>
      </c>
      <c r="W428" s="30" t="str">
        <f t="shared" si="34"/>
        <v>2122</v>
      </c>
      <c r="X428" s="30" t="str">
        <f>VLOOKUP(MONTH(G428),Key!$F$3:$G$14,2,0)</f>
        <v>Aug</v>
      </c>
      <c r="Y428" s="30" t="str">
        <f>IFERROR(IF(MATCH(F428,'Test 6'!C$5:C$9,0)&gt;0,"RP"),"NON-RP")</f>
        <v>NON-RP</v>
      </c>
    </row>
    <row r="429" spans="2:25" x14ac:dyDescent="0.5">
      <c r="B429" s="30">
        <v>425</v>
      </c>
      <c r="C429" s="30" t="s">
        <v>948</v>
      </c>
      <c r="D429" s="31">
        <v>2122166</v>
      </c>
      <c r="E429" s="30" t="s">
        <v>949</v>
      </c>
      <c r="F429" s="53" t="s">
        <v>64</v>
      </c>
      <c r="G429" s="32">
        <v>44435</v>
      </c>
      <c r="H429" s="33">
        <v>0.44213976006398814</v>
      </c>
      <c r="I429" s="30" t="s">
        <v>277</v>
      </c>
      <c r="J429" s="34">
        <v>469720</v>
      </c>
      <c r="K429" s="35" t="s">
        <v>17</v>
      </c>
      <c r="L429" s="36">
        <v>84549.599999999991</v>
      </c>
      <c r="M429" s="30" t="s">
        <v>23</v>
      </c>
      <c r="N429" s="30" t="s">
        <v>68</v>
      </c>
      <c r="O429" s="30" t="s">
        <v>1542</v>
      </c>
      <c r="P429" s="30" t="s">
        <v>1542</v>
      </c>
      <c r="Q429" s="30" t="str">
        <f t="shared" si="30"/>
        <v>AM</v>
      </c>
      <c r="R429" s="30" t="str">
        <f t="shared" si="31"/>
        <v>DM</v>
      </c>
      <c r="S429" s="30" t="str">
        <f>VLOOKUP(M429,'Data - Employee Rights Master'!$C$3:$D$32,2,0)</f>
        <v>AM</v>
      </c>
      <c r="T429" s="30" t="str">
        <f>VLOOKUP(N429,'Data - Employee Rights Master'!$C$3:$D$32,2,0)</f>
        <v>DM</v>
      </c>
      <c r="U429" s="41" t="str">
        <f t="shared" si="32"/>
        <v>PASS</v>
      </c>
      <c r="V429" s="41" t="str">
        <f t="shared" si="33"/>
        <v>NA</v>
      </c>
      <c r="W429" s="30" t="str">
        <f t="shared" si="34"/>
        <v>2122</v>
      </c>
      <c r="X429" s="30" t="str">
        <f>VLOOKUP(MONTH(G429),Key!$F$3:$G$14,2,0)</f>
        <v>Aug</v>
      </c>
      <c r="Y429" s="30" t="str">
        <f>IFERROR(IF(MATCH(F429,'Test 6'!C$5:C$9,0)&gt;0,"RP"),"NON-RP")</f>
        <v>NON-RP</v>
      </c>
    </row>
    <row r="430" spans="2:25" x14ac:dyDescent="0.5">
      <c r="B430" s="30">
        <v>426</v>
      </c>
      <c r="C430" s="30" t="s">
        <v>950</v>
      </c>
      <c r="D430" s="31">
        <v>2122167</v>
      </c>
      <c r="E430" s="30" t="s">
        <v>951</v>
      </c>
      <c r="F430" s="53" t="s">
        <v>81</v>
      </c>
      <c r="G430" s="32">
        <v>44436</v>
      </c>
      <c r="H430" s="33">
        <v>0.70009934331636225</v>
      </c>
      <c r="I430" s="30" t="s">
        <v>216</v>
      </c>
      <c r="J430" s="34">
        <v>309030</v>
      </c>
      <c r="K430" s="35" t="s">
        <v>17</v>
      </c>
      <c r="L430" s="36">
        <v>55625.4</v>
      </c>
      <c r="M430" s="30" t="s">
        <v>28</v>
      </c>
      <c r="N430" s="30" t="s">
        <v>24</v>
      </c>
      <c r="O430" s="30" t="s">
        <v>1542</v>
      </c>
      <c r="P430" s="30" t="s">
        <v>1542</v>
      </c>
      <c r="Q430" s="30" t="str">
        <f t="shared" si="30"/>
        <v>AM</v>
      </c>
      <c r="R430" s="30" t="str">
        <f t="shared" si="31"/>
        <v>DM</v>
      </c>
      <c r="S430" s="30" t="str">
        <f>VLOOKUP(M430,'Data - Employee Rights Master'!$C$3:$D$32,2,0)</f>
        <v>AM</v>
      </c>
      <c r="T430" s="30" t="str">
        <f>VLOOKUP(N430,'Data - Employee Rights Master'!$C$3:$D$32,2,0)</f>
        <v>DM</v>
      </c>
      <c r="U430" s="41" t="str">
        <f t="shared" si="32"/>
        <v>PASS</v>
      </c>
      <c r="V430" s="41" t="str">
        <f t="shared" si="33"/>
        <v>NA</v>
      </c>
      <c r="W430" s="30" t="str">
        <f t="shared" si="34"/>
        <v>2122</v>
      </c>
      <c r="X430" s="30" t="str">
        <f>VLOOKUP(MONTH(G430),Key!$F$3:$G$14,2,0)</f>
        <v>Aug</v>
      </c>
      <c r="Y430" s="30" t="str">
        <f>IFERROR(IF(MATCH(F430,'Test 6'!C$5:C$9,0)&gt;0,"RP"),"NON-RP")</f>
        <v>NON-RP</v>
      </c>
    </row>
    <row r="431" spans="2:25" x14ac:dyDescent="0.5">
      <c r="B431" s="30">
        <v>427</v>
      </c>
      <c r="C431" s="30" t="s">
        <v>952</v>
      </c>
      <c r="D431" s="31">
        <v>2122168</v>
      </c>
      <c r="E431" s="30" t="s">
        <v>953</v>
      </c>
      <c r="F431" s="53" t="s">
        <v>72</v>
      </c>
      <c r="G431" s="32">
        <v>44439</v>
      </c>
      <c r="H431" s="33">
        <v>0.56667504148826175</v>
      </c>
      <c r="I431" s="30" t="s">
        <v>277</v>
      </c>
      <c r="J431" s="34">
        <v>495900</v>
      </c>
      <c r="K431" s="35" t="s">
        <v>17</v>
      </c>
      <c r="L431" s="36">
        <v>89262</v>
      </c>
      <c r="M431" s="30" t="s">
        <v>18</v>
      </c>
      <c r="N431" s="30" t="s">
        <v>24</v>
      </c>
      <c r="O431" s="30" t="s">
        <v>1542</v>
      </c>
      <c r="P431" s="30" t="s">
        <v>1542</v>
      </c>
      <c r="Q431" s="30" t="str">
        <f t="shared" si="30"/>
        <v>AM</v>
      </c>
      <c r="R431" s="30" t="str">
        <f t="shared" si="31"/>
        <v>DM</v>
      </c>
      <c r="S431" s="30" t="str">
        <f>VLOOKUP(M431,'Data - Employee Rights Master'!$C$3:$D$32,2,0)</f>
        <v>AM</v>
      </c>
      <c r="T431" s="30" t="str">
        <f>VLOOKUP(N431,'Data - Employee Rights Master'!$C$3:$D$32,2,0)</f>
        <v>DM</v>
      </c>
      <c r="U431" s="41" t="str">
        <f t="shared" si="32"/>
        <v>PASS</v>
      </c>
      <c r="V431" s="41" t="str">
        <f t="shared" si="33"/>
        <v>NA</v>
      </c>
      <c r="W431" s="30" t="str">
        <f t="shared" si="34"/>
        <v>2122</v>
      </c>
      <c r="X431" s="30" t="str">
        <f>VLOOKUP(MONTH(G431),Key!$F$3:$G$14,2,0)</f>
        <v>Aug</v>
      </c>
      <c r="Y431" s="30" t="str">
        <f>IFERROR(IF(MATCH(F431,'Test 6'!C$5:C$9,0)&gt;0,"RP"),"NON-RP")</f>
        <v>NON-RP</v>
      </c>
    </row>
    <row r="432" spans="2:25" x14ac:dyDescent="0.5">
      <c r="B432" s="30">
        <v>428</v>
      </c>
      <c r="C432" s="30" t="s">
        <v>954</v>
      </c>
      <c r="D432" s="31">
        <v>2122169</v>
      </c>
      <c r="E432" s="30" t="s">
        <v>955</v>
      </c>
      <c r="F432" s="53" t="s">
        <v>332</v>
      </c>
      <c r="G432" s="32">
        <v>44439</v>
      </c>
      <c r="H432" s="33">
        <v>0.49184902443972955</v>
      </c>
      <c r="I432" s="30" t="s">
        <v>277</v>
      </c>
      <c r="J432" s="34">
        <v>247110</v>
      </c>
      <c r="K432" s="35" t="s">
        <v>17</v>
      </c>
      <c r="L432" s="36">
        <v>44479.799999999996</v>
      </c>
      <c r="M432" s="30" t="s">
        <v>37</v>
      </c>
      <c r="N432" s="30" t="s">
        <v>51</v>
      </c>
      <c r="O432" s="30" t="s">
        <v>1542</v>
      </c>
      <c r="P432" s="30" t="s">
        <v>1542</v>
      </c>
      <c r="Q432" s="30" t="str">
        <f t="shared" si="30"/>
        <v>AM</v>
      </c>
      <c r="R432" s="30" t="str">
        <f t="shared" si="31"/>
        <v>DM</v>
      </c>
      <c r="S432" s="30" t="str">
        <f>VLOOKUP(M432,'Data - Employee Rights Master'!$C$3:$D$32,2,0)</f>
        <v>AM</v>
      </c>
      <c r="T432" s="30" t="str">
        <f>VLOOKUP(N432,'Data - Employee Rights Master'!$C$3:$D$32,2,0)</f>
        <v>DM</v>
      </c>
      <c r="U432" s="41" t="str">
        <f t="shared" si="32"/>
        <v>PASS</v>
      </c>
      <c r="V432" s="41" t="str">
        <f t="shared" si="33"/>
        <v>NA</v>
      </c>
      <c r="W432" s="30" t="str">
        <f t="shared" si="34"/>
        <v>2122</v>
      </c>
      <c r="X432" s="30" t="str">
        <f>VLOOKUP(MONTH(G432),Key!$F$3:$G$14,2,0)</f>
        <v>Aug</v>
      </c>
      <c r="Y432" s="30" t="str">
        <f>IFERROR(IF(MATCH(F432,'Test 6'!C$5:C$9,0)&gt;0,"RP"),"NON-RP")</f>
        <v>NON-RP</v>
      </c>
    </row>
    <row r="433" spans="2:25" x14ac:dyDescent="0.5">
      <c r="B433" s="30">
        <v>429</v>
      </c>
      <c r="C433" s="30" t="s">
        <v>956</v>
      </c>
      <c r="D433" s="31">
        <v>2122170</v>
      </c>
      <c r="E433" s="30" t="s">
        <v>957</v>
      </c>
      <c r="F433" s="53" t="s">
        <v>15</v>
      </c>
      <c r="G433" s="32">
        <v>44440</v>
      </c>
      <c r="H433" s="33">
        <v>0.57882125107576354</v>
      </c>
      <c r="I433" s="30" t="s">
        <v>321</v>
      </c>
      <c r="J433" s="34">
        <v>448830</v>
      </c>
      <c r="K433" s="35" t="s">
        <v>17</v>
      </c>
      <c r="L433" s="36">
        <v>80789.399999999994</v>
      </c>
      <c r="M433" s="30" t="s">
        <v>18</v>
      </c>
      <c r="N433" s="30" t="s">
        <v>19</v>
      </c>
      <c r="O433" s="30" t="s">
        <v>1542</v>
      </c>
      <c r="P433" s="30" t="s">
        <v>1542</v>
      </c>
      <c r="Q433" s="30" t="str">
        <f t="shared" si="30"/>
        <v>AM</v>
      </c>
      <c r="R433" s="30" t="str">
        <f t="shared" si="31"/>
        <v>DM</v>
      </c>
      <c r="S433" s="30" t="str">
        <f>VLOOKUP(M433,'Data - Employee Rights Master'!$C$3:$D$32,2,0)</f>
        <v>AM</v>
      </c>
      <c r="T433" s="30" t="str">
        <f>VLOOKUP(N433,'Data - Employee Rights Master'!$C$3:$D$32,2,0)</f>
        <v>DM</v>
      </c>
      <c r="U433" s="41" t="str">
        <f t="shared" si="32"/>
        <v>PASS</v>
      </c>
      <c r="V433" s="41" t="str">
        <f t="shared" si="33"/>
        <v>NA</v>
      </c>
      <c r="W433" s="30" t="str">
        <f t="shared" si="34"/>
        <v>2122</v>
      </c>
      <c r="X433" s="30" t="str">
        <f>VLOOKUP(MONTH(G433),Key!$F$3:$G$14,2,0)</f>
        <v>Sep</v>
      </c>
      <c r="Y433" s="30" t="str">
        <f>IFERROR(IF(MATCH(F433,'Test 6'!C$5:C$9,0)&gt;0,"RP"),"NON-RP")</f>
        <v>NON-RP</v>
      </c>
    </row>
    <row r="434" spans="2:25" x14ac:dyDescent="0.5">
      <c r="B434" s="30">
        <v>430</v>
      </c>
      <c r="C434" s="30" t="s">
        <v>958</v>
      </c>
      <c r="D434" s="31">
        <v>2122171</v>
      </c>
      <c r="E434" s="30" t="s">
        <v>959</v>
      </c>
      <c r="F434" s="53" t="s">
        <v>241</v>
      </c>
      <c r="G434" s="32">
        <v>44443</v>
      </c>
      <c r="H434" s="33">
        <v>0.8194907407407408</v>
      </c>
      <c r="I434" s="30" t="s">
        <v>321</v>
      </c>
      <c r="J434" s="34">
        <v>4497060</v>
      </c>
      <c r="K434" s="35" t="s">
        <v>17</v>
      </c>
      <c r="L434" s="36">
        <v>809470.79999999993</v>
      </c>
      <c r="M434" s="30" t="s">
        <v>69</v>
      </c>
      <c r="N434" s="30" t="s">
        <v>41</v>
      </c>
      <c r="O434" s="30" t="s">
        <v>1542</v>
      </c>
      <c r="P434" s="30" t="s">
        <v>1542</v>
      </c>
      <c r="Q434" s="30" t="str">
        <f t="shared" si="30"/>
        <v>SM</v>
      </c>
      <c r="R434" s="30" t="str">
        <f t="shared" si="31"/>
        <v>CM</v>
      </c>
      <c r="S434" s="30" t="str">
        <f>VLOOKUP(M434,'Data - Employee Rights Master'!$C$3:$D$32,2,0)</f>
        <v>SM</v>
      </c>
      <c r="T434" s="30" t="str">
        <f>VLOOKUP(N434,'Data - Employee Rights Master'!$C$3:$D$32,2,0)</f>
        <v>CM</v>
      </c>
      <c r="U434" s="41" t="str">
        <f t="shared" si="32"/>
        <v>PASS</v>
      </c>
      <c r="V434" s="41" t="str">
        <f t="shared" si="33"/>
        <v>NA</v>
      </c>
      <c r="W434" s="30" t="str">
        <f t="shared" si="34"/>
        <v>2122</v>
      </c>
      <c r="X434" s="30" t="str">
        <f>VLOOKUP(MONTH(G434),Key!$F$3:$G$14,2,0)</f>
        <v>Sep</v>
      </c>
      <c r="Y434" s="30" t="str">
        <f>IFERROR(IF(MATCH(F434,'Test 6'!C$5:C$9,0)&gt;0,"RP"),"NON-RP")</f>
        <v>RP</v>
      </c>
    </row>
    <row r="435" spans="2:25" x14ac:dyDescent="0.5">
      <c r="B435" s="30">
        <v>431</v>
      </c>
      <c r="C435" s="30" t="s">
        <v>960</v>
      </c>
      <c r="D435" s="31">
        <v>2122172</v>
      </c>
      <c r="E435" s="30" t="s">
        <v>961</v>
      </c>
      <c r="F435" s="53" t="s">
        <v>262</v>
      </c>
      <c r="G435" s="32">
        <v>44445</v>
      </c>
      <c r="H435" s="33">
        <v>0.44569316784765617</v>
      </c>
      <c r="I435" s="30" t="s">
        <v>321</v>
      </c>
      <c r="J435" s="34">
        <v>377400</v>
      </c>
      <c r="K435" s="35" t="s">
        <v>17</v>
      </c>
      <c r="L435" s="36">
        <v>67932</v>
      </c>
      <c r="M435" s="30" t="s">
        <v>18</v>
      </c>
      <c r="N435" s="30" t="s">
        <v>19</v>
      </c>
      <c r="O435" s="30" t="s">
        <v>1542</v>
      </c>
      <c r="P435" s="30" t="s">
        <v>1542</v>
      </c>
      <c r="Q435" s="30" t="str">
        <f t="shared" si="30"/>
        <v>AM</v>
      </c>
      <c r="R435" s="30" t="str">
        <f t="shared" si="31"/>
        <v>DM</v>
      </c>
      <c r="S435" s="30" t="str">
        <f>VLOOKUP(M435,'Data - Employee Rights Master'!$C$3:$D$32,2,0)</f>
        <v>AM</v>
      </c>
      <c r="T435" s="30" t="str">
        <f>VLOOKUP(N435,'Data - Employee Rights Master'!$C$3:$D$32,2,0)</f>
        <v>DM</v>
      </c>
      <c r="U435" s="41" t="str">
        <f t="shared" si="32"/>
        <v>PASS</v>
      </c>
      <c r="V435" s="41" t="str">
        <f t="shared" si="33"/>
        <v>NA</v>
      </c>
      <c r="W435" s="30" t="str">
        <f t="shared" si="34"/>
        <v>2122</v>
      </c>
      <c r="X435" s="30" t="str">
        <f>VLOOKUP(MONTH(G435),Key!$F$3:$G$14,2,0)</f>
        <v>Sep</v>
      </c>
      <c r="Y435" s="30" t="str">
        <f>IFERROR(IF(MATCH(F435,'Test 6'!C$5:C$9,0)&gt;0,"RP"),"NON-RP")</f>
        <v>NON-RP</v>
      </c>
    </row>
    <row r="436" spans="2:25" x14ac:dyDescent="0.5">
      <c r="B436" s="30">
        <v>432</v>
      </c>
      <c r="C436" s="30" t="s">
        <v>962</v>
      </c>
      <c r="D436" s="31">
        <v>2122173</v>
      </c>
      <c r="E436" s="30" t="s">
        <v>963</v>
      </c>
      <c r="F436" s="53" t="s">
        <v>332</v>
      </c>
      <c r="G436" s="32">
        <v>44448</v>
      </c>
      <c r="H436" s="33">
        <v>0.47449860141224642</v>
      </c>
      <c r="I436" s="30" t="s">
        <v>321</v>
      </c>
      <c r="J436" s="34">
        <v>370800</v>
      </c>
      <c r="K436" s="35" t="s">
        <v>17</v>
      </c>
      <c r="L436" s="36">
        <v>66744</v>
      </c>
      <c r="M436" s="30" t="s">
        <v>23</v>
      </c>
      <c r="N436" s="30" t="s">
        <v>19</v>
      </c>
      <c r="O436" s="30" t="s">
        <v>1542</v>
      </c>
      <c r="P436" s="30" t="s">
        <v>1542</v>
      </c>
      <c r="Q436" s="30" t="str">
        <f t="shared" si="30"/>
        <v>AM</v>
      </c>
      <c r="R436" s="30" t="str">
        <f t="shared" si="31"/>
        <v>DM</v>
      </c>
      <c r="S436" s="30" t="str">
        <f>VLOOKUP(M436,'Data - Employee Rights Master'!$C$3:$D$32,2,0)</f>
        <v>AM</v>
      </c>
      <c r="T436" s="30" t="str">
        <f>VLOOKUP(N436,'Data - Employee Rights Master'!$C$3:$D$32,2,0)</f>
        <v>DM</v>
      </c>
      <c r="U436" s="41" t="str">
        <f t="shared" si="32"/>
        <v>PASS</v>
      </c>
      <c r="V436" s="41" t="str">
        <f t="shared" si="33"/>
        <v>NA</v>
      </c>
      <c r="W436" s="30" t="str">
        <f t="shared" si="34"/>
        <v>2122</v>
      </c>
      <c r="X436" s="30" t="str">
        <f>VLOOKUP(MONTH(G436),Key!$F$3:$G$14,2,0)</f>
        <v>Sep</v>
      </c>
      <c r="Y436" s="30" t="str">
        <f>IFERROR(IF(MATCH(F436,'Test 6'!C$5:C$9,0)&gt;0,"RP"),"NON-RP")</f>
        <v>NON-RP</v>
      </c>
    </row>
    <row r="437" spans="2:25" x14ac:dyDescent="0.5">
      <c r="B437" s="30">
        <v>433</v>
      </c>
      <c r="C437" s="30" t="s">
        <v>964</v>
      </c>
      <c r="D437" s="31">
        <v>2122174</v>
      </c>
      <c r="E437" s="30" t="s">
        <v>965</v>
      </c>
      <c r="F437" s="53" t="s">
        <v>378</v>
      </c>
      <c r="G437" s="32">
        <v>44450</v>
      </c>
      <c r="H437" s="33">
        <v>0.82313657407407403</v>
      </c>
      <c r="I437" s="30" t="s">
        <v>321</v>
      </c>
      <c r="J437" s="34">
        <v>4648620</v>
      </c>
      <c r="K437" s="35" t="s">
        <v>17</v>
      </c>
      <c r="L437" s="36">
        <v>836751.6</v>
      </c>
      <c r="M437" s="30" t="s">
        <v>41</v>
      </c>
      <c r="N437" s="30" t="s">
        <v>42</v>
      </c>
      <c r="O437" s="30" t="s">
        <v>1542</v>
      </c>
      <c r="P437" s="30" t="s">
        <v>1542</v>
      </c>
      <c r="Q437" s="30" t="str">
        <f t="shared" si="30"/>
        <v>CM</v>
      </c>
      <c r="R437" s="30" t="str">
        <f t="shared" si="31"/>
        <v>CFO</v>
      </c>
      <c r="S437" s="30" t="str">
        <f>VLOOKUP(M437,'Data - Employee Rights Master'!$C$3:$D$32,2,0)</f>
        <v>CM</v>
      </c>
      <c r="T437" s="30" t="str">
        <f>VLOOKUP(N437,'Data - Employee Rights Master'!$C$3:$D$32,2,0)</f>
        <v>CFO</v>
      </c>
      <c r="U437" s="41" t="str">
        <f t="shared" si="32"/>
        <v>PASS</v>
      </c>
      <c r="V437" s="41" t="str">
        <f t="shared" si="33"/>
        <v>NA</v>
      </c>
      <c r="W437" s="30" t="str">
        <f t="shared" si="34"/>
        <v>2122</v>
      </c>
      <c r="X437" s="30" t="str">
        <f>VLOOKUP(MONTH(G437),Key!$F$3:$G$14,2,0)</f>
        <v>Sep</v>
      </c>
      <c r="Y437" s="30" t="str">
        <f>IFERROR(IF(MATCH(F437,'Test 6'!C$5:C$9,0)&gt;0,"RP"),"NON-RP")</f>
        <v>RP</v>
      </c>
    </row>
    <row r="438" spans="2:25" x14ac:dyDescent="0.5">
      <c r="B438" s="30">
        <v>434</v>
      </c>
      <c r="C438" s="30" t="s">
        <v>966</v>
      </c>
      <c r="D438" s="31">
        <v>2122175</v>
      </c>
      <c r="E438" s="30" t="s">
        <v>967</v>
      </c>
      <c r="F438" s="53" t="s">
        <v>378</v>
      </c>
      <c r="G438" s="32">
        <v>44457</v>
      </c>
      <c r="H438" s="33">
        <v>0.8291087962962963</v>
      </c>
      <c r="I438" s="30" t="s">
        <v>321</v>
      </c>
      <c r="J438" s="34">
        <v>4232840</v>
      </c>
      <c r="K438" s="35" t="s">
        <v>17</v>
      </c>
      <c r="L438" s="36">
        <v>761911.2</v>
      </c>
      <c r="M438" s="30" t="s">
        <v>69</v>
      </c>
      <c r="N438" s="30" t="s">
        <v>41</v>
      </c>
      <c r="O438" s="30" t="s">
        <v>1542</v>
      </c>
      <c r="P438" s="30" t="s">
        <v>1542</v>
      </c>
      <c r="Q438" s="30" t="str">
        <f t="shared" si="30"/>
        <v>SM</v>
      </c>
      <c r="R438" s="30" t="str">
        <f t="shared" si="31"/>
        <v>CM</v>
      </c>
      <c r="S438" s="30" t="str">
        <f>VLOOKUP(M438,'Data - Employee Rights Master'!$C$3:$D$32,2,0)</f>
        <v>SM</v>
      </c>
      <c r="T438" s="30" t="str">
        <f>VLOOKUP(N438,'Data - Employee Rights Master'!$C$3:$D$32,2,0)</f>
        <v>CM</v>
      </c>
      <c r="U438" s="41" t="str">
        <f t="shared" si="32"/>
        <v>PASS</v>
      </c>
      <c r="V438" s="41" t="str">
        <f t="shared" si="33"/>
        <v>NA</v>
      </c>
      <c r="W438" s="30" t="str">
        <f t="shared" si="34"/>
        <v>2122</v>
      </c>
      <c r="X438" s="30" t="str">
        <f>VLOOKUP(MONTH(G438),Key!$F$3:$G$14,2,0)</f>
        <v>Sep</v>
      </c>
      <c r="Y438" s="30" t="str">
        <f>IFERROR(IF(MATCH(F438,'Test 6'!C$5:C$9,0)&gt;0,"RP"),"NON-RP")</f>
        <v>RP</v>
      </c>
    </row>
    <row r="439" spans="2:25" x14ac:dyDescent="0.5">
      <c r="B439" s="30">
        <v>435</v>
      </c>
      <c r="C439" s="30" t="s">
        <v>968</v>
      </c>
      <c r="D439" s="31">
        <v>2122176</v>
      </c>
      <c r="E439" s="30" t="s">
        <v>969</v>
      </c>
      <c r="F439" s="53" t="s">
        <v>203</v>
      </c>
      <c r="G439" s="32">
        <v>44456</v>
      </c>
      <c r="H439" s="33">
        <v>0.49228982840260249</v>
      </c>
      <c r="I439" s="30" t="s">
        <v>321</v>
      </c>
      <c r="J439" s="34">
        <v>347860</v>
      </c>
      <c r="K439" s="35" t="s">
        <v>17</v>
      </c>
      <c r="L439" s="36">
        <v>62614.799999999996</v>
      </c>
      <c r="M439" s="30" t="s">
        <v>28</v>
      </c>
      <c r="N439" s="30" t="s">
        <v>47</v>
      </c>
      <c r="O439" s="30" t="s">
        <v>1542</v>
      </c>
      <c r="P439" s="30" t="s">
        <v>1542</v>
      </c>
      <c r="Q439" s="30" t="str">
        <f t="shared" si="30"/>
        <v>AM</v>
      </c>
      <c r="R439" s="30" t="str">
        <f t="shared" si="31"/>
        <v>DM</v>
      </c>
      <c r="S439" s="30" t="str">
        <f>VLOOKUP(M439,'Data - Employee Rights Master'!$C$3:$D$32,2,0)</f>
        <v>AM</v>
      </c>
      <c r="T439" s="30" t="str">
        <f>VLOOKUP(N439,'Data - Employee Rights Master'!$C$3:$D$32,2,0)</f>
        <v>DM</v>
      </c>
      <c r="U439" s="41" t="str">
        <f t="shared" si="32"/>
        <v>PASS</v>
      </c>
      <c r="V439" s="41" t="str">
        <f t="shared" si="33"/>
        <v>NA</v>
      </c>
      <c r="W439" s="30" t="str">
        <f t="shared" si="34"/>
        <v>2122</v>
      </c>
      <c r="X439" s="30" t="str">
        <f>VLOOKUP(MONTH(G439),Key!$F$3:$G$14,2,0)</f>
        <v>Sep</v>
      </c>
      <c r="Y439" s="30" t="str">
        <f>IFERROR(IF(MATCH(F439,'Test 6'!C$5:C$9,0)&gt;0,"RP"),"NON-RP")</f>
        <v>NON-RP</v>
      </c>
    </row>
    <row r="440" spans="2:25" x14ac:dyDescent="0.5">
      <c r="B440" s="30">
        <v>436</v>
      </c>
      <c r="C440" s="30" t="s">
        <v>970</v>
      </c>
      <c r="D440" s="31">
        <v>2122177</v>
      </c>
      <c r="E440" s="30" t="s">
        <v>971</v>
      </c>
      <c r="F440" s="53" t="s">
        <v>290</v>
      </c>
      <c r="G440" s="32">
        <v>44457</v>
      </c>
      <c r="H440" s="33">
        <v>0.57750422637736132</v>
      </c>
      <c r="I440" s="30" t="s">
        <v>321</v>
      </c>
      <c r="J440" s="34">
        <v>342020</v>
      </c>
      <c r="K440" s="35" t="s">
        <v>17</v>
      </c>
      <c r="L440" s="36">
        <v>61563.6</v>
      </c>
      <c r="M440" s="30" t="s">
        <v>46</v>
      </c>
      <c r="N440" s="30" t="s">
        <v>51</v>
      </c>
      <c r="O440" s="30" t="s">
        <v>1542</v>
      </c>
      <c r="P440" s="30" t="s">
        <v>1542</v>
      </c>
      <c r="Q440" s="30" t="str">
        <f t="shared" si="30"/>
        <v>AM</v>
      </c>
      <c r="R440" s="30" t="str">
        <f t="shared" si="31"/>
        <v>DM</v>
      </c>
      <c r="S440" s="30" t="str">
        <f>VLOOKUP(M440,'Data - Employee Rights Master'!$C$3:$D$32,2,0)</f>
        <v>AM</v>
      </c>
      <c r="T440" s="30" t="str">
        <f>VLOOKUP(N440,'Data - Employee Rights Master'!$C$3:$D$32,2,0)</f>
        <v>DM</v>
      </c>
      <c r="U440" s="41" t="str">
        <f t="shared" si="32"/>
        <v>PASS</v>
      </c>
      <c r="V440" s="41" t="str">
        <f t="shared" si="33"/>
        <v>NA</v>
      </c>
      <c r="W440" s="30" t="str">
        <f t="shared" si="34"/>
        <v>2122</v>
      </c>
      <c r="X440" s="30" t="str">
        <f>VLOOKUP(MONTH(G440),Key!$F$3:$G$14,2,0)</f>
        <v>Sep</v>
      </c>
      <c r="Y440" s="30" t="str">
        <f>IFERROR(IF(MATCH(F440,'Test 6'!C$5:C$9,0)&gt;0,"RP"),"NON-RP")</f>
        <v>NON-RP</v>
      </c>
    </row>
    <row r="441" spans="2:25" x14ac:dyDescent="0.5">
      <c r="B441" s="30">
        <v>437</v>
      </c>
      <c r="C441" s="30" t="s">
        <v>972</v>
      </c>
      <c r="D441" s="31">
        <v>2122178</v>
      </c>
      <c r="E441" s="30" t="s">
        <v>973</v>
      </c>
      <c r="F441" s="53" t="s">
        <v>22</v>
      </c>
      <c r="G441" s="32">
        <v>44460</v>
      </c>
      <c r="H441" s="33">
        <v>0.74580333829384582</v>
      </c>
      <c r="I441" s="30" t="s">
        <v>321</v>
      </c>
      <c r="J441" s="34">
        <v>460310</v>
      </c>
      <c r="K441" s="35" t="s">
        <v>17</v>
      </c>
      <c r="L441" s="36">
        <v>82855.8</v>
      </c>
      <c r="M441" s="30" t="s">
        <v>23</v>
      </c>
      <c r="N441" s="30" t="s">
        <v>47</v>
      </c>
      <c r="O441" s="30" t="s">
        <v>1542</v>
      </c>
      <c r="P441" s="30" t="s">
        <v>1542</v>
      </c>
      <c r="Q441" s="30" t="str">
        <f t="shared" si="30"/>
        <v>AM</v>
      </c>
      <c r="R441" s="30" t="str">
        <f t="shared" si="31"/>
        <v>DM</v>
      </c>
      <c r="S441" s="30" t="str">
        <f>VLOOKUP(M441,'Data - Employee Rights Master'!$C$3:$D$32,2,0)</f>
        <v>AM</v>
      </c>
      <c r="T441" s="30" t="str">
        <f>VLOOKUP(N441,'Data - Employee Rights Master'!$C$3:$D$32,2,0)</f>
        <v>DM</v>
      </c>
      <c r="U441" s="41" t="str">
        <f t="shared" si="32"/>
        <v>PASS</v>
      </c>
      <c r="V441" s="41" t="str">
        <f t="shared" si="33"/>
        <v>NA</v>
      </c>
      <c r="W441" s="30" t="str">
        <f t="shared" si="34"/>
        <v>2122</v>
      </c>
      <c r="X441" s="30" t="str">
        <f>VLOOKUP(MONTH(G441),Key!$F$3:$G$14,2,0)</f>
        <v>Sep</v>
      </c>
      <c r="Y441" s="30" t="str">
        <f>IFERROR(IF(MATCH(F441,'Test 6'!C$5:C$9,0)&gt;0,"RP"),"NON-RP")</f>
        <v>NON-RP</v>
      </c>
    </row>
    <row r="442" spans="2:25" x14ac:dyDescent="0.5">
      <c r="B442" s="30">
        <v>438</v>
      </c>
      <c r="C442" s="30" t="s">
        <v>974</v>
      </c>
      <c r="D442" s="31">
        <v>2122179</v>
      </c>
      <c r="E442" s="30" t="s">
        <v>975</v>
      </c>
      <c r="F442" s="53" t="s">
        <v>175</v>
      </c>
      <c r="G442" s="32">
        <v>44461</v>
      </c>
      <c r="H442" s="33">
        <v>0.43908154175729242</v>
      </c>
      <c r="I442" s="30" t="s">
        <v>321</v>
      </c>
      <c r="J442" s="34">
        <v>270810</v>
      </c>
      <c r="K442" s="35" t="s">
        <v>17</v>
      </c>
      <c r="L442" s="36">
        <v>48745.799999999996</v>
      </c>
      <c r="M442" s="30" t="s">
        <v>23</v>
      </c>
      <c r="N442" s="30" t="s">
        <v>24</v>
      </c>
      <c r="O442" s="30" t="s">
        <v>1542</v>
      </c>
      <c r="P442" s="30" t="s">
        <v>1542</v>
      </c>
      <c r="Q442" s="30" t="str">
        <f t="shared" si="30"/>
        <v>AM</v>
      </c>
      <c r="R442" s="30" t="str">
        <f t="shared" si="31"/>
        <v>DM</v>
      </c>
      <c r="S442" s="30" t="str">
        <f>VLOOKUP(M442,'Data - Employee Rights Master'!$C$3:$D$32,2,0)</f>
        <v>AM</v>
      </c>
      <c r="T442" s="30" t="str">
        <f>VLOOKUP(N442,'Data - Employee Rights Master'!$C$3:$D$32,2,0)</f>
        <v>DM</v>
      </c>
      <c r="U442" s="41" t="str">
        <f t="shared" si="32"/>
        <v>PASS</v>
      </c>
      <c r="V442" s="41" t="str">
        <f t="shared" si="33"/>
        <v>NA</v>
      </c>
      <c r="W442" s="30" t="str">
        <f t="shared" si="34"/>
        <v>2122</v>
      </c>
      <c r="X442" s="30" t="str">
        <f>VLOOKUP(MONTH(G442),Key!$F$3:$G$14,2,0)</f>
        <v>Sep</v>
      </c>
      <c r="Y442" s="30" t="str">
        <f>IFERROR(IF(MATCH(F442,'Test 6'!C$5:C$9,0)&gt;0,"RP"),"NON-RP")</f>
        <v>NON-RP</v>
      </c>
    </row>
    <row r="443" spans="2:25" x14ac:dyDescent="0.5">
      <c r="B443" s="30">
        <v>439</v>
      </c>
      <c r="C443" s="30" t="s">
        <v>976</v>
      </c>
      <c r="D443" s="31">
        <v>2122180</v>
      </c>
      <c r="E443" s="30" t="s">
        <v>977</v>
      </c>
      <c r="F443" s="53" t="s">
        <v>77</v>
      </c>
      <c r="G443" s="32">
        <v>44463</v>
      </c>
      <c r="H443" s="33">
        <v>0.54375999469692748</v>
      </c>
      <c r="I443" s="30" t="s">
        <v>321</v>
      </c>
      <c r="J443" s="34">
        <v>386860</v>
      </c>
      <c r="K443" s="35" t="s">
        <v>17</v>
      </c>
      <c r="L443" s="36">
        <v>69634.8</v>
      </c>
      <c r="M443" s="30" t="s">
        <v>23</v>
      </c>
      <c r="N443" s="30" t="s">
        <v>24</v>
      </c>
      <c r="O443" s="30" t="s">
        <v>1542</v>
      </c>
      <c r="P443" s="30" t="s">
        <v>1542</v>
      </c>
      <c r="Q443" s="30" t="str">
        <f t="shared" si="30"/>
        <v>AM</v>
      </c>
      <c r="R443" s="30" t="str">
        <f t="shared" si="31"/>
        <v>DM</v>
      </c>
      <c r="S443" s="30" t="str">
        <f>VLOOKUP(M443,'Data - Employee Rights Master'!$C$3:$D$32,2,0)</f>
        <v>AM</v>
      </c>
      <c r="T443" s="30" t="str">
        <f>VLOOKUP(N443,'Data - Employee Rights Master'!$C$3:$D$32,2,0)</f>
        <v>DM</v>
      </c>
      <c r="U443" s="41" t="str">
        <f t="shared" si="32"/>
        <v>PASS</v>
      </c>
      <c r="V443" s="41" t="str">
        <f t="shared" si="33"/>
        <v>NA</v>
      </c>
      <c r="W443" s="30" t="str">
        <f t="shared" si="34"/>
        <v>2122</v>
      </c>
      <c r="X443" s="30" t="str">
        <f>VLOOKUP(MONTH(G443),Key!$F$3:$G$14,2,0)</f>
        <v>Sep</v>
      </c>
      <c r="Y443" s="30" t="str">
        <f>IFERROR(IF(MATCH(F443,'Test 6'!C$5:C$9,0)&gt;0,"RP"),"NON-RP")</f>
        <v>NON-RP</v>
      </c>
    </row>
    <row r="444" spans="2:25" x14ac:dyDescent="0.5">
      <c r="B444" s="30">
        <v>440</v>
      </c>
      <c r="C444" s="30" t="s">
        <v>978</v>
      </c>
      <c r="D444" s="31">
        <v>2122181</v>
      </c>
      <c r="E444" s="30" t="s">
        <v>979</v>
      </c>
      <c r="F444" s="53" t="s">
        <v>187</v>
      </c>
      <c r="G444" s="32">
        <v>44467</v>
      </c>
      <c r="H444" s="33">
        <v>0.62736324622560713</v>
      </c>
      <c r="I444" s="30" t="s">
        <v>321</v>
      </c>
      <c r="J444" s="34">
        <v>263750</v>
      </c>
      <c r="K444" s="35" t="s">
        <v>17</v>
      </c>
      <c r="L444" s="36">
        <v>47475</v>
      </c>
      <c r="M444" s="30" t="s">
        <v>32</v>
      </c>
      <c r="N444" s="30" t="s">
        <v>24</v>
      </c>
      <c r="O444" s="30" t="s">
        <v>1542</v>
      </c>
      <c r="P444" s="30" t="s">
        <v>1542</v>
      </c>
      <c r="Q444" s="30" t="str">
        <f t="shared" si="30"/>
        <v>AM</v>
      </c>
      <c r="R444" s="30" t="str">
        <f t="shared" si="31"/>
        <v>DM</v>
      </c>
      <c r="S444" s="30" t="str">
        <f>VLOOKUP(M444,'Data - Employee Rights Master'!$C$3:$D$32,2,0)</f>
        <v>AM</v>
      </c>
      <c r="T444" s="30" t="str">
        <f>VLOOKUP(N444,'Data - Employee Rights Master'!$C$3:$D$32,2,0)</f>
        <v>DM</v>
      </c>
      <c r="U444" s="41" t="str">
        <f t="shared" si="32"/>
        <v>PASS</v>
      </c>
      <c r="V444" s="41" t="str">
        <f t="shared" si="33"/>
        <v>NA</v>
      </c>
      <c r="W444" s="30" t="str">
        <f t="shared" si="34"/>
        <v>2122</v>
      </c>
      <c r="X444" s="30" t="str">
        <f>VLOOKUP(MONTH(G444),Key!$F$3:$G$14,2,0)</f>
        <v>Sep</v>
      </c>
      <c r="Y444" s="30" t="str">
        <f>IFERROR(IF(MATCH(F444,'Test 6'!C$5:C$9,0)&gt;0,"RP"),"NON-RP")</f>
        <v>NON-RP</v>
      </c>
    </row>
    <row r="445" spans="2:25" x14ac:dyDescent="0.5">
      <c r="B445" s="30">
        <v>441</v>
      </c>
      <c r="C445" s="30" t="s">
        <v>980</v>
      </c>
      <c r="D445" s="31">
        <v>2122182</v>
      </c>
      <c r="E445" s="30" t="s">
        <v>981</v>
      </c>
      <c r="F445" s="53" t="s">
        <v>119</v>
      </c>
      <c r="G445" s="32">
        <v>44467</v>
      </c>
      <c r="H445" s="33">
        <v>0.67424819039487449</v>
      </c>
      <c r="I445" s="30" t="s">
        <v>321</v>
      </c>
      <c r="J445" s="34">
        <v>319680</v>
      </c>
      <c r="K445" s="35" t="s">
        <v>17</v>
      </c>
      <c r="L445" s="36">
        <v>57542.400000000001</v>
      </c>
      <c r="M445" s="30" t="s">
        <v>28</v>
      </c>
      <c r="N445" s="30" t="s">
        <v>19</v>
      </c>
      <c r="O445" s="30" t="s">
        <v>1542</v>
      </c>
      <c r="P445" s="30" t="s">
        <v>1542</v>
      </c>
      <c r="Q445" s="30" t="str">
        <f t="shared" si="30"/>
        <v>AM</v>
      </c>
      <c r="R445" s="30" t="str">
        <f t="shared" si="31"/>
        <v>DM</v>
      </c>
      <c r="S445" s="30" t="str">
        <f>VLOOKUP(M445,'Data - Employee Rights Master'!$C$3:$D$32,2,0)</f>
        <v>AM</v>
      </c>
      <c r="T445" s="30" t="str">
        <f>VLOOKUP(N445,'Data - Employee Rights Master'!$C$3:$D$32,2,0)</f>
        <v>DM</v>
      </c>
      <c r="U445" s="41" t="str">
        <f t="shared" si="32"/>
        <v>PASS</v>
      </c>
      <c r="V445" s="41" t="str">
        <f t="shared" si="33"/>
        <v>NA</v>
      </c>
      <c r="W445" s="30" t="str">
        <f t="shared" si="34"/>
        <v>2122</v>
      </c>
      <c r="X445" s="30" t="str">
        <f>VLOOKUP(MONTH(G445),Key!$F$3:$G$14,2,0)</f>
        <v>Sep</v>
      </c>
      <c r="Y445" s="30" t="str">
        <f>IFERROR(IF(MATCH(F445,'Test 6'!C$5:C$9,0)&gt;0,"RP"),"NON-RP")</f>
        <v>NON-RP</v>
      </c>
    </row>
    <row r="446" spans="2:25" x14ac:dyDescent="0.5">
      <c r="B446" s="30">
        <v>442</v>
      </c>
      <c r="C446" s="30" t="s">
        <v>982</v>
      </c>
      <c r="D446" s="31">
        <v>2122183</v>
      </c>
      <c r="E446" s="30" t="s">
        <v>983</v>
      </c>
      <c r="F446" s="53" t="s">
        <v>608</v>
      </c>
      <c r="G446" s="32">
        <v>44471</v>
      </c>
      <c r="H446" s="33">
        <v>0.73384555206602342</v>
      </c>
      <c r="I446" s="30" t="s">
        <v>383</v>
      </c>
      <c r="J446" s="34">
        <v>471860</v>
      </c>
      <c r="K446" s="35" t="s">
        <v>17</v>
      </c>
      <c r="L446" s="36">
        <v>84934.8</v>
      </c>
      <c r="M446" s="30" t="s">
        <v>61</v>
      </c>
      <c r="N446" s="30" t="s">
        <v>24</v>
      </c>
      <c r="O446" s="30" t="s">
        <v>1542</v>
      </c>
      <c r="P446" s="30" t="s">
        <v>1542</v>
      </c>
      <c r="Q446" s="30" t="str">
        <f t="shared" si="30"/>
        <v>AM</v>
      </c>
      <c r="R446" s="30" t="str">
        <f t="shared" si="31"/>
        <v>DM</v>
      </c>
      <c r="S446" s="30" t="str">
        <f>VLOOKUP(M446,'Data - Employee Rights Master'!$C$3:$D$32,2,0)</f>
        <v>AM</v>
      </c>
      <c r="T446" s="30" t="str">
        <f>VLOOKUP(N446,'Data - Employee Rights Master'!$C$3:$D$32,2,0)</f>
        <v>DM</v>
      </c>
      <c r="U446" s="41" t="str">
        <f t="shared" si="32"/>
        <v>PASS</v>
      </c>
      <c r="V446" s="41" t="str">
        <f t="shared" si="33"/>
        <v>NA</v>
      </c>
      <c r="W446" s="30" t="str">
        <f t="shared" si="34"/>
        <v>2122</v>
      </c>
      <c r="X446" s="30" t="str">
        <f>VLOOKUP(MONTH(G446),Key!$F$3:$G$14,2,0)</f>
        <v>Oct</v>
      </c>
      <c r="Y446" s="30" t="str">
        <f>IFERROR(IF(MATCH(F446,'Test 6'!C$5:C$9,0)&gt;0,"RP"),"NON-RP")</f>
        <v>NON-RP</v>
      </c>
    </row>
    <row r="447" spans="2:25" x14ac:dyDescent="0.5">
      <c r="B447" s="30">
        <v>443</v>
      </c>
      <c r="C447" s="30" t="s">
        <v>984</v>
      </c>
      <c r="D447" s="31">
        <v>2122184</v>
      </c>
      <c r="E447" s="30" t="s">
        <v>985</v>
      </c>
      <c r="F447" s="53" t="s">
        <v>131</v>
      </c>
      <c r="G447" s="32">
        <v>44474</v>
      </c>
      <c r="H447" s="33">
        <v>0.70833082177084294</v>
      </c>
      <c r="I447" s="30" t="s">
        <v>383</v>
      </c>
      <c r="J447" s="34">
        <v>290660</v>
      </c>
      <c r="K447" s="35" t="s">
        <v>17</v>
      </c>
      <c r="L447" s="36">
        <v>52318.799999999996</v>
      </c>
      <c r="M447" s="30" t="s">
        <v>23</v>
      </c>
      <c r="N447" s="30" t="s">
        <v>68</v>
      </c>
      <c r="O447" s="30" t="s">
        <v>1542</v>
      </c>
      <c r="P447" s="30" t="s">
        <v>1542</v>
      </c>
      <c r="Q447" s="30" t="str">
        <f t="shared" si="30"/>
        <v>AM</v>
      </c>
      <c r="R447" s="30" t="str">
        <f t="shared" si="31"/>
        <v>DM</v>
      </c>
      <c r="S447" s="30" t="str">
        <f>VLOOKUP(M447,'Data - Employee Rights Master'!$C$3:$D$32,2,0)</f>
        <v>AM</v>
      </c>
      <c r="T447" s="30" t="str">
        <f>VLOOKUP(N447,'Data - Employee Rights Master'!$C$3:$D$32,2,0)</f>
        <v>DM</v>
      </c>
      <c r="U447" s="41" t="str">
        <f t="shared" si="32"/>
        <v>PASS</v>
      </c>
      <c r="V447" s="41" t="str">
        <f t="shared" si="33"/>
        <v>NA</v>
      </c>
      <c r="W447" s="30" t="str">
        <f t="shared" si="34"/>
        <v>2122</v>
      </c>
      <c r="X447" s="30" t="str">
        <f>VLOOKUP(MONTH(G447),Key!$F$3:$G$14,2,0)</f>
        <v>Oct</v>
      </c>
      <c r="Y447" s="30" t="str">
        <f>IFERROR(IF(MATCH(F447,'Test 6'!C$5:C$9,0)&gt;0,"RP"),"NON-RP")</f>
        <v>NON-RP</v>
      </c>
    </row>
    <row r="448" spans="2:25" x14ac:dyDescent="0.5">
      <c r="B448" s="30">
        <v>444</v>
      </c>
      <c r="C448" s="30" t="s">
        <v>986</v>
      </c>
      <c r="D448" s="31">
        <v>2122185</v>
      </c>
      <c r="E448" s="30" t="s">
        <v>987</v>
      </c>
      <c r="F448" s="53" t="s">
        <v>95</v>
      </c>
      <c r="G448" s="32">
        <v>44474</v>
      </c>
      <c r="H448" s="33">
        <v>0.54511619586077964</v>
      </c>
      <c r="I448" s="30" t="s">
        <v>383</v>
      </c>
      <c r="J448" s="34">
        <v>300150</v>
      </c>
      <c r="K448" s="35" t="s">
        <v>17</v>
      </c>
      <c r="L448" s="36">
        <v>54027</v>
      </c>
      <c r="M448" s="30" t="s">
        <v>61</v>
      </c>
      <c r="N448" s="30" t="s">
        <v>51</v>
      </c>
      <c r="O448" s="30" t="s">
        <v>1542</v>
      </c>
      <c r="P448" s="30" t="s">
        <v>1542</v>
      </c>
      <c r="Q448" s="30" t="str">
        <f t="shared" si="30"/>
        <v>AM</v>
      </c>
      <c r="R448" s="30" t="str">
        <f t="shared" si="31"/>
        <v>DM</v>
      </c>
      <c r="S448" s="30" t="str">
        <f>VLOOKUP(M448,'Data - Employee Rights Master'!$C$3:$D$32,2,0)</f>
        <v>AM</v>
      </c>
      <c r="T448" s="30" t="str">
        <f>VLOOKUP(N448,'Data - Employee Rights Master'!$C$3:$D$32,2,0)</f>
        <v>DM</v>
      </c>
      <c r="U448" s="41" t="str">
        <f t="shared" si="32"/>
        <v>PASS</v>
      </c>
      <c r="V448" s="41" t="str">
        <f t="shared" si="33"/>
        <v>NA</v>
      </c>
      <c r="W448" s="30" t="str">
        <f t="shared" si="34"/>
        <v>2122</v>
      </c>
      <c r="X448" s="30" t="str">
        <f>VLOOKUP(MONTH(G448),Key!$F$3:$G$14,2,0)</f>
        <v>Oct</v>
      </c>
      <c r="Y448" s="30" t="str">
        <f>IFERROR(IF(MATCH(F448,'Test 6'!C$5:C$9,0)&gt;0,"RP"),"NON-RP")</f>
        <v>NON-RP</v>
      </c>
    </row>
    <row r="449" spans="2:25" x14ac:dyDescent="0.5">
      <c r="B449" s="30">
        <v>445</v>
      </c>
      <c r="C449" s="30" t="s">
        <v>988</v>
      </c>
      <c r="D449" s="31">
        <v>2122186</v>
      </c>
      <c r="E449" s="30" t="s">
        <v>989</v>
      </c>
      <c r="F449" s="53" t="s">
        <v>87</v>
      </c>
      <c r="G449" s="32">
        <v>44477</v>
      </c>
      <c r="H449" s="33">
        <v>0.45140524367233648</v>
      </c>
      <c r="I449" s="30" t="s">
        <v>383</v>
      </c>
      <c r="J449" s="34">
        <v>236150</v>
      </c>
      <c r="K449" s="35" t="s">
        <v>17</v>
      </c>
      <c r="L449" s="36">
        <v>42507</v>
      </c>
      <c r="M449" s="30" t="s">
        <v>46</v>
      </c>
      <c r="N449" s="30" t="s">
        <v>68</v>
      </c>
      <c r="O449" s="30" t="s">
        <v>1542</v>
      </c>
      <c r="P449" s="30" t="s">
        <v>1542</v>
      </c>
      <c r="Q449" s="30" t="str">
        <f t="shared" si="30"/>
        <v>AM</v>
      </c>
      <c r="R449" s="30" t="str">
        <f t="shared" si="31"/>
        <v>DM</v>
      </c>
      <c r="S449" s="30" t="str">
        <f>VLOOKUP(M449,'Data - Employee Rights Master'!$C$3:$D$32,2,0)</f>
        <v>AM</v>
      </c>
      <c r="T449" s="30" t="str">
        <f>VLOOKUP(N449,'Data - Employee Rights Master'!$C$3:$D$32,2,0)</f>
        <v>DM</v>
      </c>
      <c r="U449" s="41" t="str">
        <f t="shared" si="32"/>
        <v>PASS</v>
      </c>
      <c r="V449" s="41" t="str">
        <f t="shared" si="33"/>
        <v>NA</v>
      </c>
      <c r="W449" s="30" t="str">
        <f t="shared" si="34"/>
        <v>2122</v>
      </c>
      <c r="X449" s="30" t="str">
        <f>VLOOKUP(MONTH(G449),Key!$F$3:$G$14,2,0)</f>
        <v>Oct</v>
      </c>
      <c r="Y449" s="30" t="str">
        <f>IFERROR(IF(MATCH(F449,'Test 6'!C$5:C$9,0)&gt;0,"RP"),"NON-RP")</f>
        <v>NON-RP</v>
      </c>
    </row>
    <row r="450" spans="2:25" x14ac:dyDescent="0.5">
      <c r="B450" s="30">
        <v>446</v>
      </c>
      <c r="C450" s="30" t="s">
        <v>1310</v>
      </c>
      <c r="D450" s="31">
        <v>2122187</v>
      </c>
      <c r="E450" s="30" t="s">
        <v>990</v>
      </c>
      <c r="F450" s="53" t="s">
        <v>15</v>
      </c>
      <c r="G450" s="32">
        <v>44478</v>
      </c>
      <c r="H450" s="33">
        <v>0.4657762261286672</v>
      </c>
      <c r="I450" s="30" t="s">
        <v>383</v>
      </c>
      <c r="J450" s="34">
        <v>484220</v>
      </c>
      <c r="K450" s="35" t="s">
        <v>17</v>
      </c>
      <c r="L450" s="36">
        <v>87159.599999999991</v>
      </c>
      <c r="M450" s="30" t="s">
        <v>23</v>
      </c>
      <c r="N450" s="30" t="s">
        <v>51</v>
      </c>
      <c r="O450" s="30" t="s">
        <v>1542</v>
      </c>
      <c r="P450" s="30" t="s">
        <v>1542</v>
      </c>
      <c r="Q450" s="30" t="str">
        <f t="shared" si="30"/>
        <v>AM</v>
      </c>
      <c r="R450" s="30" t="str">
        <f t="shared" si="31"/>
        <v>DM</v>
      </c>
      <c r="S450" s="30" t="str">
        <f>VLOOKUP(M450,'Data - Employee Rights Master'!$C$3:$D$32,2,0)</f>
        <v>AM</v>
      </c>
      <c r="T450" s="30" t="str">
        <f>VLOOKUP(N450,'Data - Employee Rights Master'!$C$3:$D$32,2,0)</f>
        <v>DM</v>
      </c>
      <c r="U450" s="41" t="str">
        <f t="shared" si="32"/>
        <v>PASS</v>
      </c>
      <c r="V450" s="41" t="str">
        <f t="shared" si="33"/>
        <v>NA</v>
      </c>
      <c r="W450" s="30" t="str">
        <f t="shared" si="34"/>
        <v>2122</v>
      </c>
      <c r="X450" s="30" t="str">
        <f>VLOOKUP(MONTH(G450),Key!$F$3:$G$14,2,0)</f>
        <v>Oct</v>
      </c>
      <c r="Y450" s="30" t="str">
        <f>IFERROR(IF(MATCH(F450,'Test 6'!C$5:C$9,0)&gt;0,"RP"),"NON-RP")</f>
        <v>NON-RP</v>
      </c>
    </row>
    <row r="451" spans="2:25" x14ac:dyDescent="0.5">
      <c r="B451" s="30">
        <v>447</v>
      </c>
      <c r="C451" s="30" t="s">
        <v>991</v>
      </c>
      <c r="D451" s="31">
        <v>2122188</v>
      </c>
      <c r="E451" s="30" t="s">
        <v>992</v>
      </c>
      <c r="F451" s="53" t="s">
        <v>269</v>
      </c>
      <c r="G451" s="32">
        <v>44480</v>
      </c>
      <c r="H451" s="33">
        <v>0.70523649615550732</v>
      </c>
      <c r="I451" s="30" t="s">
        <v>383</v>
      </c>
      <c r="J451" s="34">
        <v>255870</v>
      </c>
      <c r="K451" s="35" t="s">
        <v>17</v>
      </c>
      <c r="L451" s="36">
        <v>46056.6</v>
      </c>
      <c r="M451" s="30" t="s">
        <v>37</v>
      </c>
      <c r="N451" s="30" t="s">
        <v>47</v>
      </c>
      <c r="O451" s="30" t="s">
        <v>1542</v>
      </c>
      <c r="P451" s="30" t="s">
        <v>1542</v>
      </c>
      <c r="Q451" s="30" t="str">
        <f t="shared" si="30"/>
        <v>AM</v>
      </c>
      <c r="R451" s="30" t="str">
        <f t="shared" si="31"/>
        <v>DM</v>
      </c>
      <c r="S451" s="30" t="str">
        <f>VLOOKUP(M451,'Data - Employee Rights Master'!$C$3:$D$32,2,0)</f>
        <v>AM</v>
      </c>
      <c r="T451" s="30" t="str">
        <f>VLOOKUP(N451,'Data - Employee Rights Master'!$C$3:$D$32,2,0)</f>
        <v>DM</v>
      </c>
      <c r="U451" s="41" t="str">
        <f t="shared" si="32"/>
        <v>PASS</v>
      </c>
      <c r="V451" s="41" t="str">
        <f t="shared" si="33"/>
        <v>NA</v>
      </c>
      <c r="W451" s="30" t="str">
        <f t="shared" si="34"/>
        <v>2122</v>
      </c>
      <c r="X451" s="30" t="str">
        <f>VLOOKUP(MONTH(G451),Key!$F$3:$G$14,2,0)</f>
        <v>Oct</v>
      </c>
      <c r="Y451" s="30" t="str">
        <f>IFERROR(IF(MATCH(F451,'Test 6'!C$5:C$9,0)&gt;0,"RP"),"NON-RP")</f>
        <v>NON-RP</v>
      </c>
    </row>
    <row r="452" spans="2:25" x14ac:dyDescent="0.5">
      <c r="B452" s="30">
        <v>448</v>
      </c>
      <c r="C452" s="30" t="s">
        <v>993</v>
      </c>
      <c r="D452" s="31">
        <v>2122189</v>
      </c>
      <c r="E452" s="30" t="s">
        <v>994</v>
      </c>
      <c r="F452" s="53" t="s">
        <v>64</v>
      </c>
      <c r="G452" s="32">
        <v>44480</v>
      </c>
      <c r="H452" s="33">
        <v>0.42930478567189878</v>
      </c>
      <c r="I452" s="30" t="s">
        <v>321</v>
      </c>
      <c r="J452" s="34">
        <v>347200</v>
      </c>
      <c r="K452" s="35" t="s">
        <v>17</v>
      </c>
      <c r="L452" s="36">
        <v>62496</v>
      </c>
      <c r="M452" s="30" t="s">
        <v>18</v>
      </c>
      <c r="N452" s="30" t="s">
        <v>51</v>
      </c>
      <c r="O452" s="30" t="s">
        <v>1542</v>
      </c>
      <c r="P452" s="30" t="s">
        <v>1542</v>
      </c>
      <c r="Q452" s="30" t="str">
        <f t="shared" si="30"/>
        <v>AM</v>
      </c>
      <c r="R452" s="30" t="str">
        <f t="shared" si="31"/>
        <v>DM</v>
      </c>
      <c r="S452" s="30" t="str">
        <f>VLOOKUP(M452,'Data - Employee Rights Master'!$C$3:$D$32,2,0)</f>
        <v>AM</v>
      </c>
      <c r="T452" s="30" t="str">
        <f>VLOOKUP(N452,'Data - Employee Rights Master'!$C$3:$D$32,2,0)</f>
        <v>DM</v>
      </c>
      <c r="U452" s="41" t="str">
        <f t="shared" si="32"/>
        <v>PASS</v>
      </c>
      <c r="V452" s="41" t="str">
        <f t="shared" si="33"/>
        <v>NA</v>
      </c>
      <c r="W452" s="30" t="str">
        <f t="shared" si="34"/>
        <v>2122</v>
      </c>
      <c r="X452" s="30" t="str">
        <f>VLOOKUP(MONTH(G452),Key!$F$3:$G$14,2,0)</f>
        <v>Oct</v>
      </c>
      <c r="Y452" s="30" t="str">
        <f>IFERROR(IF(MATCH(F452,'Test 6'!C$5:C$9,0)&gt;0,"RP"),"NON-RP")</f>
        <v>NON-RP</v>
      </c>
    </row>
    <row r="453" spans="2:25" x14ac:dyDescent="0.5">
      <c r="B453" s="30">
        <v>449</v>
      </c>
      <c r="C453" s="30" t="s">
        <v>995</v>
      </c>
      <c r="D453" s="31">
        <v>2122190</v>
      </c>
      <c r="E453" s="30" t="s">
        <v>996</v>
      </c>
      <c r="F453" s="53" t="s">
        <v>332</v>
      </c>
      <c r="G453" s="32">
        <v>44485</v>
      </c>
      <c r="H453" s="33">
        <v>0.46884438799557926</v>
      </c>
      <c r="I453" s="30" t="s">
        <v>383</v>
      </c>
      <c r="J453" s="34">
        <v>445290</v>
      </c>
      <c r="K453" s="35" t="s">
        <v>17</v>
      </c>
      <c r="L453" s="36">
        <v>80152.2</v>
      </c>
      <c r="M453" s="30" t="s">
        <v>28</v>
      </c>
      <c r="N453" s="30" t="s">
        <v>47</v>
      </c>
      <c r="O453" s="30" t="s">
        <v>1542</v>
      </c>
      <c r="P453" s="30" t="s">
        <v>1542</v>
      </c>
      <c r="Q453" s="30" t="str">
        <f t="shared" si="30"/>
        <v>AM</v>
      </c>
      <c r="R453" s="30" t="str">
        <f t="shared" si="31"/>
        <v>DM</v>
      </c>
      <c r="S453" s="30" t="str">
        <f>VLOOKUP(M453,'Data - Employee Rights Master'!$C$3:$D$32,2,0)</f>
        <v>AM</v>
      </c>
      <c r="T453" s="30" t="str">
        <f>VLOOKUP(N453,'Data - Employee Rights Master'!$C$3:$D$32,2,0)</f>
        <v>DM</v>
      </c>
      <c r="U453" s="41" t="str">
        <f t="shared" si="32"/>
        <v>PASS</v>
      </c>
      <c r="V453" s="41" t="str">
        <f t="shared" si="33"/>
        <v>NA</v>
      </c>
      <c r="W453" s="30" t="str">
        <f t="shared" si="34"/>
        <v>2122</v>
      </c>
      <c r="X453" s="30" t="str">
        <f>VLOOKUP(MONTH(G453),Key!$F$3:$G$14,2,0)</f>
        <v>Oct</v>
      </c>
      <c r="Y453" s="30" t="str">
        <f>IFERROR(IF(MATCH(F453,'Test 6'!C$5:C$9,0)&gt;0,"RP"),"NON-RP")</f>
        <v>NON-RP</v>
      </c>
    </row>
    <row r="454" spans="2:25" x14ac:dyDescent="0.5">
      <c r="B454" s="30">
        <v>450</v>
      </c>
      <c r="C454" s="30" t="s">
        <v>997</v>
      </c>
      <c r="D454" s="31">
        <v>2122191</v>
      </c>
      <c r="E454" s="30" t="s">
        <v>998</v>
      </c>
      <c r="F454" s="53" t="s">
        <v>35</v>
      </c>
      <c r="G454" s="32">
        <v>44487</v>
      </c>
      <c r="H454" s="33">
        <v>0.58598114963045522</v>
      </c>
      <c r="I454" s="30" t="s">
        <v>383</v>
      </c>
      <c r="J454" s="34">
        <v>383380</v>
      </c>
      <c r="K454" s="35" t="s">
        <v>17</v>
      </c>
      <c r="L454" s="36">
        <v>69008.399999999994</v>
      </c>
      <c r="M454" s="30" t="s">
        <v>61</v>
      </c>
      <c r="N454" s="30" t="s">
        <v>19</v>
      </c>
      <c r="O454" s="30" t="s">
        <v>1542</v>
      </c>
      <c r="P454" s="30" t="s">
        <v>1542</v>
      </c>
      <c r="Q454" s="30" t="str">
        <f t="shared" ref="Q454:Q517" si="35">IF(J454&lt;200000,"SE",IF(J454&lt;500000,"AM",IF(J454&lt;1000000,"DM",IF(J454&lt;4500000,"SM",IF(J454&gt;=4500000,"CM")))))</f>
        <v>AM</v>
      </c>
      <c r="R454" s="30" t="str">
        <f t="shared" ref="R454:R517" si="36">IF(Q454="SE","AM",IF(Q454="AM","DM",IF(Q454="DM","SM",IF(Q454="SM","CM",IF(Q454="CM","CFO")))))</f>
        <v>DM</v>
      </c>
      <c r="S454" s="30" t="str">
        <f>VLOOKUP(M454,'Data - Employee Rights Master'!$C$3:$D$32,2,0)</f>
        <v>AM</v>
      </c>
      <c r="T454" s="30" t="str">
        <f>VLOOKUP(N454,'Data - Employee Rights Master'!$C$3:$D$32,2,0)</f>
        <v>DM</v>
      </c>
      <c r="U454" s="41" t="str">
        <f t="shared" ref="U454:U517" si="37">IF(AND(S454=Q454,T454=R454),"PASS","DEVIATION")</f>
        <v>PASS</v>
      </c>
      <c r="V454" s="41" t="str">
        <f t="shared" ref="V454:V517" si="38">IF(J454&gt;5000000,IF(AND(O454="Approved",P454&lt;&gt;"NA"),"PASS","FLAG"),"NA")</f>
        <v>NA</v>
      </c>
      <c r="W454" s="30" t="str">
        <f t="shared" ref="W454:W517" si="39">LEFT(C454,4)</f>
        <v>2122</v>
      </c>
      <c r="X454" s="30" t="str">
        <f>VLOOKUP(MONTH(G454),Key!$F$3:$G$14,2,0)</f>
        <v>Oct</v>
      </c>
      <c r="Y454" s="30" t="str">
        <f>IFERROR(IF(MATCH(F454,'Test 6'!C$5:C$9,0)&gt;0,"RP"),"NON-RP")</f>
        <v>NON-RP</v>
      </c>
    </row>
    <row r="455" spans="2:25" x14ac:dyDescent="0.5">
      <c r="B455" s="30">
        <v>451</v>
      </c>
      <c r="C455" s="30" t="s">
        <v>999</v>
      </c>
      <c r="D455" s="31">
        <v>2122192</v>
      </c>
      <c r="E455" s="30" t="s">
        <v>1000</v>
      </c>
      <c r="F455" s="53" t="s">
        <v>64</v>
      </c>
      <c r="G455" s="32">
        <v>44487</v>
      </c>
      <c r="H455" s="33">
        <v>0.53043636517004111</v>
      </c>
      <c r="I455" s="30" t="s">
        <v>383</v>
      </c>
      <c r="J455" s="34">
        <v>457640</v>
      </c>
      <c r="K455" s="35" t="s">
        <v>17</v>
      </c>
      <c r="L455" s="36">
        <v>82375.199999999997</v>
      </c>
      <c r="M455" s="30" t="s">
        <v>37</v>
      </c>
      <c r="N455" s="30" t="s">
        <v>19</v>
      </c>
      <c r="O455" s="30" t="s">
        <v>1542</v>
      </c>
      <c r="P455" s="30" t="s">
        <v>1542</v>
      </c>
      <c r="Q455" s="30" t="str">
        <f t="shared" si="35"/>
        <v>AM</v>
      </c>
      <c r="R455" s="30" t="str">
        <f t="shared" si="36"/>
        <v>DM</v>
      </c>
      <c r="S455" s="30" t="str">
        <f>VLOOKUP(M455,'Data - Employee Rights Master'!$C$3:$D$32,2,0)</f>
        <v>AM</v>
      </c>
      <c r="T455" s="30" t="str">
        <f>VLOOKUP(N455,'Data - Employee Rights Master'!$C$3:$D$32,2,0)</f>
        <v>DM</v>
      </c>
      <c r="U455" s="41" t="str">
        <f t="shared" si="37"/>
        <v>PASS</v>
      </c>
      <c r="V455" s="41" t="str">
        <f t="shared" si="38"/>
        <v>NA</v>
      </c>
      <c r="W455" s="30" t="str">
        <f t="shared" si="39"/>
        <v>2122</v>
      </c>
      <c r="X455" s="30" t="str">
        <f>VLOOKUP(MONTH(G455),Key!$F$3:$G$14,2,0)</f>
        <v>Oct</v>
      </c>
      <c r="Y455" s="30" t="str">
        <f>IFERROR(IF(MATCH(F455,'Test 6'!C$5:C$9,0)&gt;0,"RP"),"NON-RP")</f>
        <v>NON-RP</v>
      </c>
    </row>
    <row r="456" spans="2:25" x14ac:dyDescent="0.5">
      <c r="B456" s="30">
        <v>452</v>
      </c>
      <c r="C456" s="30" t="s">
        <v>1001</v>
      </c>
      <c r="D456" s="31">
        <v>2122193</v>
      </c>
      <c r="E456" s="30" t="s">
        <v>1002</v>
      </c>
      <c r="F456" s="53" t="s">
        <v>67</v>
      </c>
      <c r="G456" s="32">
        <v>44488</v>
      </c>
      <c r="H456" s="33">
        <v>0.71258181091504014</v>
      </c>
      <c r="I456" s="30" t="s">
        <v>383</v>
      </c>
      <c r="J456" s="34">
        <v>303020</v>
      </c>
      <c r="K456" s="35" t="s">
        <v>17</v>
      </c>
      <c r="L456" s="36">
        <v>54543.6</v>
      </c>
      <c r="M456" s="30" t="s">
        <v>32</v>
      </c>
      <c r="N456" s="30" t="s">
        <v>51</v>
      </c>
      <c r="O456" s="30" t="s">
        <v>1542</v>
      </c>
      <c r="P456" s="30" t="s">
        <v>1542</v>
      </c>
      <c r="Q456" s="30" t="str">
        <f t="shared" si="35"/>
        <v>AM</v>
      </c>
      <c r="R456" s="30" t="str">
        <f t="shared" si="36"/>
        <v>DM</v>
      </c>
      <c r="S456" s="30" t="str">
        <f>VLOOKUP(M456,'Data - Employee Rights Master'!$C$3:$D$32,2,0)</f>
        <v>AM</v>
      </c>
      <c r="T456" s="30" t="str">
        <f>VLOOKUP(N456,'Data - Employee Rights Master'!$C$3:$D$32,2,0)</f>
        <v>DM</v>
      </c>
      <c r="U456" s="41" t="str">
        <f t="shared" si="37"/>
        <v>PASS</v>
      </c>
      <c r="V456" s="41" t="str">
        <f t="shared" si="38"/>
        <v>NA</v>
      </c>
      <c r="W456" s="30" t="str">
        <f t="shared" si="39"/>
        <v>2122</v>
      </c>
      <c r="X456" s="30" t="str">
        <f>VLOOKUP(MONTH(G456),Key!$F$3:$G$14,2,0)</f>
        <v>Oct</v>
      </c>
      <c r="Y456" s="30" t="str">
        <f>IFERROR(IF(MATCH(F456,'Test 6'!C$5:C$9,0)&gt;0,"RP"),"NON-RP")</f>
        <v>NON-RP</v>
      </c>
    </row>
    <row r="457" spans="2:25" x14ac:dyDescent="0.5">
      <c r="B457" s="30">
        <v>453</v>
      </c>
      <c r="C457" s="30" t="s">
        <v>1003</v>
      </c>
      <c r="D457" s="31">
        <v>2122194</v>
      </c>
      <c r="E457" s="30" t="s">
        <v>1004</v>
      </c>
      <c r="F457" s="53" t="s">
        <v>195</v>
      </c>
      <c r="G457" s="32">
        <v>44489</v>
      </c>
      <c r="H457" s="33">
        <v>0.57329672955220268</v>
      </c>
      <c r="I457" s="30" t="s">
        <v>383</v>
      </c>
      <c r="J457" s="34">
        <v>207730</v>
      </c>
      <c r="K457" s="35" t="s">
        <v>17</v>
      </c>
      <c r="L457" s="36">
        <v>37391.4</v>
      </c>
      <c r="M457" s="30" t="s">
        <v>61</v>
      </c>
      <c r="N457" s="30" t="s">
        <v>47</v>
      </c>
      <c r="O457" s="30" t="s">
        <v>1542</v>
      </c>
      <c r="P457" s="30" t="s">
        <v>1542</v>
      </c>
      <c r="Q457" s="30" t="str">
        <f t="shared" si="35"/>
        <v>AM</v>
      </c>
      <c r="R457" s="30" t="str">
        <f t="shared" si="36"/>
        <v>DM</v>
      </c>
      <c r="S457" s="30" t="str">
        <f>VLOOKUP(M457,'Data - Employee Rights Master'!$C$3:$D$32,2,0)</f>
        <v>AM</v>
      </c>
      <c r="T457" s="30" t="str">
        <f>VLOOKUP(N457,'Data - Employee Rights Master'!$C$3:$D$32,2,0)</f>
        <v>DM</v>
      </c>
      <c r="U457" s="41" t="str">
        <f t="shared" si="37"/>
        <v>PASS</v>
      </c>
      <c r="V457" s="41" t="str">
        <f t="shared" si="38"/>
        <v>NA</v>
      </c>
      <c r="W457" s="30" t="str">
        <f t="shared" si="39"/>
        <v>2122</v>
      </c>
      <c r="X457" s="30" t="str">
        <f>VLOOKUP(MONTH(G457),Key!$F$3:$G$14,2,0)</f>
        <v>Oct</v>
      </c>
      <c r="Y457" s="30" t="str">
        <f>IFERROR(IF(MATCH(F457,'Test 6'!C$5:C$9,0)&gt;0,"RP"),"NON-RP")</f>
        <v>NON-RP</v>
      </c>
    </row>
    <row r="458" spans="2:25" x14ac:dyDescent="0.5">
      <c r="B458" s="30">
        <v>454</v>
      </c>
      <c r="C458" s="30" t="s">
        <v>1005</v>
      </c>
      <c r="D458" s="31">
        <v>2122195</v>
      </c>
      <c r="E458" s="30" t="s">
        <v>1006</v>
      </c>
      <c r="F458" s="53" t="s">
        <v>57</v>
      </c>
      <c r="G458" s="32">
        <v>44489</v>
      </c>
      <c r="H458" s="33">
        <v>0.43100994611071985</v>
      </c>
      <c r="I458" s="30" t="s">
        <v>383</v>
      </c>
      <c r="J458" s="34">
        <v>308420</v>
      </c>
      <c r="K458" s="35" t="s">
        <v>17</v>
      </c>
      <c r="L458" s="36">
        <v>55515.6</v>
      </c>
      <c r="M458" s="30" t="s">
        <v>28</v>
      </c>
      <c r="N458" s="30" t="s">
        <v>24</v>
      </c>
      <c r="O458" s="30" t="s">
        <v>1542</v>
      </c>
      <c r="P458" s="30" t="s">
        <v>1542</v>
      </c>
      <c r="Q458" s="30" t="str">
        <f t="shared" si="35"/>
        <v>AM</v>
      </c>
      <c r="R458" s="30" t="str">
        <f t="shared" si="36"/>
        <v>DM</v>
      </c>
      <c r="S458" s="30" t="str">
        <f>VLOOKUP(M458,'Data - Employee Rights Master'!$C$3:$D$32,2,0)</f>
        <v>AM</v>
      </c>
      <c r="T458" s="30" t="str">
        <f>VLOOKUP(N458,'Data - Employee Rights Master'!$C$3:$D$32,2,0)</f>
        <v>DM</v>
      </c>
      <c r="U458" s="41" t="str">
        <f t="shared" si="37"/>
        <v>PASS</v>
      </c>
      <c r="V458" s="41" t="str">
        <f t="shared" si="38"/>
        <v>NA</v>
      </c>
      <c r="W458" s="30" t="str">
        <f t="shared" si="39"/>
        <v>2122</v>
      </c>
      <c r="X458" s="30" t="str">
        <f>VLOOKUP(MONTH(G458),Key!$F$3:$G$14,2,0)</f>
        <v>Oct</v>
      </c>
      <c r="Y458" s="30" t="str">
        <f>IFERROR(IF(MATCH(F458,'Test 6'!C$5:C$9,0)&gt;0,"RP"),"NON-RP")</f>
        <v>NON-RP</v>
      </c>
    </row>
    <row r="459" spans="2:25" x14ac:dyDescent="0.5">
      <c r="B459" s="30">
        <v>455</v>
      </c>
      <c r="C459" s="30" t="s">
        <v>1007</v>
      </c>
      <c r="D459" s="31">
        <v>2122196</v>
      </c>
      <c r="E459" s="30" t="s">
        <v>1008</v>
      </c>
      <c r="F459" s="53" t="s">
        <v>95</v>
      </c>
      <c r="G459" s="32">
        <v>44490</v>
      </c>
      <c r="H459" s="33">
        <v>0.45522748428035836</v>
      </c>
      <c r="I459" s="30" t="s">
        <v>383</v>
      </c>
      <c r="J459" s="34">
        <v>408590</v>
      </c>
      <c r="K459" s="35" t="s">
        <v>17</v>
      </c>
      <c r="L459" s="36">
        <v>73546.2</v>
      </c>
      <c r="M459" s="30" t="s">
        <v>32</v>
      </c>
      <c r="N459" s="30" t="s">
        <v>19</v>
      </c>
      <c r="O459" s="30" t="s">
        <v>1542</v>
      </c>
      <c r="P459" s="30" t="s">
        <v>1542</v>
      </c>
      <c r="Q459" s="30" t="str">
        <f t="shared" si="35"/>
        <v>AM</v>
      </c>
      <c r="R459" s="30" t="str">
        <f t="shared" si="36"/>
        <v>DM</v>
      </c>
      <c r="S459" s="30" t="str">
        <f>VLOOKUP(M459,'Data - Employee Rights Master'!$C$3:$D$32,2,0)</f>
        <v>AM</v>
      </c>
      <c r="T459" s="30" t="str">
        <f>VLOOKUP(N459,'Data - Employee Rights Master'!$C$3:$D$32,2,0)</f>
        <v>DM</v>
      </c>
      <c r="U459" s="41" t="str">
        <f t="shared" si="37"/>
        <v>PASS</v>
      </c>
      <c r="V459" s="41" t="str">
        <f t="shared" si="38"/>
        <v>NA</v>
      </c>
      <c r="W459" s="30" t="str">
        <f t="shared" si="39"/>
        <v>2122</v>
      </c>
      <c r="X459" s="30" t="str">
        <f>VLOOKUP(MONTH(G459),Key!$F$3:$G$14,2,0)</f>
        <v>Oct</v>
      </c>
      <c r="Y459" s="30" t="str">
        <f>IFERROR(IF(MATCH(F459,'Test 6'!C$5:C$9,0)&gt;0,"RP"),"NON-RP")</f>
        <v>NON-RP</v>
      </c>
    </row>
    <row r="460" spans="2:25" x14ac:dyDescent="0.5">
      <c r="B460" s="30">
        <v>456</v>
      </c>
      <c r="C460" s="30" t="s">
        <v>1009</v>
      </c>
      <c r="D460" s="31">
        <v>2122197</v>
      </c>
      <c r="E460" s="30" t="s">
        <v>1010</v>
      </c>
      <c r="F460" s="53" t="s">
        <v>103</v>
      </c>
      <c r="G460" s="32">
        <v>44490</v>
      </c>
      <c r="H460" s="33">
        <v>0.53791407987861639</v>
      </c>
      <c r="I460" s="30" t="s">
        <v>383</v>
      </c>
      <c r="J460" s="34">
        <v>438200</v>
      </c>
      <c r="K460" s="35" t="s">
        <v>17</v>
      </c>
      <c r="L460" s="36">
        <v>78876</v>
      </c>
      <c r="M460" s="30" t="s">
        <v>32</v>
      </c>
      <c r="N460" s="30" t="s">
        <v>19</v>
      </c>
      <c r="O460" s="30" t="s">
        <v>1542</v>
      </c>
      <c r="P460" s="30" t="s">
        <v>1542</v>
      </c>
      <c r="Q460" s="30" t="str">
        <f t="shared" si="35"/>
        <v>AM</v>
      </c>
      <c r="R460" s="30" t="str">
        <f t="shared" si="36"/>
        <v>DM</v>
      </c>
      <c r="S460" s="30" t="str">
        <f>VLOOKUP(M460,'Data - Employee Rights Master'!$C$3:$D$32,2,0)</f>
        <v>AM</v>
      </c>
      <c r="T460" s="30" t="str">
        <f>VLOOKUP(N460,'Data - Employee Rights Master'!$C$3:$D$32,2,0)</f>
        <v>DM</v>
      </c>
      <c r="U460" s="41" t="str">
        <f t="shared" si="37"/>
        <v>PASS</v>
      </c>
      <c r="V460" s="41" t="str">
        <f t="shared" si="38"/>
        <v>NA</v>
      </c>
      <c r="W460" s="30" t="str">
        <f t="shared" si="39"/>
        <v>2122</v>
      </c>
      <c r="X460" s="30" t="str">
        <f>VLOOKUP(MONTH(G460),Key!$F$3:$G$14,2,0)</f>
        <v>Oct</v>
      </c>
      <c r="Y460" s="30" t="str">
        <f>IFERROR(IF(MATCH(F460,'Test 6'!C$5:C$9,0)&gt;0,"RP"),"NON-RP")</f>
        <v>NON-RP</v>
      </c>
    </row>
    <row r="461" spans="2:25" x14ac:dyDescent="0.5">
      <c r="B461" s="30">
        <v>457</v>
      </c>
      <c r="C461" s="30" t="s">
        <v>1011</v>
      </c>
      <c r="D461" s="31">
        <v>2122198</v>
      </c>
      <c r="E461" s="30" t="s">
        <v>1012</v>
      </c>
      <c r="F461" s="53" t="s">
        <v>175</v>
      </c>
      <c r="G461" s="32">
        <v>44490</v>
      </c>
      <c r="H461" s="33">
        <v>0.63954357026009501</v>
      </c>
      <c r="I461" s="30" t="s">
        <v>321</v>
      </c>
      <c r="J461" s="34">
        <v>336050</v>
      </c>
      <c r="K461" s="35" t="s">
        <v>17</v>
      </c>
      <c r="L461" s="36">
        <v>60489</v>
      </c>
      <c r="M461" s="30" t="s">
        <v>32</v>
      </c>
      <c r="N461" s="30" t="s">
        <v>19</v>
      </c>
      <c r="O461" s="30" t="s">
        <v>1542</v>
      </c>
      <c r="P461" s="30" t="s">
        <v>1542</v>
      </c>
      <c r="Q461" s="30" t="str">
        <f t="shared" si="35"/>
        <v>AM</v>
      </c>
      <c r="R461" s="30" t="str">
        <f t="shared" si="36"/>
        <v>DM</v>
      </c>
      <c r="S461" s="30" t="str">
        <f>VLOOKUP(M461,'Data - Employee Rights Master'!$C$3:$D$32,2,0)</f>
        <v>AM</v>
      </c>
      <c r="T461" s="30" t="str">
        <f>VLOOKUP(N461,'Data - Employee Rights Master'!$C$3:$D$32,2,0)</f>
        <v>DM</v>
      </c>
      <c r="U461" s="41" t="str">
        <f t="shared" si="37"/>
        <v>PASS</v>
      </c>
      <c r="V461" s="41" t="str">
        <f t="shared" si="38"/>
        <v>NA</v>
      </c>
      <c r="W461" s="30" t="str">
        <f t="shared" si="39"/>
        <v>2122</v>
      </c>
      <c r="X461" s="30" t="str">
        <f>VLOOKUP(MONTH(G461),Key!$F$3:$G$14,2,0)</f>
        <v>Oct</v>
      </c>
      <c r="Y461" s="30" t="str">
        <f>IFERROR(IF(MATCH(F461,'Test 6'!C$5:C$9,0)&gt;0,"RP"),"NON-RP")</f>
        <v>NON-RP</v>
      </c>
    </row>
    <row r="462" spans="2:25" x14ac:dyDescent="0.5">
      <c r="B462" s="30">
        <v>458</v>
      </c>
      <c r="C462" s="30" t="s">
        <v>1013</v>
      </c>
      <c r="D462" s="31">
        <v>2122199</v>
      </c>
      <c r="E462" s="30" t="s">
        <v>1014</v>
      </c>
      <c r="F462" s="53" t="s">
        <v>290</v>
      </c>
      <c r="G462" s="32">
        <v>44491</v>
      </c>
      <c r="H462" s="33">
        <v>0.64048755818384229</v>
      </c>
      <c r="I462" s="30" t="s">
        <v>383</v>
      </c>
      <c r="J462" s="34">
        <v>454830</v>
      </c>
      <c r="K462" s="35" t="s">
        <v>17</v>
      </c>
      <c r="L462" s="36">
        <v>81869.399999999994</v>
      </c>
      <c r="M462" s="30" t="s">
        <v>18</v>
      </c>
      <c r="N462" s="30" t="s">
        <v>51</v>
      </c>
      <c r="O462" s="30" t="s">
        <v>1542</v>
      </c>
      <c r="P462" s="30" t="s">
        <v>1542</v>
      </c>
      <c r="Q462" s="30" t="str">
        <f t="shared" si="35"/>
        <v>AM</v>
      </c>
      <c r="R462" s="30" t="str">
        <f t="shared" si="36"/>
        <v>DM</v>
      </c>
      <c r="S462" s="30" t="str">
        <f>VLOOKUP(M462,'Data - Employee Rights Master'!$C$3:$D$32,2,0)</f>
        <v>AM</v>
      </c>
      <c r="T462" s="30" t="str">
        <f>VLOOKUP(N462,'Data - Employee Rights Master'!$C$3:$D$32,2,0)</f>
        <v>DM</v>
      </c>
      <c r="U462" s="41" t="str">
        <f t="shared" si="37"/>
        <v>PASS</v>
      </c>
      <c r="V462" s="41" t="str">
        <f t="shared" si="38"/>
        <v>NA</v>
      </c>
      <c r="W462" s="30" t="str">
        <f t="shared" si="39"/>
        <v>2122</v>
      </c>
      <c r="X462" s="30" t="str">
        <f>VLOOKUP(MONTH(G462),Key!$F$3:$G$14,2,0)</f>
        <v>Oct</v>
      </c>
      <c r="Y462" s="30" t="str">
        <f>IFERROR(IF(MATCH(F462,'Test 6'!C$5:C$9,0)&gt;0,"RP"),"NON-RP")</f>
        <v>NON-RP</v>
      </c>
    </row>
    <row r="463" spans="2:25" x14ac:dyDescent="0.5">
      <c r="B463" s="30">
        <v>459</v>
      </c>
      <c r="C463" s="30" t="s">
        <v>1015</v>
      </c>
      <c r="D463" s="31">
        <v>2122200</v>
      </c>
      <c r="E463" s="30" t="s">
        <v>1016</v>
      </c>
      <c r="F463" s="53" t="s">
        <v>45</v>
      </c>
      <c r="G463" s="32">
        <v>44491</v>
      </c>
      <c r="H463" s="33">
        <v>0.66823991976166552</v>
      </c>
      <c r="I463" s="30" t="s">
        <v>383</v>
      </c>
      <c r="J463" s="34">
        <v>491000</v>
      </c>
      <c r="K463" s="35" t="s">
        <v>17</v>
      </c>
      <c r="L463" s="36">
        <v>88380</v>
      </c>
      <c r="M463" s="30" t="s">
        <v>37</v>
      </c>
      <c r="N463" s="30" t="s">
        <v>51</v>
      </c>
      <c r="O463" s="30" t="s">
        <v>1542</v>
      </c>
      <c r="P463" s="30" t="s">
        <v>1542</v>
      </c>
      <c r="Q463" s="30" t="str">
        <f t="shared" si="35"/>
        <v>AM</v>
      </c>
      <c r="R463" s="30" t="str">
        <f t="shared" si="36"/>
        <v>DM</v>
      </c>
      <c r="S463" s="30" t="str">
        <f>VLOOKUP(M463,'Data - Employee Rights Master'!$C$3:$D$32,2,0)</f>
        <v>AM</v>
      </c>
      <c r="T463" s="30" t="str">
        <f>VLOOKUP(N463,'Data - Employee Rights Master'!$C$3:$D$32,2,0)</f>
        <v>DM</v>
      </c>
      <c r="U463" s="41" t="str">
        <f t="shared" si="37"/>
        <v>PASS</v>
      </c>
      <c r="V463" s="41" t="str">
        <f t="shared" si="38"/>
        <v>NA</v>
      </c>
      <c r="W463" s="30" t="str">
        <f t="shared" si="39"/>
        <v>2122</v>
      </c>
      <c r="X463" s="30" t="str">
        <f>VLOOKUP(MONTH(G463),Key!$F$3:$G$14,2,0)</f>
        <v>Oct</v>
      </c>
      <c r="Y463" s="30" t="str">
        <f>IFERROR(IF(MATCH(F463,'Test 6'!C$5:C$9,0)&gt;0,"RP"),"NON-RP")</f>
        <v>NON-RP</v>
      </c>
    </row>
    <row r="464" spans="2:25" x14ac:dyDescent="0.5">
      <c r="B464" s="30">
        <v>460</v>
      </c>
      <c r="C464" s="30" t="s">
        <v>1017</v>
      </c>
      <c r="D464" s="31">
        <v>2122201</v>
      </c>
      <c r="E464" s="30" t="s">
        <v>1018</v>
      </c>
      <c r="F464" s="53" t="s">
        <v>81</v>
      </c>
      <c r="G464" s="32">
        <v>44494</v>
      </c>
      <c r="H464" s="33">
        <v>0.74746253944763996</v>
      </c>
      <c r="I464" s="30" t="s">
        <v>383</v>
      </c>
      <c r="J464" s="34">
        <v>415680</v>
      </c>
      <c r="K464" s="35" t="s">
        <v>17</v>
      </c>
      <c r="L464" s="36">
        <v>74822.399999999994</v>
      </c>
      <c r="M464" s="30" t="s">
        <v>61</v>
      </c>
      <c r="N464" s="30" t="s">
        <v>24</v>
      </c>
      <c r="O464" s="30" t="s">
        <v>1542</v>
      </c>
      <c r="P464" s="30" t="s">
        <v>1542</v>
      </c>
      <c r="Q464" s="30" t="str">
        <f t="shared" si="35"/>
        <v>AM</v>
      </c>
      <c r="R464" s="30" t="str">
        <f t="shared" si="36"/>
        <v>DM</v>
      </c>
      <c r="S464" s="30" t="str">
        <f>VLOOKUP(M464,'Data - Employee Rights Master'!$C$3:$D$32,2,0)</f>
        <v>AM</v>
      </c>
      <c r="T464" s="30" t="str">
        <f>VLOOKUP(N464,'Data - Employee Rights Master'!$C$3:$D$32,2,0)</f>
        <v>DM</v>
      </c>
      <c r="U464" s="41" t="str">
        <f t="shared" si="37"/>
        <v>PASS</v>
      </c>
      <c r="V464" s="41" t="str">
        <f t="shared" si="38"/>
        <v>NA</v>
      </c>
      <c r="W464" s="30" t="str">
        <f t="shared" si="39"/>
        <v>2122</v>
      </c>
      <c r="X464" s="30" t="str">
        <f>VLOOKUP(MONTH(G464),Key!$F$3:$G$14,2,0)</f>
        <v>Oct</v>
      </c>
      <c r="Y464" s="30" t="str">
        <f>IFERROR(IF(MATCH(F464,'Test 6'!C$5:C$9,0)&gt;0,"RP"),"NON-RP")</f>
        <v>NON-RP</v>
      </c>
    </row>
    <row r="465" spans="2:25" x14ac:dyDescent="0.5">
      <c r="B465" s="30">
        <v>461</v>
      </c>
      <c r="C465" s="30" t="s">
        <v>1019</v>
      </c>
      <c r="D465" s="31">
        <v>2122202</v>
      </c>
      <c r="E465" s="30" t="s">
        <v>1020</v>
      </c>
      <c r="F465" s="53" t="s">
        <v>27</v>
      </c>
      <c r="G465" s="32">
        <v>44494</v>
      </c>
      <c r="H465" s="33">
        <v>0.53076998216657911</v>
      </c>
      <c r="I465" s="30" t="s">
        <v>383</v>
      </c>
      <c r="J465" s="34">
        <v>374850</v>
      </c>
      <c r="K465" s="35" t="s">
        <v>17</v>
      </c>
      <c r="L465" s="36">
        <v>67473</v>
      </c>
      <c r="M465" s="30" t="s">
        <v>32</v>
      </c>
      <c r="N465" s="30" t="s">
        <v>24</v>
      </c>
      <c r="O465" s="30" t="s">
        <v>1542</v>
      </c>
      <c r="P465" s="30" t="s">
        <v>1542</v>
      </c>
      <c r="Q465" s="30" t="str">
        <f t="shared" si="35"/>
        <v>AM</v>
      </c>
      <c r="R465" s="30" t="str">
        <f t="shared" si="36"/>
        <v>DM</v>
      </c>
      <c r="S465" s="30" t="str">
        <f>VLOOKUP(M465,'Data - Employee Rights Master'!$C$3:$D$32,2,0)</f>
        <v>AM</v>
      </c>
      <c r="T465" s="30" t="str">
        <f>VLOOKUP(N465,'Data - Employee Rights Master'!$C$3:$D$32,2,0)</f>
        <v>DM</v>
      </c>
      <c r="U465" s="41" t="str">
        <f t="shared" si="37"/>
        <v>PASS</v>
      </c>
      <c r="V465" s="41" t="str">
        <f t="shared" si="38"/>
        <v>NA</v>
      </c>
      <c r="W465" s="30" t="str">
        <f t="shared" si="39"/>
        <v>2122</v>
      </c>
      <c r="X465" s="30" t="str">
        <f>VLOOKUP(MONTH(G465),Key!$F$3:$G$14,2,0)</f>
        <v>Oct</v>
      </c>
      <c r="Y465" s="30" t="str">
        <f>IFERROR(IF(MATCH(F465,'Test 6'!C$5:C$9,0)&gt;0,"RP"),"NON-RP")</f>
        <v>NON-RP</v>
      </c>
    </row>
    <row r="466" spans="2:25" x14ac:dyDescent="0.5">
      <c r="B466" s="30">
        <v>462</v>
      </c>
      <c r="C466" s="30" t="s">
        <v>1021</v>
      </c>
      <c r="D466" s="31">
        <v>2122203</v>
      </c>
      <c r="E466" s="30" t="s">
        <v>1022</v>
      </c>
      <c r="F466" s="53" t="s">
        <v>64</v>
      </c>
      <c r="G466" s="32">
        <v>44494</v>
      </c>
      <c r="H466" s="33">
        <v>0.56186900289603281</v>
      </c>
      <c r="I466" s="30" t="s">
        <v>383</v>
      </c>
      <c r="J466" s="34">
        <v>325900</v>
      </c>
      <c r="K466" s="35" t="s">
        <v>17</v>
      </c>
      <c r="L466" s="36">
        <v>58662</v>
      </c>
      <c r="M466" s="30" t="s">
        <v>61</v>
      </c>
      <c r="N466" s="30" t="s">
        <v>51</v>
      </c>
      <c r="O466" s="30" t="s">
        <v>1542</v>
      </c>
      <c r="P466" s="30" t="s">
        <v>1542</v>
      </c>
      <c r="Q466" s="30" t="str">
        <f t="shared" si="35"/>
        <v>AM</v>
      </c>
      <c r="R466" s="30" t="str">
        <f t="shared" si="36"/>
        <v>DM</v>
      </c>
      <c r="S466" s="30" t="str">
        <f>VLOOKUP(M466,'Data - Employee Rights Master'!$C$3:$D$32,2,0)</f>
        <v>AM</v>
      </c>
      <c r="T466" s="30" t="str">
        <f>VLOOKUP(N466,'Data - Employee Rights Master'!$C$3:$D$32,2,0)</f>
        <v>DM</v>
      </c>
      <c r="U466" s="41" t="str">
        <f t="shared" si="37"/>
        <v>PASS</v>
      </c>
      <c r="V466" s="41" t="str">
        <f t="shared" si="38"/>
        <v>NA</v>
      </c>
      <c r="W466" s="30" t="str">
        <f t="shared" si="39"/>
        <v>2122</v>
      </c>
      <c r="X466" s="30" t="str">
        <f>VLOOKUP(MONTH(G466),Key!$F$3:$G$14,2,0)</f>
        <v>Oct</v>
      </c>
      <c r="Y466" s="30" t="str">
        <f>IFERROR(IF(MATCH(F466,'Test 6'!C$5:C$9,0)&gt;0,"RP"),"NON-RP")</f>
        <v>NON-RP</v>
      </c>
    </row>
    <row r="467" spans="2:25" x14ac:dyDescent="0.5">
      <c r="B467" s="30">
        <v>463</v>
      </c>
      <c r="C467" s="30" t="s">
        <v>1023</v>
      </c>
      <c r="D467" s="31">
        <v>2122204</v>
      </c>
      <c r="E467" s="30" t="s">
        <v>1024</v>
      </c>
      <c r="F467" s="53" t="s">
        <v>40</v>
      </c>
      <c r="G467" s="32">
        <v>44495</v>
      </c>
      <c r="H467" s="33">
        <v>0.45804956076077508</v>
      </c>
      <c r="I467" s="30" t="s">
        <v>383</v>
      </c>
      <c r="J467" s="34">
        <v>356110</v>
      </c>
      <c r="K467" s="35" t="s">
        <v>17</v>
      </c>
      <c r="L467" s="36">
        <v>64099.799999999996</v>
      </c>
      <c r="M467" s="30" t="s">
        <v>37</v>
      </c>
      <c r="N467" s="30" t="s">
        <v>51</v>
      </c>
      <c r="O467" s="30" t="s">
        <v>1542</v>
      </c>
      <c r="P467" s="30" t="s">
        <v>1542</v>
      </c>
      <c r="Q467" s="30" t="str">
        <f t="shared" si="35"/>
        <v>AM</v>
      </c>
      <c r="R467" s="30" t="str">
        <f t="shared" si="36"/>
        <v>DM</v>
      </c>
      <c r="S467" s="30" t="str">
        <f>VLOOKUP(M467,'Data - Employee Rights Master'!$C$3:$D$32,2,0)</f>
        <v>AM</v>
      </c>
      <c r="T467" s="30" t="str">
        <f>VLOOKUP(N467,'Data - Employee Rights Master'!$C$3:$D$32,2,0)</f>
        <v>DM</v>
      </c>
      <c r="U467" s="41" t="str">
        <f t="shared" si="37"/>
        <v>PASS</v>
      </c>
      <c r="V467" s="41" t="str">
        <f t="shared" si="38"/>
        <v>NA</v>
      </c>
      <c r="W467" s="30" t="str">
        <f t="shared" si="39"/>
        <v>2122</v>
      </c>
      <c r="X467" s="30" t="str">
        <f>VLOOKUP(MONTH(G467),Key!$F$3:$G$14,2,0)</f>
        <v>Oct</v>
      </c>
      <c r="Y467" s="30" t="str">
        <f>IFERROR(IF(MATCH(F467,'Test 6'!C$5:C$9,0)&gt;0,"RP"),"NON-RP")</f>
        <v>NON-RP</v>
      </c>
    </row>
    <row r="468" spans="2:25" x14ac:dyDescent="0.5">
      <c r="B468" s="30">
        <v>464</v>
      </c>
      <c r="C468" s="30" t="s">
        <v>1025</v>
      </c>
      <c r="D468" s="31">
        <v>2122205</v>
      </c>
      <c r="E468" s="30" t="s">
        <v>1026</v>
      </c>
      <c r="F468" s="53" t="s">
        <v>92</v>
      </c>
      <c r="G468" s="32">
        <v>44496</v>
      </c>
      <c r="H468" s="33">
        <v>0.63664456912754885</v>
      </c>
      <c r="I468" s="30" t="s">
        <v>383</v>
      </c>
      <c r="J468" s="34">
        <v>419000</v>
      </c>
      <c r="K468" s="35" t="s">
        <v>17</v>
      </c>
      <c r="L468" s="36">
        <v>75420</v>
      </c>
      <c r="M468" s="30" t="s">
        <v>23</v>
      </c>
      <c r="N468" s="30" t="s">
        <v>24</v>
      </c>
      <c r="O468" s="30" t="s">
        <v>1542</v>
      </c>
      <c r="P468" s="30" t="s">
        <v>1542</v>
      </c>
      <c r="Q468" s="30" t="str">
        <f t="shared" si="35"/>
        <v>AM</v>
      </c>
      <c r="R468" s="30" t="str">
        <f t="shared" si="36"/>
        <v>DM</v>
      </c>
      <c r="S468" s="30" t="str">
        <f>VLOOKUP(M468,'Data - Employee Rights Master'!$C$3:$D$32,2,0)</f>
        <v>AM</v>
      </c>
      <c r="T468" s="30" t="str">
        <f>VLOOKUP(N468,'Data - Employee Rights Master'!$C$3:$D$32,2,0)</f>
        <v>DM</v>
      </c>
      <c r="U468" s="41" t="str">
        <f t="shared" si="37"/>
        <v>PASS</v>
      </c>
      <c r="V468" s="41" t="str">
        <f t="shared" si="38"/>
        <v>NA</v>
      </c>
      <c r="W468" s="30" t="str">
        <f t="shared" si="39"/>
        <v>2122</v>
      </c>
      <c r="X468" s="30" t="str">
        <f>VLOOKUP(MONTH(G468),Key!$F$3:$G$14,2,0)</f>
        <v>Oct</v>
      </c>
      <c r="Y468" s="30" t="str">
        <f>IFERROR(IF(MATCH(F468,'Test 6'!C$5:C$9,0)&gt;0,"RP"),"NON-RP")</f>
        <v>NON-RP</v>
      </c>
    </row>
    <row r="469" spans="2:25" x14ac:dyDescent="0.5">
      <c r="B469" s="30">
        <v>465</v>
      </c>
      <c r="C469" s="30" t="s">
        <v>1027</v>
      </c>
      <c r="D469" s="31">
        <v>2122206</v>
      </c>
      <c r="E469" s="30" t="s">
        <v>1028</v>
      </c>
      <c r="F469" s="53" t="s">
        <v>27</v>
      </c>
      <c r="G469" s="32">
        <v>44499</v>
      </c>
      <c r="H469" s="33">
        <v>0.67651207370860567</v>
      </c>
      <c r="I469" s="30" t="s">
        <v>383</v>
      </c>
      <c r="J469" s="34">
        <v>356860</v>
      </c>
      <c r="K469" s="35" t="s">
        <v>17</v>
      </c>
      <c r="L469" s="36">
        <v>64234.799999999996</v>
      </c>
      <c r="M469" s="30" t="s">
        <v>32</v>
      </c>
      <c r="N469" s="30" t="s">
        <v>47</v>
      </c>
      <c r="O469" s="30" t="s">
        <v>1542</v>
      </c>
      <c r="P469" s="30" t="s">
        <v>1542</v>
      </c>
      <c r="Q469" s="30" t="str">
        <f t="shared" si="35"/>
        <v>AM</v>
      </c>
      <c r="R469" s="30" t="str">
        <f t="shared" si="36"/>
        <v>DM</v>
      </c>
      <c r="S469" s="30" t="str">
        <f>VLOOKUP(M469,'Data - Employee Rights Master'!$C$3:$D$32,2,0)</f>
        <v>AM</v>
      </c>
      <c r="T469" s="30" t="str">
        <f>VLOOKUP(N469,'Data - Employee Rights Master'!$C$3:$D$32,2,0)</f>
        <v>DM</v>
      </c>
      <c r="U469" s="41" t="str">
        <f t="shared" si="37"/>
        <v>PASS</v>
      </c>
      <c r="V469" s="41" t="str">
        <f t="shared" si="38"/>
        <v>NA</v>
      </c>
      <c r="W469" s="30" t="str">
        <f t="shared" si="39"/>
        <v>2122</v>
      </c>
      <c r="X469" s="30" t="str">
        <f>VLOOKUP(MONTH(G469),Key!$F$3:$G$14,2,0)</f>
        <v>Oct</v>
      </c>
      <c r="Y469" s="30" t="str">
        <f>IFERROR(IF(MATCH(F469,'Test 6'!C$5:C$9,0)&gt;0,"RP"),"NON-RP")</f>
        <v>NON-RP</v>
      </c>
    </row>
    <row r="470" spans="2:25" x14ac:dyDescent="0.5">
      <c r="B470" s="30">
        <v>466</v>
      </c>
      <c r="C470" s="30" t="s">
        <v>1029</v>
      </c>
      <c r="D470" s="31">
        <v>2122207</v>
      </c>
      <c r="E470" s="30" t="s">
        <v>1030</v>
      </c>
      <c r="F470" s="53" t="s">
        <v>293</v>
      </c>
      <c r="G470" s="32">
        <v>44503</v>
      </c>
      <c r="H470" s="33">
        <v>0.45634707531379626</v>
      </c>
      <c r="I470" s="30" t="s">
        <v>428</v>
      </c>
      <c r="J470" s="34">
        <v>491750</v>
      </c>
      <c r="K470" s="35" t="s">
        <v>17</v>
      </c>
      <c r="L470" s="36">
        <v>88515</v>
      </c>
      <c r="M470" s="30" t="s">
        <v>23</v>
      </c>
      <c r="N470" s="30" t="s">
        <v>51</v>
      </c>
      <c r="O470" s="30" t="s">
        <v>1542</v>
      </c>
      <c r="P470" s="30" t="s">
        <v>1542</v>
      </c>
      <c r="Q470" s="30" t="str">
        <f t="shared" si="35"/>
        <v>AM</v>
      </c>
      <c r="R470" s="30" t="str">
        <f t="shared" si="36"/>
        <v>DM</v>
      </c>
      <c r="S470" s="30" t="str">
        <f>VLOOKUP(M470,'Data - Employee Rights Master'!$C$3:$D$32,2,0)</f>
        <v>AM</v>
      </c>
      <c r="T470" s="30" t="str">
        <f>VLOOKUP(N470,'Data - Employee Rights Master'!$C$3:$D$32,2,0)</f>
        <v>DM</v>
      </c>
      <c r="U470" s="41" t="str">
        <f t="shared" si="37"/>
        <v>PASS</v>
      </c>
      <c r="V470" s="41" t="str">
        <f t="shared" si="38"/>
        <v>NA</v>
      </c>
      <c r="W470" s="30" t="str">
        <f t="shared" si="39"/>
        <v>2122</v>
      </c>
      <c r="X470" s="30" t="str">
        <f>VLOOKUP(MONTH(G470),Key!$F$3:$G$14,2,0)</f>
        <v>Nov</v>
      </c>
      <c r="Y470" s="30" t="str">
        <f>IFERROR(IF(MATCH(F470,'Test 6'!C$5:C$9,0)&gt;0,"RP"),"NON-RP")</f>
        <v>NON-RP</v>
      </c>
    </row>
    <row r="471" spans="2:25" x14ac:dyDescent="0.5">
      <c r="B471" s="30">
        <v>467</v>
      </c>
      <c r="C471" s="30" t="s">
        <v>1031</v>
      </c>
      <c r="D471" s="31">
        <v>2122208</v>
      </c>
      <c r="E471" s="30" t="s">
        <v>1032</v>
      </c>
      <c r="F471" s="53" t="s">
        <v>54</v>
      </c>
      <c r="G471" s="32">
        <v>44506</v>
      </c>
      <c r="H471" s="33">
        <v>0.63395845111834326</v>
      </c>
      <c r="I471" s="30" t="s">
        <v>428</v>
      </c>
      <c r="J471" s="34">
        <v>479490</v>
      </c>
      <c r="K471" s="35" t="s">
        <v>17</v>
      </c>
      <c r="L471" s="36">
        <v>86308.2</v>
      </c>
      <c r="M471" s="30" t="s">
        <v>37</v>
      </c>
      <c r="N471" s="30" t="s">
        <v>24</v>
      </c>
      <c r="O471" s="30" t="s">
        <v>1542</v>
      </c>
      <c r="P471" s="30" t="s">
        <v>1542</v>
      </c>
      <c r="Q471" s="30" t="str">
        <f t="shared" si="35"/>
        <v>AM</v>
      </c>
      <c r="R471" s="30" t="str">
        <f t="shared" si="36"/>
        <v>DM</v>
      </c>
      <c r="S471" s="30" t="str">
        <f>VLOOKUP(M471,'Data - Employee Rights Master'!$C$3:$D$32,2,0)</f>
        <v>AM</v>
      </c>
      <c r="T471" s="30" t="str">
        <f>VLOOKUP(N471,'Data - Employee Rights Master'!$C$3:$D$32,2,0)</f>
        <v>DM</v>
      </c>
      <c r="U471" s="41" t="str">
        <f t="shared" si="37"/>
        <v>PASS</v>
      </c>
      <c r="V471" s="41" t="str">
        <f t="shared" si="38"/>
        <v>NA</v>
      </c>
      <c r="W471" s="30" t="str">
        <f t="shared" si="39"/>
        <v>2122</v>
      </c>
      <c r="X471" s="30" t="str">
        <f>VLOOKUP(MONTH(G471),Key!$F$3:$G$14,2,0)</f>
        <v>Nov</v>
      </c>
      <c r="Y471" s="30" t="str">
        <f>IFERROR(IF(MATCH(F471,'Test 6'!C$5:C$9,0)&gt;0,"RP"),"NON-RP")</f>
        <v>NON-RP</v>
      </c>
    </row>
    <row r="472" spans="2:25" x14ac:dyDescent="0.5">
      <c r="B472" s="30">
        <v>468</v>
      </c>
      <c r="C472" s="30" t="s">
        <v>1033</v>
      </c>
      <c r="D472" s="31">
        <v>2122209</v>
      </c>
      <c r="E472" s="30" t="s">
        <v>1034</v>
      </c>
      <c r="F472" s="53" t="s">
        <v>577</v>
      </c>
      <c r="G472" s="32">
        <v>44506</v>
      </c>
      <c r="H472" s="33">
        <v>0.8291898148148148</v>
      </c>
      <c r="I472" s="30" t="s">
        <v>428</v>
      </c>
      <c r="J472" s="34">
        <v>4817700</v>
      </c>
      <c r="K472" s="35" t="s">
        <v>17</v>
      </c>
      <c r="L472" s="36">
        <v>867186</v>
      </c>
      <c r="M472" s="30" t="s">
        <v>41</v>
      </c>
      <c r="N472" s="30" t="s">
        <v>42</v>
      </c>
      <c r="O472" s="30" t="s">
        <v>1542</v>
      </c>
      <c r="P472" s="30" t="s">
        <v>1542</v>
      </c>
      <c r="Q472" s="30" t="str">
        <f t="shared" si="35"/>
        <v>CM</v>
      </c>
      <c r="R472" s="30" t="str">
        <f t="shared" si="36"/>
        <v>CFO</v>
      </c>
      <c r="S472" s="30" t="str">
        <f>VLOOKUP(M472,'Data - Employee Rights Master'!$C$3:$D$32,2,0)</f>
        <v>CM</v>
      </c>
      <c r="T472" s="30" t="str">
        <f>VLOOKUP(N472,'Data - Employee Rights Master'!$C$3:$D$32,2,0)</f>
        <v>CFO</v>
      </c>
      <c r="U472" s="41" t="str">
        <f t="shared" si="37"/>
        <v>PASS</v>
      </c>
      <c r="V472" s="41" t="str">
        <f t="shared" si="38"/>
        <v>NA</v>
      </c>
      <c r="W472" s="30" t="str">
        <f t="shared" si="39"/>
        <v>2122</v>
      </c>
      <c r="X472" s="30" t="str">
        <f>VLOOKUP(MONTH(G472),Key!$F$3:$G$14,2,0)</f>
        <v>Nov</v>
      </c>
      <c r="Y472" s="30" t="str">
        <f>IFERROR(IF(MATCH(F472,'Test 6'!C$5:C$9,0)&gt;0,"RP"),"NON-RP")</f>
        <v>RP</v>
      </c>
    </row>
    <row r="473" spans="2:25" x14ac:dyDescent="0.5">
      <c r="B473" s="30">
        <v>469</v>
      </c>
      <c r="C473" s="30" t="s">
        <v>1035</v>
      </c>
      <c r="D473" s="31">
        <v>2122210</v>
      </c>
      <c r="E473" s="30" t="s">
        <v>1036</v>
      </c>
      <c r="F473" s="53" t="s">
        <v>229</v>
      </c>
      <c r="G473" s="32">
        <v>44508</v>
      </c>
      <c r="H473" s="33">
        <v>0.64379058681027279</v>
      </c>
      <c r="I473" s="30" t="s">
        <v>428</v>
      </c>
      <c r="J473" s="34">
        <v>314800</v>
      </c>
      <c r="K473" s="35" t="s">
        <v>17</v>
      </c>
      <c r="L473" s="36">
        <v>56664</v>
      </c>
      <c r="M473" s="30" t="s">
        <v>61</v>
      </c>
      <c r="N473" s="30" t="s">
        <v>47</v>
      </c>
      <c r="O473" s="30" t="s">
        <v>1542</v>
      </c>
      <c r="P473" s="30" t="s">
        <v>1542</v>
      </c>
      <c r="Q473" s="30" t="str">
        <f t="shared" si="35"/>
        <v>AM</v>
      </c>
      <c r="R473" s="30" t="str">
        <f t="shared" si="36"/>
        <v>DM</v>
      </c>
      <c r="S473" s="30" t="str">
        <f>VLOOKUP(M473,'Data - Employee Rights Master'!$C$3:$D$32,2,0)</f>
        <v>AM</v>
      </c>
      <c r="T473" s="30" t="str">
        <f>VLOOKUP(N473,'Data - Employee Rights Master'!$C$3:$D$32,2,0)</f>
        <v>DM</v>
      </c>
      <c r="U473" s="41" t="str">
        <f t="shared" si="37"/>
        <v>PASS</v>
      </c>
      <c r="V473" s="41" t="str">
        <f t="shared" si="38"/>
        <v>NA</v>
      </c>
      <c r="W473" s="30" t="str">
        <f t="shared" si="39"/>
        <v>2122</v>
      </c>
      <c r="X473" s="30" t="str">
        <f>VLOOKUP(MONTH(G473),Key!$F$3:$G$14,2,0)</f>
        <v>Nov</v>
      </c>
      <c r="Y473" s="30" t="str">
        <f>IFERROR(IF(MATCH(F473,'Test 6'!C$5:C$9,0)&gt;0,"RP"),"NON-RP")</f>
        <v>NON-RP</v>
      </c>
    </row>
    <row r="474" spans="2:25" x14ac:dyDescent="0.5">
      <c r="B474" s="30">
        <v>470</v>
      </c>
      <c r="C474" s="30" t="s">
        <v>1311</v>
      </c>
      <c r="D474" s="31">
        <v>2122211</v>
      </c>
      <c r="E474" s="30" t="s">
        <v>1037</v>
      </c>
      <c r="F474" s="53" t="s">
        <v>293</v>
      </c>
      <c r="G474" s="32">
        <v>44509</v>
      </c>
      <c r="H474" s="33">
        <v>0.50781914799764383</v>
      </c>
      <c r="I474" s="30" t="s">
        <v>428</v>
      </c>
      <c r="J474" s="34">
        <v>357640</v>
      </c>
      <c r="K474" s="35" t="s">
        <v>17</v>
      </c>
      <c r="L474" s="36">
        <v>64375.199999999997</v>
      </c>
      <c r="M474" s="30" t="s">
        <v>32</v>
      </c>
      <c r="N474" s="30" t="s">
        <v>19</v>
      </c>
      <c r="O474" s="30" t="s">
        <v>1542</v>
      </c>
      <c r="P474" s="30" t="s">
        <v>1542</v>
      </c>
      <c r="Q474" s="30" t="str">
        <f t="shared" si="35"/>
        <v>AM</v>
      </c>
      <c r="R474" s="30" t="str">
        <f t="shared" si="36"/>
        <v>DM</v>
      </c>
      <c r="S474" s="30" t="str">
        <f>VLOOKUP(M474,'Data - Employee Rights Master'!$C$3:$D$32,2,0)</f>
        <v>AM</v>
      </c>
      <c r="T474" s="30" t="str">
        <f>VLOOKUP(N474,'Data - Employee Rights Master'!$C$3:$D$32,2,0)</f>
        <v>DM</v>
      </c>
      <c r="U474" s="41" t="str">
        <f t="shared" si="37"/>
        <v>PASS</v>
      </c>
      <c r="V474" s="41" t="str">
        <f t="shared" si="38"/>
        <v>NA</v>
      </c>
      <c r="W474" s="30" t="str">
        <f t="shared" si="39"/>
        <v>2122</v>
      </c>
      <c r="X474" s="30" t="str">
        <f>VLOOKUP(MONTH(G474),Key!$F$3:$G$14,2,0)</f>
        <v>Nov</v>
      </c>
      <c r="Y474" s="30" t="str">
        <f>IFERROR(IF(MATCH(F474,'Test 6'!C$5:C$9,0)&gt;0,"RP"),"NON-RP")</f>
        <v>NON-RP</v>
      </c>
    </row>
    <row r="475" spans="2:25" x14ac:dyDescent="0.5">
      <c r="B475" s="30">
        <v>471</v>
      </c>
      <c r="C475" s="30" t="s">
        <v>1038</v>
      </c>
      <c r="D475" s="31">
        <v>2122212</v>
      </c>
      <c r="E475" s="30" t="s">
        <v>1039</v>
      </c>
      <c r="F475" s="53" t="s">
        <v>72</v>
      </c>
      <c r="G475" s="32">
        <v>44509</v>
      </c>
      <c r="H475" s="33">
        <v>0.56350116180369758</v>
      </c>
      <c r="I475" s="30" t="s">
        <v>428</v>
      </c>
      <c r="J475" s="34">
        <v>450470</v>
      </c>
      <c r="K475" s="35" t="s">
        <v>17</v>
      </c>
      <c r="L475" s="36">
        <v>81084.599999999991</v>
      </c>
      <c r="M475" s="30" t="s">
        <v>23</v>
      </c>
      <c r="N475" s="30" t="s">
        <v>51</v>
      </c>
      <c r="O475" s="30" t="s">
        <v>1542</v>
      </c>
      <c r="P475" s="30" t="s">
        <v>1542</v>
      </c>
      <c r="Q475" s="30" t="str">
        <f t="shared" si="35"/>
        <v>AM</v>
      </c>
      <c r="R475" s="30" t="str">
        <f t="shared" si="36"/>
        <v>DM</v>
      </c>
      <c r="S475" s="30" t="str">
        <f>VLOOKUP(M475,'Data - Employee Rights Master'!$C$3:$D$32,2,0)</f>
        <v>AM</v>
      </c>
      <c r="T475" s="30" t="str">
        <f>VLOOKUP(N475,'Data - Employee Rights Master'!$C$3:$D$32,2,0)</f>
        <v>DM</v>
      </c>
      <c r="U475" s="41" t="str">
        <f t="shared" si="37"/>
        <v>PASS</v>
      </c>
      <c r="V475" s="41" t="str">
        <f t="shared" si="38"/>
        <v>NA</v>
      </c>
      <c r="W475" s="30" t="str">
        <f t="shared" si="39"/>
        <v>2122</v>
      </c>
      <c r="X475" s="30" t="str">
        <f>VLOOKUP(MONTH(G475),Key!$F$3:$G$14,2,0)</f>
        <v>Nov</v>
      </c>
      <c r="Y475" s="30" t="str">
        <f>IFERROR(IF(MATCH(F475,'Test 6'!C$5:C$9,0)&gt;0,"RP"),"NON-RP")</f>
        <v>NON-RP</v>
      </c>
    </row>
    <row r="476" spans="2:25" x14ac:dyDescent="0.5">
      <c r="B476" s="30">
        <v>472</v>
      </c>
      <c r="C476" s="30" t="s">
        <v>1040</v>
      </c>
      <c r="D476" s="31">
        <v>2122213</v>
      </c>
      <c r="E476" s="30" t="s">
        <v>1041</v>
      </c>
      <c r="F476" s="53" t="s">
        <v>111</v>
      </c>
      <c r="G476" s="32">
        <v>44507</v>
      </c>
      <c r="H476" s="33">
        <v>0.54517361111111107</v>
      </c>
      <c r="I476" s="30" t="s">
        <v>428</v>
      </c>
      <c r="J476" s="34">
        <v>4275330</v>
      </c>
      <c r="K476" s="35" t="s">
        <v>17</v>
      </c>
      <c r="L476" s="36">
        <v>769559.4</v>
      </c>
      <c r="M476" s="30" t="s">
        <v>701</v>
      </c>
      <c r="N476" s="30" t="s">
        <v>41</v>
      </c>
      <c r="O476" s="30" t="s">
        <v>1542</v>
      </c>
      <c r="P476" s="30" t="s">
        <v>1542</v>
      </c>
      <c r="Q476" s="30" t="str">
        <f t="shared" si="35"/>
        <v>SM</v>
      </c>
      <c r="R476" s="30" t="str">
        <f t="shared" si="36"/>
        <v>CM</v>
      </c>
      <c r="S476" s="30" t="str">
        <f>VLOOKUP(M476,'Data - Employee Rights Master'!$C$3:$D$32,2,0)</f>
        <v>SM</v>
      </c>
      <c r="T476" s="30" t="str">
        <f>VLOOKUP(N476,'Data - Employee Rights Master'!$C$3:$D$32,2,0)</f>
        <v>CM</v>
      </c>
      <c r="U476" s="41" t="str">
        <f t="shared" si="37"/>
        <v>PASS</v>
      </c>
      <c r="V476" s="41" t="str">
        <f t="shared" si="38"/>
        <v>NA</v>
      </c>
      <c r="W476" s="30" t="str">
        <f t="shared" si="39"/>
        <v>2122</v>
      </c>
      <c r="X476" s="30" t="str">
        <f>VLOOKUP(MONTH(G476),Key!$F$3:$G$14,2,0)</f>
        <v>Nov</v>
      </c>
      <c r="Y476" s="30" t="str">
        <f>IFERROR(IF(MATCH(F476,'Test 6'!C$5:C$9,0)&gt;0,"RP"),"NON-RP")</f>
        <v>RP</v>
      </c>
    </row>
    <row r="477" spans="2:25" x14ac:dyDescent="0.5">
      <c r="B477" s="30">
        <v>473</v>
      </c>
      <c r="C477" s="30" t="s">
        <v>1042</v>
      </c>
      <c r="D477" s="31">
        <v>2122214</v>
      </c>
      <c r="E477" s="30" t="s">
        <v>1043</v>
      </c>
      <c r="F477" s="53" t="s">
        <v>114</v>
      </c>
      <c r="G477" s="32">
        <v>44509</v>
      </c>
      <c r="H477" s="33">
        <v>0.70881198349078822</v>
      </c>
      <c r="I477" s="30" t="s">
        <v>428</v>
      </c>
      <c r="J477" s="34">
        <v>425000</v>
      </c>
      <c r="K477" s="35" t="s">
        <v>17</v>
      </c>
      <c r="L477" s="36">
        <v>76500</v>
      </c>
      <c r="M477" s="30" t="s">
        <v>46</v>
      </c>
      <c r="N477" s="30" t="s">
        <v>51</v>
      </c>
      <c r="O477" s="30" t="s">
        <v>1542</v>
      </c>
      <c r="P477" s="30" t="s">
        <v>1542</v>
      </c>
      <c r="Q477" s="30" t="str">
        <f t="shared" si="35"/>
        <v>AM</v>
      </c>
      <c r="R477" s="30" t="str">
        <f t="shared" si="36"/>
        <v>DM</v>
      </c>
      <c r="S477" s="30" t="str">
        <f>VLOOKUP(M477,'Data - Employee Rights Master'!$C$3:$D$32,2,0)</f>
        <v>AM</v>
      </c>
      <c r="T477" s="30" t="str">
        <f>VLOOKUP(N477,'Data - Employee Rights Master'!$C$3:$D$32,2,0)</f>
        <v>DM</v>
      </c>
      <c r="U477" s="41" t="str">
        <f t="shared" si="37"/>
        <v>PASS</v>
      </c>
      <c r="V477" s="41" t="str">
        <f t="shared" si="38"/>
        <v>NA</v>
      </c>
      <c r="W477" s="30" t="str">
        <f t="shared" si="39"/>
        <v>2122</v>
      </c>
      <c r="X477" s="30" t="str">
        <f>VLOOKUP(MONTH(G477),Key!$F$3:$G$14,2,0)</f>
        <v>Nov</v>
      </c>
      <c r="Y477" s="30" t="str">
        <f>IFERROR(IF(MATCH(F477,'Test 6'!C$5:C$9,0)&gt;0,"RP"),"NON-RP")</f>
        <v>NON-RP</v>
      </c>
    </row>
    <row r="478" spans="2:25" x14ac:dyDescent="0.5">
      <c r="B478" s="30">
        <v>474</v>
      </c>
      <c r="C478" s="30" t="s">
        <v>1044</v>
      </c>
      <c r="D478" s="31">
        <v>2122215</v>
      </c>
      <c r="E478" s="30" t="s">
        <v>1045</v>
      </c>
      <c r="F478" s="53" t="s">
        <v>95</v>
      </c>
      <c r="G478" s="32">
        <v>44510</v>
      </c>
      <c r="H478" s="33">
        <v>0.49729200397454165</v>
      </c>
      <c r="I478" s="30" t="s">
        <v>428</v>
      </c>
      <c r="J478" s="34">
        <v>399870</v>
      </c>
      <c r="K478" s="35" t="s">
        <v>17</v>
      </c>
      <c r="L478" s="36">
        <v>71976.599999999991</v>
      </c>
      <c r="M478" s="30" t="s">
        <v>23</v>
      </c>
      <c r="N478" s="30" t="s">
        <v>24</v>
      </c>
      <c r="O478" s="30" t="s">
        <v>1542</v>
      </c>
      <c r="P478" s="30" t="s">
        <v>1542</v>
      </c>
      <c r="Q478" s="30" t="str">
        <f t="shared" si="35"/>
        <v>AM</v>
      </c>
      <c r="R478" s="30" t="str">
        <f t="shared" si="36"/>
        <v>DM</v>
      </c>
      <c r="S478" s="30" t="str">
        <f>VLOOKUP(M478,'Data - Employee Rights Master'!$C$3:$D$32,2,0)</f>
        <v>AM</v>
      </c>
      <c r="T478" s="30" t="str">
        <f>VLOOKUP(N478,'Data - Employee Rights Master'!$C$3:$D$32,2,0)</f>
        <v>DM</v>
      </c>
      <c r="U478" s="41" t="str">
        <f t="shared" si="37"/>
        <v>PASS</v>
      </c>
      <c r="V478" s="41" t="str">
        <f t="shared" si="38"/>
        <v>NA</v>
      </c>
      <c r="W478" s="30" t="str">
        <f t="shared" si="39"/>
        <v>2122</v>
      </c>
      <c r="X478" s="30" t="str">
        <f>VLOOKUP(MONTH(G478),Key!$F$3:$G$14,2,0)</f>
        <v>Nov</v>
      </c>
      <c r="Y478" s="30" t="str">
        <f>IFERROR(IF(MATCH(F478,'Test 6'!C$5:C$9,0)&gt;0,"RP"),"NON-RP")</f>
        <v>NON-RP</v>
      </c>
    </row>
    <row r="479" spans="2:25" x14ac:dyDescent="0.5">
      <c r="B479" s="30">
        <v>475</v>
      </c>
      <c r="C479" s="30" t="s">
        <v>1046</v>
      </c>
      <c r="D479" s="31">
        <v>2122216</v>
      </c>
      <c r="E479" s="30" t="s">
        <v>1047</v>
      </c>
      <c r="F479" s="53" t="s">
        <v>184</v>
      </c>
      <c r="G479" s="32">
        <v>44511</v>
      </c>
      <c r="H479" s="33">
        <v>0.64094226189235881</v>
      </c>
      <c r="I479" s="30" t="s">
        <v>428</v>
      </c>
      <c r="J479" s="34">
        <v>462420</v>
      </c>
      <c r="K479" s="35" t="s">
        <v>17</v>
      </c>
      <c r="L479" s="36">
        <v>83235.599999999991</v>
      </c>
      <c r="M479" s="30" t="s">
        <v>61</v>
      </c>
      <c r="N479" s="30" t="s">
        <v>24</v>
      </c>
      <c r="O479" s="30" t="s">
        <v>1542</v>
      </c>
      <c r="P479" s="30" t="s">
        <v>1542</v>
      </c>
      <c r="Q479" s="30" t="str">
        <f t="shared" si="35"/>
        <v>AM</v>
      </c>
      <c r="R479" s="30" t="str">
        <f t="shared" si="36"/>
        <v>DM</v>
      </c>
      <c r="S479" s="30" t="str">
        <f>VLOOKUP(M479,'Data - Employee Rights Master'!$C$3:$D$32,2,0)</f>
        <v>AM</v>
      </c>
      <c r="T479" s="30" t="str">
        <f>VLOOKUP(N479,'Data - Employee Rights Master'!$C$3:$D$32,2,0)</f>
        <v>DM</v>
      </c>
      <c r="U479" s="41" t="str">
        <f t="shared" si="37"/>
        <v>PASS</v>
      </c>
      <c r="V479" s="41" t="str">
        <f t="shared" si="38"/>
        <v>NA</v>
      </c>
      <c r="W479" s="30" t="str">
        <f t="shared" si="39"/>
        <v>2122</v>
      </c>
      <c r="X479" s="30" t="str">
        <f>VLOOKUP(MONTH(G479),Key!$F$3:$G$14,2,0)</f>
        <v>Nov</v>
      </c>
      <c r="Y479" s="30" t="str">
        <f>IFERROR(IF(MATCH(F479,'Test 6'!C$5:C$9,0)&gt;0,"RP"),"NON-RP")</f>
        <v>NON-RP</v>
      </c>
    </row>
    <row r="480" spans="2:25" x14ac:dyDescent="0.5">
      <c r="B480" s="30">
        <v>476</v>
      </c>
      <c r="C480" s="30" t="s">
        <v>1048</v>
      </c>
      <c r="D480" s="31">
        <v>2122217</v>
      </c>
      <c r="E480" s="30" t="s">
        <v>1049</v>
      </c>
      <c r="F480" s="53" t="s">
        <v>241</v>
      </c>
      <c r="G480" s="32">
        <v>44514</v>
      </c>
      <c r="H480" s="33">
        <v>0.48401620370370368</v>
      </c>
      <c r="I480" s="30" t="s">
        <v>428</v>
      </c>
      <c r="J480" s="34">
        <v>4441560</v>
      </c>
      <c r="K480" s="35" t="s">
        <v>17</v>
      </c>
      <c r="L480" s="36">
        <v>799480.79999999993</v>
      </c>
      <c r="M480" s="30" t="s">
        <v>701</v>
      </c>
      <c r="N480" s="30" t="s">
        <v>41</v>
      </c>
      <c r="O480" s="30" t="s">
        <v>1542</v>
      </c>
      <c r="P480" s="30" t="s">
        <v>1542</v>
      </c>
      <c r="Q480" s="30" t="str">
        <f t="shared" si="35"/>
        <v>SM</v>
      </c>
      <c r="R480" s="30" t="str">
        <f t="shared" si="36"/>
        <v>CM</v>
      </c>
      <c r="S480" s="30" t="str">
        <f>VLOOKUP(M480,'Data - Employee Rights Master'!$C$3:$D$32,2,0)</f>
        <v>SM</v>
      </c>
      <c r="T480" s="30" t="str">
        <f>VLOOKUP(N480,'Data - Employee Rights Master'!$C$3:$D$32,2,0)</f>
        <v>CM</v>
      </c>
      <c r="U480" s="41" t="str">
        <f t="shared" si="37"/>
        <v>PASS</v>
      </c>
      <c r="V480" s="41" t="str">
        <f t="shared" si="38"/>
        <v>NA</v>
      </c>
      <c r="W480" s="30" t="str">
        <f t="shared" si="39"/>
        <v>2122</v>
      </c>
      <c r="X480" s="30" t="str">
        <f>VLOOKUP(MONTH(G480),Key!$F$3:$G$14,2,0)</f>
        <v>Nov</v>
      </c>
      <c r="Y480" s="30" t="str">
        <f>IFERROR(IF(MATCH(F480,'Test 6'!C$5:C$9,0)&gt;0,"RP"),"NON-RP")</f>
        <v>RP</v>
      </c>
    </row>
    <row r="481" spans="2:25" x14ac:dyDescent="0.5">
      <c r="B481" s="30">
        <v>477</v>
      </c>
      <c r="C481" s="30" t="s">
        <v>1050</v>
      </c>
      <c r="D481" s="31">
        <v>2122218</v>
      </c>
      <c r="E481" s="30" t="s">
        <v>1051</v>
      </c>
      <c r="F481" s="53" t="s">
        <v>64</v>
      </c>
      <c r="G481" s="32">
        <v>44512</v>
      </c>
      <c r="H481" s="33">
        <v>0.47827502158889312</v>
      </c>
      <c r="I481" s="30" t="s">
        <v>428</v>
      </c>
      <c r="J481" s="34">
        <v>473280</v>
      </c>
      <c r="K481" s="35" t="s">
        <v>17</v>
      </c>
      <c r="L481" s="36">
        <v>85190.399999999994</v>
      </c>
      <c r="M481" s="30" t="s">
        <v>23</v>
      </c>
      <c r="N481" s="30" t="s">
        <v>47</v>
      </c>
      <c r="O481" s="30" t="s">
        <v>1542</v>
      </c>
      <c r="P481" s="30" t="s">
        <v>1542</v>
      </c>
      <c r="Q481" s="30" t="str">
        <f t="shared" si="35"/>
        <v>AM</v>
      </c>
      <c r="R481" s="30" t="str">
        <f t="shared" si="36"/>
        <v>DM</v>
      </c>
      <c r="S481" s="30" t="str">
        <f>VLOOKUP(M481,'Data - Employee Rights Master'!$C$3:$D$32,2,0)</f>
        <v>AM</v>
      </c>
      <c r="T481" s="30" t="str">
        <f>VLOOKUP(N481,'Data - Employee Rights Master'!$C$3:$D$32,2,0)</f>
        <v>DM</v>
      </c>
      <c r="U481" s="41" t="str">
        <f t="shared" si="37"/>
        <v>PASS</v>
      </c>
      <c r="V481" s="41" t="str">
        <f t="shared" si="38"/>
        <v>NA</v>
      </c>
      <c r="W481" s="30" t="str">
        <f t="shared" si="39"/>
        <v>2122</v>
      </c>
      <c r="X481" s="30" t="str">
        <f>VLOOKUP(MONTH(G481),Key!$F$3:$G$14,2,0)</f>
        <v>Nov</v>
      </c>
      <c r="Y481" s="30" t="str">
        <f>IFERROR(IF(MATCH(F481,'Test 6'!C$5:C$9,0)&gt;0,"RP"),"NON-RP")</f>
        <v>NON-RP</v>
      </c>
    </row>
    <row r="482" spans="2:25" x14ac:dyDescent="0.5">
      <c r="B482" s="30">
        <v>478</v>
      </c>
      <c r="C482" s="30" t="s">
        <v>1052</v>
      </c>
      <c r="D482" s="31">
        <v>2122219</v>
      </c>
      <c r="E482" s="30" t="s">
        <v>1053</v>
      </c>
      <c r="F482" s="53" t="s">
        <v>103</v>
      </c>
      <c r="G482" s="32">
        <v>44512</v>
      </c>
      <c r="H482" s="33">
        <v>0.59832675788642131</v>
      </c>
      <c r="I482" s="30" t="s">
        <v>428</v>
      </c>
      <c r="J482" s="34">
        <v>408230</v>
      </c>
      <c r="K482" s="35" t="s">
        <v>17</v>
      </c>
      <c r="L482" s="36">
        <v>73481.399999999994</v>
      </c>
      <c r="M482" s="30" t="s">
        <v>32</v>
      </c>
      <c r="N482" s="30" t="s">
        <v>24</v>
      </c>
      <c r="O482" s="30" t="s">
        <v>1542</v>
      </c>
      <c r="P482" s="30" t="s">
        <v>1542</v>
      </c>
      <c r="Q482" s="30" t="str">
        <f t="shared" si="35"/>
        <v>AM</v>
      </c>
      <c r="R482" s="30" t="str">
        <f t="shared" si="36"/>
        <v>DM</v>
      </c>
      <c r="S482" s="30" t="str">
        <f>VLOOKUP(M482,'Data - Employee Rights Master'!$C$3:$D$32,2,0)</f>
        <v>AM</v>
      </c>
      <c r="T482" s="30" t="str">
        <f>VLOOKUP(N482,'Data - Employee Rights Master'!$C$3:$D$32,2,0)</f>
        <v>DM</v>
      </c>
      <c r="U482" s="41" t="str">
        <f t="shared" si="37"/>
        <v>PASS</v>
      </c>
      <c r="V482" s="41" t="str">
        <f t="shared" si="38"/>
        <v>NA</v>
      </c>
      <c r="W482" s="30" t="str">
        <f t="shared" si="39"/>
        <v>2122</v>
      </c>
      <c r="X482" s="30" t="str">
        <f>VLOOKUP(MONTH(G482),Key!$F$3:$G$14,2,0)</f>
        <v>Nov</v>
      </c>
      <c r="Y482" s="30" t="str">
        <f>IFERROR(IF(MATCH(F482,'Test 6'!C$5:C$9,0)&gt;0,"RP"),"NON-RP")</f>
        <v>NON-RP</v>
      </c>
    </row>
    <row r="483" spans="2:25" x14ac:dyDescent="0.5">
      <c r="B483" s="30">
        <v>479</v>
      </c>
      <c r="C483" s="30" t="s">
        <v>1054</v>
      </c>
      <c r="D483" s="31">
        <v>2122220</v>
      </c>
      <c r="E483" s="30" t="s">
        <v>1055</v>
      </c>
      <c r="F483" s="53" t="s">
        <v>45</v>
      </c>
      <c r="G483" s="32">
        <v>44513</v>
      </c>
      <c r="H483" s="33">
        <v>0.57762483883787019</v>
      </c>
      <c r="I483" s="30" t="s">
        <v>428</v>
      </c>
      <c r="J483" s="34">
        <v>331750</v>
      </c>
      <c r="K483" s="35" t="s">
        <v>17</v>
      </c>
      <c r="L483" s="36">
        <v>59715</v>
      </c>
      <c r="M483" s="30" t="s">
        <v>61</v>
      </c>
      <c r="N483" s="30" t="s">
        <v>24</v>
      </c>
      <c r="O483" s="30" t="s">
        <v>1542</v>
      </c>
      <c r="P483" s="30" t="s">
        <v>1542</v>
      </c>
      <c r="Q483" s="30" t="str">
        <f t="shared" si="35"/>
        <v>AM</v>
      </c>
      <c r="R483" s="30" t="str">
        <f t="shared" si="36"/>
        <v>DM</v>
      </c>
      <c r="S483" s="30" t="str">
        <f>VLOOKUP(M483,'Data - Employee Rights Master'!$C$3:$D$32,2,0)</f>
        <v>AM</v>
      </c>
      <c r="T483" s="30" t="str">
        <f>VLOOKUP(N483,'Data - Employee Rights Master'!$C$3:$D$32,2,0)</f>
        <v>DM</v>
      </c>
      <c r="U483" s="41" t="str">
        <f t="shared" si="37"/>
        <v>PASS</v>
      </c>
      <c r="V483" s="41" t="str">
        <f t="shared" si="38"/>
        <v>NA</v>
      </c>
      <c r="W483" s="30" t="str">
        <f t="shared" si="39"/>
        <v>2122</v>
      </c>
      <c r="X483" s="30" t="str">
        <f>VLOOKUP(MONTH(G483),Key!$F$3:$G$14,2,0)</f>
        <v>Nov</v>
      </c>
      <c r="Y483" s="30" t="str">
        <f>IFERROR(IF(MATCH(F483,'Test 6'!C$5:C$9,0)&gt;0,"RP"),"NON-RP")</f>
        <v>NON-RP</v>
      </c>
    </row>
    <row r="484" spans="2:25" x14ac:dyDescent="0.5">
      <c r="B484" s="30">
        <v>480</v>
      </c>
      <c r="C484" s="30" t="s">
        <v>1056</v>
      </c>
      <c r="D484" s="31">
        <v>2122221</v>
      </c>
      <c r="E484" s="30" t="s">
        <v>1057</v>
      </c>
      <c r="F484" s="53" t="s">
        <v>114</v>
      </c>
      <c r="G484" s="32">
        <v>44519</v>
      </c>
      <c r="H484" s="33">
        <v>0.63579851869083148</v>
      </c>
      <c r="I484" s="30" t="s">
        <v>428</v>
      </c>
      <c r="J484" s="34">
        <v>223880</v>
      </c>
      <c r="K484" s="35" t="s">
        <v>17</v>
      </c>
      <c r="L484" s="36">
        <v>40298.400000000001</v>
      </c>
      <c r="M484" s="30" t="s">
        <v>18</v>
      </c>
      <c r="N484" s="30" t="s">
        <v>68</v>
      </c>
      <c r="O484" s="30" t="s">
        <v>1542</v>
      </c>
      <c r="P484" s="30" t="s">
        <v>1542</v>
      </c>
      <c r="Q484" s="30" t="str">
        <f t="shared" si="35"/>
        <v>AM</v>
      </c>
      <c r="R484" s="30" t="str">
        <f t="shared" si="36"/>
        <v>DM</v>
      </c>
      <c r="S484" s="30" t="str">
        <f>VLOOKUP(M484,'Data - Employee Rights Master'!$C$3:$D$32,2,0)</f>
        <v>AM</v>
      </c>
      <c r="T484" s="30" t="str">
        <f>VLOOKUP(N484,'Data - Employee Rights Master'!$C$3:$D$32,2,0)</f>
        <v>DM</v>
      </c>
      <c r="U484" s="41" t="str">
        <f t="shared" si="37"/>
        <v>PASS</v>
      </c>
      <c r="V484" s="41" t="str">
        <f t="shared" si="38"/>
        <v>NA</v>
      </c>
      <c r="W484" s="30" t="str">
        <f t="shared" si="39"/>
        <v>2122</v>
      </c>
      <c r="X484" s="30" t="str">
        <f>VLOOKUP(MONTH(G484),Key!$F$3:$G$14,2,0)</f>
        <v>Nov</v>
      </c>
      <c r="Y484" s="30" t="str">
        <f>IFERROR(IF(MATCH(F484,'Test 6'!C$5:C$9,0)&gt;0,"RP"),"NON-RP")</f>
        <v>NON-RP</v>
      </c>
    </row>
    <row r="485" spans="2:25" x14ac:dyDescent="0.5">
      <c r="B485" s="30">
        <v>481</v>
      </c>
      <c r="C485" s="30" t="s">
        <v>1058</v>
      </c>
      <c r="D485" s="31">
        <v>2122222</v>
      </c>
      <c r="E485" s="30" t="s">
        <v>1059</v>
      </c>
      <c r="F485" s="53" t="s">
        <v>293</v>
      </c>
      <c r="G485" s="32">
        <v>44523</v>
      </c>
      <c r="H485" s="33">
        <v>0.69030465825230169</v>
      </c>
      <c r="I485" s="30" t="s">
        <v>428</v>
      </c>
      <c r="J485" s="34">
        <v>12222570</v>
      </c>
      <c r="K485" s="35" t="s">
        <v>17</v>
      </c>
      <c r="L485" s="36">
        <v>2200062.6</v>
      </c>
      <c r="M485" s="30" t="s">
        <v>41</v>
      </c>
      <c r="N485" s="30" t="s">
        <v>42</v>
      </c>
      <c r="O485" s="30" t="s">
        <v>1575</v>
      </c>
      <c r="P485" s="30" t="s">
        <v>1586</v>
      </c>
      <c r="Q485" s="30" t="str">
        <f t="shared" si="35"/>
        <v>CM</v>
      </c>
      <c r="R485" s="30" t="str">
        <f t="shared" si="36"/>
        <v>CFO</v>
      </c>
      <c r="S485" s="30" t="str">
        <f>VLOOKUP(M485,'Data - Employee Rights Master'!$C$3:$D$32,2,0)</f>
        <v>CM</v>
      </c>
      <c r="T485" s="30" t="str">
        <f>VLOOKUP(N485,'Data - Employee Rights Master'!$C$3:$D$32,2,0)</f>
        <v>CFO</v>
      </c>
      <c r="U485" s="41" t="str">
        <f t="shared" si="37"/>
        <v>PASS</v>
      </c>
      <c r="V485" s="41" t="str">
        <f t="shared" si="38"/>
        <v>PASS</v>
      </c>
      <c r="W485" s="30" t="str">
        <f t="shared" si="39"/>
        <v>2122</v>
      </c>
      <c r="X485" s="30" t="str">
        <f>VLOOKUP(MONTH(G485),Key!$F$3:$G$14,2,0)</f>
        <v>Nov</v>
      </c>
      <c r="Y485" s="30" t="str">
        <f>IFERROR(IF(MATCH(F485,'Test 6'!C$5:C$9,0)&gt;0,"RP"),"NON-RP")</f>
        <v>NON-RP</v>
      </c>
    </row>
    <row r="486" spans="2:25" x14ac:dyDescent="0.5">
      <c r="B486" s="30">
        <v>482</v>
      </c>
      <c r="C486" s="30" t="s">
        <v>1060</v>
      </c>
      <c r="D486" s="31">
        <v>2122223</v>
      </c>
      <c r="E486" s="30" t="s">
        <v>1061</v>
      </c>
      <c r="F486" s="53" t="s">
        <v>40</v>
      </c>
      <c r="G486" s="32">
        <v>44525</v>
      </c>
      <c r="H486" s="33">
        <v>0.67735732162980011</v>
      </c>
      <c r="I486" s="30" t="s">
        <v>383</v>
      </c>
      <c r="J486" s="34">
        <v>285500</v>
      </c>
      <c r="K486" s="35" t="s">
        <v>17</v>
      </c>
      <c r="L486" s="36">
        <v>51390</v>
      </c>
      <c r="M486" s="30" t="s">
        <v>37</v>
      </c>
      <c r="N486" s="30" t="s">
        <v>68</v>
      </c>
      <c r="O486" s="30" t="s">
        <v>1542</v>
      </c>
      <c r="P486" s="30" t="s">
        <v>1542</v>
      </c>
      <c r="Q486" s="30" t="str">
        <f t="shared" si="35"/>
        <v>AM</v>
      </c>
      <c r="R486" s="30" t="str">
        <f t="shared" si="36"/>
        <v>DM</v>
      </c>
      <c r="S486" s="30" t="str">
        <f>VLOOKUP(M486,'Data - Employee Rights Master'!$C$3:$D$32,2,0)</f>
        <v>AM</v>
      </c>
      <c r="T486" s="30" t="str">
        <f>VLOOKUP(N486,'Data - Employee Rights Master'!$C$3:$D$32,2,0)</f>
        <v>DM</v>
      </c>
      <c r="U486" s="41" t="str">
        <f t="shared" si="37"/>
        <v>PASS</v>
      </c>
      <c r="V486" s="41" t="str">
        <f t="shared" si="38"/>
        <v>NA</v>
      </c>
      <c r="W486" s="30" t="str">
        <f t="shared" si="39"/>
        <v>2122</v>
      </c>
      <c r="X486" s="30" t="str">
        <f>VLOOKUP(MONTH(G486),Key!$F$3:$G$14,2,0)</f>
        <v>Nov</v>
      </c>
      <c r="Y486" s="30" t="str">
        <f>IFERROR(IF(MATCH(F486,'Test 6'!C$5:C$9,0)&gt;0,"RP"),"NON-RP")</f>
        <v>NON-RP</v>
      </c>
    </row>
    <row r="487" spans="2:25" x14ac:dyDescent="0.5">
      <c r="B487" s="30">
        <v>483</v>
      </c>
      <c r="C487" s="30" t="s">
        <v>1062</v>
      </c>
      <c r="D487" s="31">
        <v>2122224</v>
      </c>
      <c r="E487" s="30" t="s">
        <v>1063</v>
      </c>
      <c r="F487" s="53" t="s">
        <v>27</v>
      </c>
      <c r="G487" s="32">
        <v>44525</v>
      </c>
      <c r="H487" s="33">
        <v>0.48419614770690833</v>
      </c>
      <c r="I487" s="30" t="s">
        <v>428</v>
      </c>
      <c r="J487" s="34">
        <v>302180</v>
      </c>
      <c r="K487" s="35" t="s">
        <v>17</v>
      </c>
      <c r="L487" s="36">
        <v>54392.4</v>
      </c>
      <c r="M487" s="30" t="s">
        <v>32</v>
      </c>
      <c r="N487" s="30" t="s">
        <v>47</v>
      </c>
      <c r="O487" s="30" t="s">
        <v>1542</v>
      </c>
      <c r="P487" s="30" t="s">
        <v>1542</v>
      </c>
      <c r="Q487" s="30" t="str">
        <f t="shared" si="35"/>
        <v>AM</v>
      </c>
      <c r="R487" s="30" t="str">
        <f t="shared" si="36"/>
        <v>DM</v>
      </c>
      <c r="S487" s="30" t="str">
        <f>VLOOKUP(M487,'Data - Employee Rights Master'!$C$3:$D$32,2,0)</f>
        <v>AM</v>
      </c>
      <c r="T487" s="30" t="str">
        <f>VLOOKUP(N487,'Data - Employee Rights Master'!$C$3:$D$32,2,0)</f>
        <v>DM</v>
      </c>
      <c r="U487" s="41" t="str">
        <f t="shared" si="37"/>
        <v>PASS</v>
      </c>
      <c r="V487" s="41" t="str">
        <f t="shared" si="38"/>
        <v>NA</v>
      </c>
      <c r="W487" s="30" t="str">
        <f t="shared" si="39"/>
        <v>2122</v>
      </c>
      <c r="X487" s="30" t="str">
        <f>VLOOKUP(MONTH(G487),Key!$F$3:$G$14,2,0)</f>
        <v>Nov</v>
      </c>
      <c r="Y487" s="30" t="str">
        <f>IFERROR(IF(MATCH(F487,'Test 6'!C$5:C$9,0)&gt;0,"RP"),"NON-RP")</f>
        <v>NON-RP</v>
      </c>
    </row>
    <row r="488" spans="2:25" x14ac:dyDescent="0.5">
      <c r="B488" s="30">
        <v>484</v>
      </c>
      <c r="C488" s="30" t="s">
        <v>1064</v>
      </c>
      <c r="D488" s="31">
        <v>2122225</v>
      </c>
      <c r="E488" s="30" t="s">
        <v>1065</v>
      </c>
      <c r="F488" s="53" t="s">
        <v>272</v>
      </c>
      <c r="G488" s="32">
        <v>44526</v>
      </c>
      <c r="H488" s="33">
        <v>0.61716080541925789</v>
      </c>
      <c r="I488" s="30" t="s">
        <v>428</v>
      </c>
      <c r="J488" s="34">
        <v>367010</v>
      </c>
      <c r="K488" s="35" t="s">
        <v>17</v>
      </c>
      <c r="L488" s="36">
        <v>66061.8</v>
      </c>
      <c r="M488" s="30" t="s">
        <v>23</v>
      </c>
      <c r="N488" s="30" t="s">
        <v>51</v>
      </c>
      <c r="O488" s="30" t="s">
        <v>1542</v>
      </c>
      <c r="P488" s="30" t="s">
        <v>1542</v>
      </c>
      <c r="Q488" s="30" t="str">
        <f t="shared" si="35"/>
        <v>AM</v>
      </c>
      <c r="R488" s="30" t="str">
        <f t="shared" si="36"/>
        <v>DM</v>
      </c>
      <c r="S488" s="30" t="str">
        <f>VLOOKUP(M488,'Data - Employee Rights Master'!$C$3:$D$32,2,0)</f>
        <v>AM</v>
      </c>
      <c r="T488" s="30" t="str">
        <f>VLOOKUP(N488,'Data - Employee Rights Master'!$C$3:$D$32,2,0)</f>
        <v>DM</v>
      </c>
      <c r="U488" s="41" t="str">
        <f t="shared" si="37"/>
        <v>PASS</v>
      </c>
      <c r="V488" s="41" t="str">
        <f t="shared" si="38"/>
        <v>NA</v>
      </c>
      <c r="W488" s="30" t="str">
        <f t="shared" si="39"/>
        <v>2122</v>
      </c>
      <c r="X488" s="30" t="str">
        <f>VLOOKUP(MONTH(G488),Key!$F$3:$G$14,2,0)</f>
        <v>Nov</v>
      </c>
      <c r="Y488" s="30" t="str">
        <f>IFERROR(IF(MATCH(F488,'Test 6'!C$5:C$9,0)&gt;0,"RP"),"NON-RP")</f>
        <v>NON-RP</v>
      </c>
    </row>
    <row r="489" spans="2:25" x14ac:dyDescent="0.5">
      <c r="B489" s="30">
        <v>485</v>
      </c>
      <c r="C489" s="30" t="s">
        <v>1066</v>
      </c>
      <c r="D489" s="31">
        <v>2122226</v>
      </c>
      <c r="E489" s="30" t="s">
        <v>1067</v>
      </c>
      <c r="F489" s="53" t="s">
        <v>27</v>
      </c>
      <c r="G489" s="32">
        <v>44526</v>
      </c>
      <c r="H489" s="33">
        <v>0.46993797375134161</v>
      </c>
      <c r="I489" s="30" t="s">
        <v>428</v>
      </c>
      <c r="J489" s="34">
        <v>26260</v>
      </c>
      <c r="K489" s="35" t="s">
        <v>17</v>
      </c>
      <c r="L489" s="36">
        <v>4726.8</v>
      </c>
      <c r="M489" s="30" t="s">
        <v>106</v>
      </c>
      <c r="N489" s="30" t="s">
        <v>37</v>
      </c>
      <c r="O489" s="30" t="s">
        <v>1542</v>
      </c>
      <c r="P489" s="30" t="s">
        <v>1542</v>
      </c>
      <c r="Q489" s="30" t="str">
        <f t="shared" si="35"/>
        <v>SE</v>
      </c>
      <c r="R489" s="30" t="str">
        <f t="shared" si="36"/>
        <v>AM</v>
      </c>
      <c r="S489" s="30" t="str">
        <f>VLOOKUP(M489,'Data - Employee Rights Master'!$C$3:$D$32,2,0)</f>
        <v>SE</v>
      </c>
      <c r="T489" s="30" t="str">
        <f>VLOOKUP(N489,'Data - Employee Rights Master'!$C$3:$D$32,2,0)</f>
        <v>AM</v>
      </c>
      <c r="U489" s="41" t="str">
        <f t="shared" si="37"/>
        <v>PASS</v>
      </c>
      <c r="V489" s="41" t="str">
        <f t="shared" si="38"/>
        <v>NA</v>
      </c>
      <c r="W489" s="30" t="str">
        <f t="shared" si="39"/>
        <v>2122</v>
      </c>
      <c r="X489" s="30" t="str">
        <f>VLOOKUP(MONTH(G489),Key!$F$3:$G$14,2,0)</f>
        <v>Nov</v>
      </c>
      <c r="Y489" s="30" t="str">
        <f>IFERROR(IF(MATCH(F489,'Test 6'!C$5:C$9,0)&gt;0,"RP"),"NON-RP")</f>
        <v>NON-RP</v>
      </c>
    </row>
    <row r="490" spans="2:25" x14ac:dyDescent="0.5">
      <c r="B490" s="30">
        <v>486</v>
      </c>
      <c r="C490" s="30" t="s">
        <v>1068</v>
      </c>
      <c r="D490" s="31">
        <v>2122227</v>
      </c>
      <c r="E490" s="30" t="s">
        <v>1069</v>
      </c>
      <c r="F490" s="53" t="s">
        <v>84</v>
      </c>
      <c r="G490" s="32">
        <v>44527</v>
      </c>
      <c r="H490" s="33">
        <v>0.67398666385026273</v>
      </c>
      <c r="I490" s="30" t="s">
        <v>383</v>
      </c>
      <c r="J490" s="34">
        <v>39590</v>
      </c>
      <c r="K490" s="35" t="s">
        <v>17</v>
      </c>
      <c r="L490" s="36">
        <v>7126.2</v>
      </c>
      <c r="M490" s="30" t="s">
        <v>704</v>
      </c>
      <c r="N490" s="30" t="s">
        <v>28</v>
      </c>
      <c r="O490" s="30" t="s">
        <v>1542</v>
      </c>
      <c r="P490" s="30" t="s">
        <v>1542</v>
      </c>
      <c r="Q490" s="30" t="str">
        <f t="shared" si="35"/>
        <v>SE</v>
      </c>
      <c r="R490" s="30" t="str">
        <f t="shared" si="36"/>
        <v>AM</v>
      </c>
      <c r="S490" s="30" t="str">
        <f>VLOOKUP(M490,'Data - Employee Rights Master'!$C$3:$D$32,2,0)</f>
        <v>SE</v>
      </c>
      <c r="T490" s="30" t="str">
        <f>VLOOKUP(N490,'Data - Employee Rights Master'!$C$3:$D$32,2,0)</f>
        <v>AM</v>
      </c>
      <c r="U490" s="41" t="str">
        <f t="shared" si="37"/>
        <v>PASS</v>
      </c>
      <c r="V490" s="41" t="str">
        <f t="shared" si="38"/>
        <v>NA</v>
      </c>
      <c r="W490" s="30" t="str">
        <f t="shared" si="39"/>
        <v>2122</v>
      </c>
      <c r="X490" s="30" t="str">
        <f>VLOOKUP(MONTH(G490),Key!$F$3:$G$14,2,0)</f>
        <v>Nov</v>
      </c>
      <c r="Y490" s="30" t="str">
        <f>IFERROR(IF(MATCH(F490,'Test 6'!C$5:C$9,0)&gt;0,"RP"),"NON-RP")</f>
        <v>NON-RP</v>
      </c>
    </row>
    <row r="491" spans="2:25" x14ac:dyDescent="0.5">
      <c r="B491" s="30">
        <v>487</v>
      </c>
      <c r="C491" s="30" t="s">
        <v>1070</v>
      </c>
      <c r="D491" s="31">
        <v>2122228</v>
      </c>
      <c r="E491" s="30" t="s">
        <v>1071</v>
      </c>
      <c r="F491" s="53" t="s">
        <v>156</v>
      </c>
      <c r="G491" s="32">
        <v>44527</v>
      </c>
      <c r="H491" s="33">
        <v>0.42486793319808219</v>
      </c>
      <c r="I491" s="30" t="s">
        <v>383</v>
      </c>
      <c r="J491" s="34">
        <v>24260</v>
      </c>
      <c r="K491" s="35" t="s">
        <v>17</v>
      </c>
      <c r="L491" s="36">
        <v>4366.8</v>
      </c>
      <c r="M491" s="30" t="s">
        <v>78</v>
      </c>
      <c r="N491" s="30" t="s">
        <v>28</v>
      </c>
      <c r="O491" s="30" t="s">
        <v>1542</v>
      </c>
      <c r="P491" s="30" t="s">
        <v>1542</v>
      </c>
      <c r="Q491" s="30" t="str">
        <f t="shared" si="35"/>
        <v>SE</v>
      </c>
      <c r="R491" s="30" t="str">
        <f t="shared" si="36"/>
        <v>AM</v>
      </c>
      <c r="S491" s="30" t="str">
        <f>VLOOKUP(M491,'Data - Employee Rights Master'!$C$3:$D$32,2,0)</f>
        <v>SE</v>
      </c>
      <c r="T491" s="30" t="str">
        <f>VLOOKUP(N491,'Data - Employee Rights Master'!$C$3:$D$32,2,0)</f>
        <v>AM</v>
      </c>
      <c r="U491" s="41" t="str">
        <f t="shared" si="37"/>
        <v>PASS</v>
      </c>
      <c r="V491" s="41" t="str">
        <f t="shared" si="38"/>
        <v>NA</v>
      </c>
      <c r="W491" s="30" t="str">
        <f t="shared" si="39"/>
        <v>2122</v>
      </c>
      <c r="X491" s="30" t="str">
        <f>VLOOKUP(MONTH(G491),Key!$F$3:$G$14,2,0)</f>
        <v>Nov</v>
      </c>
      <c r="Y491" s="30" t="str">
        <f>IFERROR(IF(MATCH(F491,'Test 6'!C$5:C$9,0)&gt;0,"RP"),"NON-RP")</f>
        <v>NON-RP</v>
      </c>
    </row>
    <row r="492" spans="2:25" x14ac:dyDescent="0.5">
      <c r="B492" s="30">
        <v>488</v>
      </c>
      <c r="C492" s="30" t="s">
        <v>1072</v>
      </c>
      <c r="D492" s="31">
        <v>2122229</v>
      </c>
      <c r="E492" s="30" t="s">
        <v>1073</v>
      </c>
      <c r="F492" s="53" t="s">
        <v>84</v>
      </c>
      <c r="G492" s="32">
        <v>44529</v>
      </c>
      <c r="H492" s="33">
        <v>0.57117440483398885</v>
      </c>
      <c r="I492" s="30" t="s">
        <v>428</v>
      </c>
      <c r="J492" s="34">
        <v>25240</v>
      </c>
      <c r="K492" s="35" t="s">
        <v>17</v>
      </c>
      <c r="L492" s="36">
        <v>4543.2</v>
      </c>
      <c r="M492" s="30" t="s">
        <v>704</v>
      </c>
      <c r="N492" s="30" t="s">
        <v>32</v>
      </c>
      <c r="O492" s="30" t="s">
        <v>1542</v>
      </c>
      <c r="P492" s="30" t="s">
        <v>1542</v>
      </c>
      <c r="Q492" s="30" t="str">
        <f t="shared" si="35"/>
        <v>SE</v>
      </c>
      <c r="R492" s="30" t="str">
        <f t="shared" si="36"/>
        <v>AM</v>
      </c>
      <c r="S492" s="30" t="str">
        <f>VLOOKUP(M492,'Data - Employee Rights Master'!$C$3:$D$32,2,0)</f>
        <v>SE</v>
      </c>
      <c r="T492" s="30" t="str">
        <f>VLOOKUP(N492,'Data - Employee Rights Master'!$C$3:$D$32,2,0)</f>
        <v>AM</v>
      </c>
      <c r="U492" s="41" t="str">
        <f t="shared" si="37"/>
        <v>PASS</v>
      </c>
      <c r="V492" s="41" t="str">
        <f t="shared" si="38"/>
        <v>NA</v>
      </c>
      <c r="W492" s="30" t="str">
        <f t="shared" si="39"/>
        <v>2122</v>
      </c>
      <c r="X492" s="30" t="str">
        <f>VLOOKUP(MONTH(G492),Key!$F$3:$G$14,2,0)</f>
        <v>Nov</v>
      </c>
      <c r="Y492" s="30" t="str">
        <f>IFERROR(IF(MATCH(F492,'Test 6'!C$5:C$9,0)&gt;0,"RP"),"NON-RP")</f>
        <v>NON-RP</v>
      </c>
    </row>
    <row r="493" spans="2:25" x14ac:dyDescent="0.5">
      <c r="B493" s="30">
        <v>489</v>
      </c>
      <c r="C493" s="30" t="s">
        <v>1074</v>
      </c>
      <c r="D493" s="31">
        <v>2122230</v>
      </c>
      <c r="E493" s="30" t="s">
        <v>1075</v>
      </c>
      <c r="F493" s="53" t="s">
        <v>95</v>
      </c>
      <c r="G493" s="32">
        <v>44529</v>
      </c>
      <c r="H493" s="33">
        <v>0.46008447164322497</v>
      </c>
      <c r="I493" s="30" t="s">
        <v>428</v>
      </c>
      <c r="J493" s="34">
        <v>445560</v>
      </c>
      <c r="K493" s="35" t="s">
        <v>17</v>
      </c>
      <c r="L493" s="36">
        <v>80200.800000000003</v>
      </c>
      <c r="M493" s="30" t="s">
        <v>18</v>
      </c>
      <c r="N493" s="30" t="s">
        <v>24</v>
      </c>
      <c r="O493" s="30" t="s">
        <v>1542</v>
      </c>
      <c r="P493" s="30" t="s">
        <v>1542</v>
      </c>
      <c r="Q493" s="30" t="str">
        <f t="shared" si="35"/>
        <v>AM</v>
      </c>
      <c r="R493" s="30" t="str">
        <f t="shared" si="36"/>
        <v>DM</v>
      </c>
      <c r="S493" s="30" t="str">
        <f>VLOOKUP(M493,'Data - Employee Rights Master'!$C$3:$D$32,2,0)</f>
        <v>AM</v>
      </c>
      <c r="T493" s="30" t="str">
        <f>VLOOKUP(N493,'Data - Employee Rights Master'!$C$3:$D$32,2,0)</f>
        <v>DM</v>
      </c>
      <c r="U493" s="41" t="str">
        <f t="shared" si="37"/>
        <v>PASS</v>
      </c>
      <c r="V493" s="41" t="str">
        <f t="shared" si="38"/>
        <v>NA</v>
      </c>
      <c r="W493" s="30" t="str">
        <f t="shared" si="39"/>
        <v>2122</v>
      </c>
      <c r="X493" s="30" t="str">
        <f>VLOOKUP(MONTH(G493),Key!$F$3:$G$14,2,0)</f>
        <v>Nov</v>
      </c>
      <c r="Y493" s="30" t="str">
        <f>IFERROR(IF(MATCH(F493,'Test 6'!C$5:C$9,0)&gt;0,"RP"),"NON-RP")</f>
        <v>NON-RP</v>
      </c>
    </row>
    <row r="494" spans="2:25" x14ac:dyDescent="0.5">
      <c r="B494" s="30">
        <v>490</v>
      </c>
      <c r="C494" s="30" t="s">
        <v>1076</v>
      </c>
      <c r="D494" s="31">
        <v>2122231</v>
      </c>
      <c r="E494" s="30" t="s">
        <v>1077</v>
      </c>
      <c r="F494" s="53" t="s">
        <v>153</v>
      </c>
      <c r="G494" s="32">
        <v>44531</v>
      </c>
      <c r="H494" s="33">
        <v>0.48682650275373041</v>
      </c>
      <c r="I494" s="30" t="s">
        <v>469</v>
      </c>
      <c r="J494" s="34">
        <v>2159450</v>
      </c>
      <c r="K494" s="35" t="s">
        <v>17</v>
      </c>
      <c r="L494" s="36">
        <v>388701</v>
      </c>
      <c r="M494" s="30" t="s">
        <v>1078</v>
      </c>
      <c r="N494" s="30" t="s">
        <v>41</v>
      </c>
      <c r="O494" s="30" t="s">
        <v>1542</v>
      </c>
      <c r="P494" s="30" t="s">
        <v>1542</v>
      </c>
      <c r="Q494" s="30" t="str">
        <f t="shared" si="35"/>
        <v>SM</v>
      </c>
      <c r="R494" s="30" t="str">
        <f t="shared" si="36"/>
        <v>CM</v>
      </c>
      <c r="S494" s="30" t="str">
        <f>VLOOKUP(M494,'Data - Employee Rights Master'!$C$3:$D$32,2,0)</f>
        <v>SM</v>
      </c>
      <c r="T494" s="30" t="str">
        <f>VLOOKUP(N494,'Data - Employee Rights Master'!$C$3:$D$32,2,0)</f>
        <v>CM</v>
      </c>
      <c r="U494" s="41" t="str">
        <f t="shared" si="37"/>
        <v>PASS</v>
      </c>
      <c r="V494" s="41" t="str">
        <f t="shared" si="38"/>
        <v>NA</v>
      </c>
      <c r="W494" s="30" t="str">
        <f t="shared" si="39"/>
        <v>2122</v>
      </c>
      <c r="X494" s="30" t="str">
        <f>VLOOKUP(MONTH(G494),Key!$F$3:$G$14,2,0)</f>
        <v>Dec</v>
      </c>
      <c r="Y494" s="30" t="str">
        <f>IFERROR(IF(MATCH(F494,'Test 6'!C$5:C$9,0)&gt;0,"RP"),"NON-RP")</f>
        <v>NON-RP</v>
      </c>
    </row>
    <row r="495" spans="2:25" x14ac:dyDescent="0.5">
      <c r="B495" s="30">
        <v>491</v>
      </c>
      <c r="C495" s="30" t="s">
        <v>1079</v>
      </c>
      <c r="D495" s="31">
        <v>2122232</v>
      </c>
      <c r="E495" s="30" t="s">
        <v>1080</v>
      </c>
      <c r="F495" s="53" t="s">
        <v>57</v>
      </c>
      <c r="G495" s="32">
        <v>44533</v>
      </c>
      <c r="H495" s="33">
        <v>0.60341137768972097</v>
      </c>
      <c r="I495" s="30" t="s">
        <v>469</v>
      </c>
      <c r="J495" s="34">
        <v>15810</v>
      </c>
      <c r="K495" s="35" t="s">
        <v>17</v>
      </c>
      <c r="L495" s="36">
        <v>2845.7999999999997</v>
      </c>
      <c r="M495" s="30" t="s">
        <v>36</v>
      </c>
      <c r="N495" s="30" t="s">
        <v>32</v>
      </c>
      <c r="O495" s="30" t="s">
        <v>1542</v>
      </c>
      <c r="P495" s="30" t="s">
        <v>1542</v>
      </c>
      <c r="Q495" s="30" t="str">
        <f t="shared" si="35"/>
        <v>SE</v>
      </c>
      <c r="R495" s="30" t="str">
        <f t="shared" si="36"/>
        <v>AM</v>
      </c>
      <c r="S495" s="30" t="str">
        <f>VLOOKUP(M495,'Data - Employee Rights Master'!$C$3:$D$32,2,0)</f>
        <v>SE</v>
      </c>
      <c r="T495" s="30" t="str">
        <f>VLOOKUP(N495,'Data - Employee Rights Master'!$C$3:$D$32,2,0)</f>
        <v>AM</v>
      </c>
      <c r="U495" s="41" t="str">
        <f t="shared" si="37"/>
        <v>PASS</v>
      </c>
      <c r="V495" s="41" t="str">
        <f t="shared" si="38"/>
        <v>NA</v>
      </c>
      <c r="W495" s="30" t="str">
        <f t="shared" si="39"/>
        <v>2122</v>
      </c>
      <c r="X495" s="30" t="str">
        <f>VLOOKUP(MONTH(G495),Key!$F$3:$G$14,2,0)</f>
        <v>Dec</v>
      </c>
      <c r="Y495" s="30" t="str">
        <f>IFERROR(IF(MATCH(F495,'Test 6'!C$5:C$9,0)&gt;0,"RP"),"NON-RP")</f>
        <v>NON-RP</v>
      </c>
    </row>
    <row r="496" spans="2:25" x14ac:dyDescent="0.5">
      <c r="B496" s="30">
        <v>492</v>
      </c>
      <c r="C496" s="30" t="s">
        <v>1081</v>
      </c>
      <c r="D496" s="31">
        <v>2122233</v>
      </c>
      <c r="E496" s="30" t="s">
        <v>1082</v>
      </c>
      <c r="F496" s="53" t="s">
        <v>241</v>
      </c>
      <c r="G496" s="32">
        <v>44535</v>
      </c>
      <c r="H496" s="33">
        <v>0.53270794566252189</v>
      </c>
      <c r="I496" s="30" t="s">
        <v>469</v>
      </c>
      <c r="J496" s="34">
        <v>4050320</v>
      </c>
      <c r="K496" s="35" t="s">
        <v>17</v>
      </c>
      <c r="L496" s="36">
        <v>729057.6</v>
      </c>
      <c r="M496" s="30" t="s">
        <v>69</v>
      </c>
      <c r="N496" s="30" t="s">
        <v>41</v>
      </c>
      <c r="O496" s="30" t="s">
        <v>1542</v>
      </c>
      <c r="P496" s="30" t="s">
        <v>1542</v>
      </c>
      <c r="Q496" s="30" t="str">
        <f t="shared" si="35"/>
        <v>SM</v>
      </c>
      <c r="R496" s="30" t="str">
        <f t="shared" si="36"/>
        <v>CM</v>
      </c>
      <c r="S496" s="30" t="str">
        <f>VLOOKUP(M496,'Data - Employee Rights Master'!$C$3:$D$32,2,0)</f>
        <v>SM</v>
      </c>
      <c r="T496" s="30" t="str">
        <f>VLOOKUP(N496,'Data - Employee Rights Master'!$C$3:$D$32,2,0)</f>
        <v>CM</v>
      </c>
      <c r="U496" s="41" t="str">
        <f t="shared" si="37"/>
        <v>PASS</v>
      </c>
      <c r="V496" s="41" t="str">
        <f t="shared" si="38"/>
        <v>NA</v>
      </c>
      <c r="W496" s="30" t="str">
        <f t="shared" si="39"/>
        <v>2122</v>
      </c>
      <c r="X496" s="30" t="str">
        <f>VLOOKUP(MONTH(G496),Key!$F$3:$G$14,2,0)</f>
        <v>Dec</v>
      </c>
      <c r="Y496" s="30" t="str">
        <f>IFERROR(IF(MATCH(F496,'Test 6'!C$5:C$9,0)&gt;0,"RP"),"NON-RP")</f>
        <v>RP</v>
      </c>
    </row>
    <row r="497" spans="2:25" x14ac:dyDescent="0.5">
      <c r="B497" s="30">
        <v>493</v>
      </c>
      <c r="C497" s="30" t="s">
        <v>1083</v>
      </c>
      <c r="D497" s="31">
        <v>2122234</v>
      </c>
      <c r="E497" s="30" t="s">
        <v>1084</v>
      </c>
      <c r="F497" s="53" t="s">
        <v>229</v>
      </c>
      <c r="G497" s="32">
        <v>44534</v>
      </c>
      <c r="H497" s="33">
        <v>0.64715606800100856</v>
      </c>
      <c r="I497" s="30" t="s">
        <v>469</v>
      </c>
      <c r="J497" s="34">
        <v>476400</v>
      </c>
      <c r="K497" s="35" t="s">
        <v>17</v>
      </c>
      <c r="L497" s="36">
        <v>85752</v>
      </c>
      <c r="M497" s="30" t="s">
        <v>18</v>
      </c>
      <c r="N497" s="30" t="s">
        <v>19</v>
      </c>
      <c r="O497" s="30" t="s">
        <v>1542</v>
      </c>
      <c r="P497" s="30" t="s">
        <v>1542</v>
      </c>
      <c r="Q497" s="30" t="str">
        <f t="shared" si="35"/>
        <v>AM</v>
      </c>
      <c r="R497" s="30" t="str">
        <f t="shared" si="36"/>
        <v>DM</v>
      </c>
      <c r="S497" s="30" t="str">
        <f>VLOOKUP(M497,'Data - Employee Rights Master'!$C$3:$D$32,2,0)</f>
        <v>AM</v>
      </c>
      <c r="T497" s="30" t="str">
        <f>VLOOKUP(N497,'Data - Employee Rights Master'!$C$3:$D$32,2,0)</f>
        <v>DM</v>
      </c>
      <c r="U497" s="41" t="str">
        <f t="shared" si="37"/>
        <v>PASS</v>
      </c>
      <c r="V497" s="41" t="str">
        <f t="shared" si="38"/>
        <v>NA</v>
      </c>
      <c r="W497" s="30" t="str">
        <f t="shared" si="39"/>
        <v>2122</v>
      </c>
      <c r="X497" s="30" t="str">
        <f>VLOOKUP(MONTH(G497),Key!$F$3:$G$14,2,0)</f>
        <v>Dec</v>
      </c>
      <c r="Y497" s="30" t="str">
        <f>IFERROR(IF(MATCH(F497,'Test 6'!C$5:C$9,0)&gt;0,"RP"),"NON-RP")</f>
        <v>NON-RP</v>
      </c>
    </row>
    <row r="498" spans="2:25" x14ac:dyDescent="0.5">
      <c r="B498" s="30">
        <v>494</v>
      </c>
      <c r="C498" s="30" t="s">
        <v>1085</v>
      </c>
      <c r="D498" s="31">
        <v>2122235</v>
      </c>
      <c r="E498" s="30" t="s">
        <v>1086</v>
      </c>
      <c r="F498" s="53" t="s">
        <v>103</v>
      </c>
      <c r="G498" s="32">
        <v>44536</v>
      </c>
      <c r="H498" s="33">
        <v>0.71338967399305719</v>
      </c>
      <c r="I498" s="30" t="s">
        <v>469</v>
      </c>
      <c r="J498" s="34">
        <v>24170</v>
      </c>
      <c r="K498" s="35" t="s">
        <v>17</v>
      </c>
      <c r="L498" s="36">
        <v>4350.5999999999995</v>
      </c>
      <c r="M498" s="30" t="s">
        <v>78</v>
      </c>
      <c r="N498" s="30" t="s">
        <v>32</v>
      </c>
      <c r="O498" s="30" t="s">
        <v>1542</v>
      </c>
      <c r="P498" s="30" t="s">
        <v>1542</v>
      </c>
      <c r="Q498" s="30" t="str">
        <f t="shared" si="35"/>
        <v>SE</v>
      </c>
      <c r="R498" s="30" t="str">
        <f t="shared" si="36"/>
        <v>AM</v>
      </c>
      <c r="S498" s="30" t="str">
        <f>VLOOKUP(M498,'Data - Employee Rights Master'!$C$3:$D$32,2,0)</f>
        <v>SE</v>
      </c>
      <c r="T498" s="30" t="str">
        <f>VLOOKUP(N498,'Data - Employee Rights Master'!$C$3:$D$32,2,0)</f>
        <v>AM</v>
      </c>
      <c r="U498" s="41" t="str">
        <f t="shared" si="37"/>
        <v>PASS</v>
      </c>
      <c r="V498" s="41" t="str">
        <f t="shared" si="38"/>
        <v>NA</v>
      </c>
      <c r="W498" s="30" t="str">
        <f t="shared" si="39"/>
        <v>2122</v>
      </c>
      <c r="X498" s="30" t="str">
        <f>VLOOKUP(MONTH(G498),Key!$F$3:$G$14,2,0)</f>
        <v>Dec</v>
      </c>
      <c r="Y498" s="30" t="str">
        <f>IFERROR(IF(MATCH(F498,'Test 6'!C$5:C$9,0)&gt;0,"RP"),"NON-RP")</f>
        <v>NON-RP</v>
      </c>
    </row>
    <row r="499" spans="2:25" x14ac:dyDescent="0.5">
      <c r="B499" s="30">
        <v>495</v>
      </c>
      <c r="C499" s="30" t="s">
        <v>1087</v>
      </c>
      <c r="D499" s="31">
        <v>2122236</v>
      </c>
      <c r="E499" s="30" t="s">
        <v>1088</v>
      </c>
      <c r="F499" s="53" t="s">
        <v>15</v>
      </c>
      <c r="G499" s="32">
        <v>44537</v>
      </c>
      <c r="H499" s="33">
        <v>0.74661654292345347</v>
      </c>
      <c r="I499" s="30" t="s">
        <v>469</v>
      </c>
      <c r="J499" s="34">
        <v>230900</v>
      </c>
      <c r="K499" s="35" t="s">
        <v>17</v>
      </c>
      <c r="L499" s="36">
        <v>41562</v>
      </c>
      <c r="M499" s="30" t="s">
        <v>28</v>
      </c>
      <c r="N499" s="30" t="s">
        <v>68</v>
      </c>
      <c r="O499" s="30" t="s">
        <v>1542</v>
      </c>
      <c r="P499" s="30" t="s">
        <v>1542</v>
      </c>
      <c r="Q499" s="30" t="str">
        <f t="shared" si="35"/>
        <v>AM</v>
      </c>
      <c r="R499" s="30" t="str">
        <f t="shared" si="36"/>
        <v>DM</v>
      </c>
      <c r="S499" s="30" t="str">
        <f>VLOOKUP(M499,'Data - Employee Rights Master'!$C$3:$D$32,2,0)</f>
        <v>AM</v>
      </c>
      <c r="T499" s="30" t="str">
        <f>VLOOKUP(N499,'Data - Employee Rights Master'!$C$3:$D$32,2,0)</f>
        <v>DM</v>
      </c>
      <c r="U499" s="41" t="str">
        <f t="shared" si="37"/>
        <v>PASS</v>
      </c>
      <c r="V499" s="41" t="str">
        <f t="shared" si="38"/>
        <v>NA</v>
      </c>
      <c r="W499" s="30" t="str">
        <f t="shared" si="39"/>
        <v>2122</v>
      </c>
      <c r="X499" s="30" t="str">
        <f>VLOOKUP(MONTH(G499),Key!$F$3:$G$14,2,0)</f>
        <v>Dec</v>
      </c>
      <c r="Y499" s="30" t="str">
        <f>IFERROR(IF(MATCH(F499,'Test 6'!C$5:C$9,0)&gt;0,"RP"),"NON-RP")</f>
        <v>NON-RP</v>
      </c>
    </row>
    <row r="500" spans="2:25" x14ac:dyDescent="0.5">
      <c r="B500" s="30">
        <v>496</v>
      </c>
      <c r="C500" s="30" t="s">
        <v>1089</v>
      </c>
      <c r="D500" s="31">
        <v>2122237</v>
      </c>
      <c r="E500" s="30" t="s">
        <v>1090</v>
      </c>
      <c r="F500" s="53" t="s">
        <v>272</v>
      </c>
      <c r="G500" s="32">
        <v>44537</v>
      </c>
      <c r="H500" s="33">
        <v>0.62911343730133429</v>
      </c>
      <c r="I500" s="30" t="s">
        <v>469</v>
      </c>
      <c r="J500" s="34">
        <v>245870</v>
      </c>
      <c r="K500" s="35" t="s">
        <v>17</v>
      </c>
      <c r="L500" s="36">
        <v>44256.6</v>
      </c>
      <c r="M500" s="30" t="s">
        <v>46</v>
      </c>
      <c r="N500" s="30" t="s">
        <v>19</v>
      </c>
      <c r="O500" s="30" t="s">
        <v>1542</v>
      </c>
      <c r="P500" s="30" t="s">
        <v>1542</v>
      </c>
      <c r="Q500" s="30" t="str">
        <f t="shared" si="35"/>
        <v>AM</v>
      </c>
      <c r="R500" s="30" t="str">
        <f t="shared" si="36"/>
        <v>DM</v>
      </c>
      <c r="S500" s="30" t="str">
        <f>VLOOKUP(M500,'Data - Employee Rights Master'!$C$3:$D$32,2,0)</f>
        <v>AM</v>
      </c>
      <c r="T500" s="30" t="str">
        <f>VLOOKUP(N500,'Data - Employee Rights Master'!$C$3:$D$32,2,0)</f>
        <v>DM</v>
      </c>
      <c r="U500" s="41" t="str">
        <f t="shared" si="37"/>
        <v>PASS</v>
      </c>
      <c r="V500" s="41" t="str">
        <f t="shared" si="38"/>
        <v>NA</v>
      </c>
      <c r="W500" s="30" t="str">
        <f t="shared" si="39"/>
        <v>2122</v>
      </c>
      <c r="X500" s="30" t="str">
        <f>VLOOKUP(MONTH(G500),Key!$F$3:$G$14,2,0)</f>
        <v>Dec</v>
      </c>
      <c r="Y500" s="30" t="str">
        <f>IFERROR(IF(MATCH(F500,'Test 6'!C$5:C$9,0)&gt;0,"RP"),"NON-RP")</f>
        <v>NON-RP</v>
      </c>
    </row>
    <row r="501" spans="2:25" x14ac:dyDescent="0.5">
      <c r="B501" s="30">
        <v>497</v>
      </c>
      <c r="C501" s="30" t="s">
        <v>1091</v>
      </c>
      <c r="D501" s="31">
        <v>2122238</v>
      </c>
      <c r="E501" s="30" t="s">
        <v>1092</v>
      </c>
      <c r="F501" s="53" t="s">
        <v>131</v>
      </c>
      <c r="G501" s="32">
        <v>44538</v>
      </c>
      <c r="H501" s="33">
        <v>0.46384396823757129</v>
      </c>
      <c r="I501" s="30" t="s">
        <v>469</v>
      </c>
      <c r="J501" s="34">
        <v>258400</v>
      </c>
      <c r="K501" s="35" t="s">
        <v>17</v>
      </c>
      <c r="L501" s="36">
        <v>46512</v>
      </c>
      <c r="M501" s="30" t="s">
        <v>37</v>
      </c>
      <c r="N501" s="30" t="s">
        <v>51</v>
      </c>
      <c r="O501" s="30" t="s">
        <v>1542</v>
      </c>
      <c r="P501" s="30" t="s">
        <v>1542</v>
      </c>
      <c r="Q501" s="30" t="str">
        <f t="shared" si="35"/>
        <v>AM</v>
      </c>
      <c r="R501" s="30" t="str">
        <f t="shared" si="36"/>
        <v>DM</v>
      </c>
      <c r="S501" s="30" t="str">
        <f>VLOOKUP(M501,'Data - Employee Rights Master'!$C$3:$D$32,2,0)</f>
        <v>AM</v>
      </c>
      <c r="T501" s="30" t="str">
        <f>VLOOKUP(N501,'Data - Employee Rights Master'!$C$3:$D$32,2,0)</f>
        <v>DM</v>
      </c>
      <c r="U501" s="41" t="str">
        <f t="shared" si="37"/>
        <v>PASS</v>
      </c>
      <c r="V501" s="41" t="str">
        <f t="shared" si="38"/>
        <v>NA</v>
      </c>
      <c r="W501" s="30" t="str">
        <f t="shared" si="39"/>
        <v>2122</v>
      </c>
      <c r="X501" s="30" t="str">
        <f>VLOOKUP(MONTH(G501),Key!$F$3:$G$14,2,0)</f>
        <v>Dec</v>
      </c>
      <c r="Y501" s="30" t="str">
        <f>IFERROR(IF(MATCH(F501,'Test 6'!C$5:C$9,0)&gt;0,"RP"),"NON-RP")</f>
        <v>NON-RP</v>
      </c>
    </row>
    <row r="502" spans="2:25" x14ac:dyDescent="0.5">
      <c r="B502" s="30">
        <v>498</v>
      </c>
      <c r="C502" s="30" t="s">
        <v>1093</v>
      </c>
      <c r="D502" s="31">
        <v>2122239</v>
      </c>
      <c r="E502" s="30" t="s">
        <v>1094</v>
      </c>
      <c r="F502" s="53" t="s">
        <v>87</v>
      </c>
      <c r="G502" s="32">
        <v>44539</v>
      </c>
      <c r="H502" s="33">
        <v>0.49791866672645241</v>
      </c>
      <c r="I502" s="30" t="s">
        <v>469</v>
      </c>
      <c r="J502" s="34">
        <v>391470</v>
      </c>
      <c r="K502" s="35" t="s">
        <v>17</v>
      </c>
      <c r="L502" s="36">
        <v>70464.599999999991</v>
      </c>
      <c r="M502" s="30" t="s">
        <v>46</v>
      </c>
      <c r="N502" s="30" t="s">
        <v>47</v>
      </c>
      <c r="O502" s="30" t="s">
        <v>1542</v>
      </c>
      <c r="P502" s="30" t="s">
        <v>1542</v>
      </c>
      <c r="Q502" s="30" t="str">
        <f t="shared" si="35"/>
        <v>AM</v>
      </c>
      <c r="R502" s="30" t="str">
        <f t="shared" si="36"/>
        <v>DM</v>
      </c>
      <c r="S502" s="30" t="str">
        <f>VLOOKUP(M502,'Data - Employee Rights Master'!$C$3:$D$32,2,0)</f>
        <v>AM</v>
      </c>
      <c r="T502" s="30" t="str">
        <f>VLOOKUP(N502,'Data - Employee Rights Master'!$C$3:$D$32,2,0)</f>
        <v>DM</v>
      </c>
      <c r="U502" s="41" t="str">
        <f t="shared" si="37"/>
        <v>PASS</v>
      </c>
      <c r="V502" s="41" t="str">
        <f t="shared" si="38"/>
        <v>NA</v>
      </c>
      <c r="W502" s="30" t="str">
        <f t="shared" si="39"/>
        <v>2122</v>
      </c>
      <c r="X502" s="30" t="str">
        <f>VLOOKUP(MONTH(G502),Key!$F$3:$G$14,2,0)</f>
        <v>Dec</v>
      </c>
      <c r="Y502" s="30" t="str">
        <f>IFERROR(IF(MATCH(F502,'Test 6'!C$5:C$9,0)&gt;0,"RP"),"NON-RP")</f>
        <v>NON-RP</v>
      </c>
    </row>
    <row r="503" spans="2:25" x14ac:dyDescent="0.5">
      <c r="B503" s="30">
        <v>499</v>
      </c>
      <c r="C503" s="30" t="s">
        <v>1095</v>
      </c>
      <c r="D503" s="31">
        <v>2122240</v>
      </c>
      <c r="E503" s="30" t="s">
        <v>1096</v>
      </c>
      <c r="F503" s="53" t="s">
        <v>308</v>
      </c>
      <c r="G503" s="32">
        <v>44542</v>
      </c>
      <c r="H503" s="33">
        <v>0.46934027777777776</v>
      </c>
      <c r="I503" s="30" t="s">
        <v>469</v>
      </c>
      <c r="J503" s="34">
        <v>4463340</v>
      </c>
      <c r="K503" s="35" t="s">
        <v>17</v>
      </c>
      <c r="L503" s="36">
        <v>803401.2</v>
      </c>
      <c r="M503" s="30" t="s">
        <v>701</v>
      </c>
      <c r="N503" s="30" t="s">
        <v>41</v>
      </c>
      <c r="O503" s="30" t="s">
        <v>1542</v>
      </c>
      <c r="P503" s="30" t="s">
        <v>1542</v>
      </c>
      <c r="Q503" s="30" t="str">
        <f t="shared" si="35"/>
        <v>SM</v>
      </c>
      <c r="R503" s="30" t="str">
        <f t="shared" si="36"/>
        <v>CM</v>
      </c>
      <c r="S503" s="30" t="str">
        <f>VLOOKUP(M503,'Data - Employee Rights Master'!$C$3:$D$32,2,0)</f>
        <v>SM</v>
      </c>
      <c r="T503" s="30" t="str">
        <f>VLOOKUP(N503,'Data - Employee Rights Master'!$C$3:$D$32,2,0)</f>
        <v>CM</v>
      </c>
      <c r="U503" s="41" t="str">
        <f t="shared" si="37"/>
        <v>PASS</v>
      </c>
      <c r="V503" s="41" t="str">
        <f t="shared" si="38"/>
        <v>NA</v>
      </c>
      <c r="W503" s="30" t="str">
        <f t="shared" si="39"/>
        <v>2122</v>
      </c>
      <c r="X503" s="30" t="str">
        <f>VLOOKUP(MONTH(G503),Key!$F$3:$G$14,2,0)</f>
        <v>Dec</v>
      </c>
      <c r="Y503" s="30" t="str">
        <f>IFERROR(IF(MATCH(F503,'Test 6'!C$5:C$9,0)&gt;0,"RP"),"NON-RP")</f>
        <v>RP</v>
      </c>
    </row>
    <row r="504" spans="2:25" x14ac:dyDescent="0.5">
      <c r="B504" s="30">
        <v>500</v>
      </c>
      <c r="C504" s="30" t="s">
        <v>1097</v>
      </c>
      <c r="D504" s="31">
        <v>2122241</v>
      </c>
      <c r="E504" s="30" t="s">
        <v>1098</v>
      </c>
      <c r="F504" s="53" t="s">
        <v>22</v>
      </c>
      <c r="G504" s="32">
        <v>44541</v>
      </c>
      <c r="H504" s="33">
        <v>0.4957820669729589</v>
      </c>
      <c r="I504" s="30" t="s">
        <v>469</v>
      </c>
      <c r="J504" s="34">
        <v>446670</v>
      </c>
      <c r="K504" s="35" t="s">
        <v>17</v>
      </c>
      <c r="L504" s="36">
        <v>80400.599999999991</v>
      </c>
      <c r="M504" s="30" t="s">
        <v>18</v>
      </c>
      <c r="N504" s="30" t="s">
        <v>19</v>
      </c>
      <c r="O504" s="30" t="s">
        <v>1542</v>
      </c>
      <c r="P504" s="30" t="s">
        <v>1542</v>
      </c>
      <c r="Q504" s="30" t="str">
        <f t="shared" si="35"/>
        <v>AM</v>
      </c>
      <c r="R504" s="30" t="str">
        <f t="shared" si="36"/>
        <v>DM</v>
      </c>
      <c r="S504" s="30" t="str">
        <f>VLOOKUP(M504,'Data - Employee Rights Master'!$C$3:$D$32,2,0)</f>
        <v>AM</v>
      </c>
      <c r="T504" s="30" t="str">
        <f>VLOOKUP(N504,'Data - Employee Rights Master'!$C$3:$D$32,2,0)</f>
        <v>DM</v>
      </c>
      <c r="U504" s="41" t="str">
        <f t="shared" si="37"/>
        <v>PASS</v>
      </c>
      <c r="V504" s="41" t="str">
        <f t="shared" si="38"/>
        <v>NA</v>
      </c>
      <c r="W504" s="30" t="str">
        <f t="shared" si="39"/>
        <v>2122</v>
      </c>
      <c r="X504" s="30" t="str">
        <f>VLOOKUP(MONTH(G504),Key!$F$3:$G$14,2,0)</f>
        <v>Dec</v>
      </c>
      <c r="Y504" s="30" t="str">
        <f>IFERROR(IF(MATCH(F504,'Test 6'!C$5:C$9,0)&gt;0,"RP"),"NON-RP")</f>
        <v>NON-RP</v>
      </c>
    </row>
    <row r="505" spans="2:25" x14ac:dyDescent="0.5">
      <c r="B505" s="30">
        <v>501</v>
      </c>
      <c r="C505" s="30" t="s">
        <v>1099</v>
      </c>
      <c r="D505" s="31">
        <v>2122242</v>
      </c>
      <c r="E505" s="30" t="s">
        <v>1100</v>
      </c>
      <c r="F505" s="53" t="s">
        <v>272</v>
      </c>
      <c r="G505" s="32">
        <v>44541</v>
      </c>
      <c r="H505" s="33">
        <v>0.631852636985194</v>
      </c>
      <c r="I505" s="30" t="s">
        <v>469</v>
      </c>
      <c r="J505" s="34">
        <v>284960</v>
      </c>
      <c r="K505" s="35" t="s">
        <v>17</v>
      </c>
      <c r="L505" s="36">
        <v>51292.799999999996</v>
      </c>
      <c r="M505" s="30" t="s">
        <v>61</v>
      </c>
      <c r="N505" s="30" t="s">
        <v>24</v>
      </c>
      <c r="O505" s="30" t="s">
        <v>1542</v>
      </c>
      <c r="P505" s="30" t="s">
        <v>1542</v>
      </c>
      <c r="Q505" s="30" t="str">
        <f t="shared" si="35"/>
        <v>AM</v>
      </c>
      <c r="R505" s="30" t="str">
        <f t="shared" si="36"/>
        <v>DM</v>
      </c>
      <c r="S505" s="30" t="str">
        <f>VLOOKUP(M505,'Data - Employee Rights Master'!$C$3:$D$32,2,0)</f>
        <v>AM</v>
      </c>
      <c r="T505" s="30" t="str">
        <f>VLOOKUP(N505,'Data - Employee Rights Master'!$C$3:$D$32,2,0)</f>
        <v>DM</v>
      </c>
      <c r="U505" s="41" t="str">
        <f t="shared" si="37"/>
        <v>PASS</v>
      </c>
      <c r="V505" s="41" t="str">
        <f t="shared" si="38"/>
        <v>NA</v>
      </c>
      <c r="W505" s="30" t="str">
        <f t="shared" si="39"/>
        <v>2122</v>
      </c>
      <c r="X505" s="30" t="str">
        <f>VLOOKUP(MONTH(G505),Key!$F$3:$G$14,2,0)</f>
        <v>Dec</v>
      </c>
      <c r="Y505" s="30" t="str">
        <f>IFERROR(IF(MATCH(F505,'Test 6'!C$5:C$9,0)&gt;0,"RP"),"NON-RP")</f>
        <v>NON-RP</v>
      </c>
    </row>
    <row r="506" spans="2:25" x14ac:dyDescent="0.5">
      <c r="B506" s="30">
        <v>502</v>
      </c>
      <c r="C506" s="30" t="s">
        <v>1101</v>
      </c>
      <c r="D506" s="31">
        <v>2122243</v>
      </c>
      <c r="E506" s="30" t="s">
        <v>1102</v>
      </c>
      <c r="F506" s="53" t="s">
        <v>184</v>
      </c>
      <c r="G506" s="32">
        <v>44541</v>
      </c>
      <c r="H506" s="33">
        <v>0.56361765474177461</v>
      </c>
      <c r="I506" s="30" t="s">
        <v>469</v>
      </c>
      <c r="J506" s="34">
        <v>444500</v>
      </c>
      <c r="K506" s="35" t="s">
        <v>17</v>
      </c>
      <c r="L506" s="36">
        <v>80010</v>
      </c>
      <c r="M506" s="30" t="s">
        <v>18</v>
      </c>
      <c r="N506" s="30" t="s">
        <v>68</v>
      </c>
      <c r="O506" s="30" t="s">
        <v>1542</v>
      </c>
      <c r="P506" s="30" t="s">
        <v>1542</v>
      </c>
      <c r="Q506" s="30" t="str">
        <f t="shared" si="35"/>
        <v>AM</v>
      </c>
      <c r="R506" s="30" t="str">
        <f t="shared" si="36"/>
        <v>DM</v>
      </c>
      <c r="S506" s="30" t="str">
        <f>VLOOKUP(M506,'Data - Employee Rights Master'!$C$3:$D$32,2,0)</f>
        <v>AM</v>
      </c>
      <c r="T506" s="30" t="str">
        <f>VLOOKUP(N506,'Data - Employee Rights Master'!$C$3:$D$32,2,0)</f>
        <v>DM</v>
      </c>
      <c r="U506" s="41" t="str">
        <f t="shared" si="37"/>
        <v>PASS</v>
      </c>
      <c r="V506" s="41" t="str">
        <f t="shared" si="38"/>
        <v>NA</v>
      </c>
      <c r="W506" s="30" t="str">
        <f t="shared" si="39"/>
        <v>2122</v>
      </c>
      <c r="X506" s="30" t="str">
        <f>VLOOKUP(MONTH(G506),Key!$F$3:$G$14,2,0)</f>
        <v>Dec</v>
      </c>
      <c r="Y506" s="30" t="str">
        <f>IFERROR(IF(MATCH(F506,'Test 6'!C$5:C$9,0)&gt;0,"RP"),"NON-RP")</f>
        <v>NON-RP</v>
      </c>
    </row>
    <row r="507" spans="2:25" x14ac:dyDescent="0.5">
      <c r="B507" s="30">
        <v>503</v>
      </c>
      <c r="C507" s="30" t="s">
        <v>1103</v>
      </c>
      <c r="D507" s="31">
        <v>2122244</v>
      </c>
      <c r="E507" s="30" t="s">
        <v>1104</v>
      </c>
      <c r="F507" s="53" t="s">
        <v>81</v>
      </c>
      <c r="G507" s="32">
        <v>44541</v>
      </c>
      <c r="H507" s="33">
        <v>0.64004818035475219</v>
      </c>
      <c r="I507" s="30" t="s">
        <v>469</v>
      </c>
      <c r="J507" s="34">
        <v>373180</v>
      </c>
      <c r="K507" s="35" t="s">
        <v>17</v>
      </c>
      <c r="L507" s="36">
        <v>67172.399999999994</v>
      </c>
      <c r="M507" s="30" t="s">
        <v>61</v>
      </c>
      <c r="N507" s="30" t="s">
        <v>47</v>
      </c>
      <c r="O507" s="30" t="s">
        <v>1542</v>
      </c>
      <c r="P507" s="30" t="s">
        <v>1542</v>
      </c>
      <c r="Q507" s="30" t="str">
        <f t="shared" si="35"/>
        <v>AM</v>
      </c>
      <c r="R507" s="30" t="str">
        <f t="shared" si="36"/>
        <v>DM</v>
      </c>
      <c r="S507" s="30" t="str">
        <f>VLOOKUP(M507,'Data - Employee Rights Master'!$C$3:$D$32,2,0)</f>
        <v>AM</v>
      </c>
      <c r="T507" s="30" t="str">
        <f>VLOOKUP(N507,'Data - Employee Rights Master'!$C$3:$D$32,2,0)</f>
        <v>DM</v>
      </c>
      <c r="U507" s="41" t="str">
        <f t="shared" si="37"/>
        <v>PASS</v>
      </c>
      <c r="V507" s="41" t="str">
        <f t="shared" si="38"/>
        <v>NA</v>
      </c>
      <c r="W507" s="30" t="str">
        <f t="shared" si="39"/>
        <v>2122</v>
      </c>
      <c r="X507" s="30" t="str">
        <f>VLOOKUP(MONTH(G507),Key!$F$3:$G$14,2,0)</f>
        <v>Dec</v>
      </c>
      <c r="Y507" s="30" t="str">
        <f>IFERROR(IF(MATCH(F507,'Test 6'!C$5:C$9,0)&gt;0,"RP"),"NON-RP")</f>
        <v>NON-RP</v>
      </c>
    </row>
    <row r="508" spans="2:25" x14ac:dyDescent="0.5">
      <c r="B508" s="30">
        <v>504</v>
      </c>
      <c r="C508" s="30" t="s">
        <v>1105</v>
      </c>
      <c r="D508" s="31">
        <v>2122245</v>
      </c>
      <c r="E508" s="30" t="s">
        <v>1106</v>
      </c>
      <c r="F508" s="53" t="s">
        <v>293</v>
      </c>
      <c r="G508" s="32">
        <v>44541</v>
      </c>
      <c r="H508" s="33">
        <v>0.45689050793375563</v>
      </c>
      <c r="I508" s="30" t="s">
        <v>469</v>
      </c>
      <c r="J508" s="34">
        <v>215460</v>
      </c>
      <c r="K508" s="35" t="s">
        <v>17</v>
      </c>
      <c r="L508" s="36">
        <v>38782.799999999996</v>
      </c>
      <c r="M508" s="30" t="s">
        <v>23</v>
      </c>
      <c r="N508" s="30" t="s">
        <v>51</v>
      </c>
      <c r="O508" s="30" t="s">
        <v>1542</v>
      </c>
      <c r="P508" s="30" t="s">
        <v>1542</v>
      </c>
      <c r="Q508" s="30" t="str">
        <f t="shared" si="35"/>
        <v>AM</v>
      </c>
      <c r="R508" s="30" t="str">
        <f t="shared" si="36"/>
        <v>DM</v>
      </c>
      <c r="S508" s="30" t="str">
        <f>VLOOKUP(M508,'Data - Employee Rights Master'!$C$3:$D$32,2,0)</f>
        <v>AM</v>
      </c>
      <c r="T508" s="30" t="str">
        <f>VLOOKUP(N508,'Data - Employee Rights Master'!$C$3:$D$32,2,0)</f>
        <v>DM</v>
      </c>
      <c r="U508" s="41" t="str">
        <f t="shared" si="37"/>
        <v>PASS</v>
      </c>
      <c r="V508" s="41" t="str">
        <f t="shared" si="38"/>
        <v>NA</v>
      </c>
      <c r="W508" s="30" t="str">
        <f t="shared" si="39"/>
        <v>2122</v>
      </c>
      <c r="X508" s="30" t="str">
        <f>VLOOKUP(MONTH(G508),Key!$F$3:$G$14,2,0)</f>
        <v>Dec</v>
      </c>
      <c r="Y508" s="30" t="str">
        <f>IFERROR(IF(MATCH(F508,'Test 6'!C$5:C$9,0)&gt;0,"RP"),"NON-RP")</f>
        <v>NON-RP</v>
      </c>
    </row>
    <row r="509" spans="2:25" x14ac:dyDescent="0.5">
      <c r="B509" s="30">
        <v>505</v>
      </c>
      <c r="C509" s="30" t="s">
        <v>1107</v>
      </c>
      <c r="D509" s="31">
        <v>2122246</v>
      </c>
      <c r="E509" s="30" t="s">
        <v>1108</v>
      </c>
      <c r="F509" s="53" t="s">
        <v>84</v>
      </c>
      <c r="G509" s="32">
        <v>44543</v>
      </c>
      <c r="H509" s="33">
        <v>0.60348679988801812</v>
      </c>
      <c r="I509" s="30" t="s">
        <v>469</v>
      </c>
      <c r="J509" s="34">
        <v>231820</v>
      </c>
      <c r="K509" s="35" t="s">
        <v>17</v>
      </c>
      <c r="L509" s="36">
        <v>41727.599999999999</v>
      </c>
      <c r="M509" s="30" t="s">
        <v>18</v>
      </c>
      <c r="N509" s="30" t="s">
        <v>68</v>
      </c>
      <c r="O509" s="30" t="s">
        <v>1542</v>
      </c>
      <c r="P509" s="30" t="s">
        <v>1542</v>
      </c>
      <c r="Q509" s="30" t="str">
        <f t="shared" si="35"/>
        <v>AM</v>
      </c>
      <c r="R509" s="30" t="str">
        <f t="shared" si="36"/>
        <v>DM</v>
      </c>
      <c r="S509" s="30" t="str">
        <f>VLOOKUP(M509,'Data - Employee Rights Master'!$C$3:$D$32,2,0)</f>
        <v>AM</v>
      </c>
      <c r="T509" s="30" t="str">
        <f>VLOOKUP(N509,'Data - Employee Rights Master'!$C$3:$D$32,2,0)</f>
        <v>DM</v>
      </c>
      <c r="U509" s="41" t="str">
        <f t="shared" si="37"/>
        <v>PASS</v>
      </c>
      <c r="V509" s="41" t="str">
        <f t="shared" si="38"/>
        <v>NA</v>
      </c>
      <c r="W509" s="30" t="str">
        <f t="shared" si="39"/>
        <v>2122</v>
      </c>
      <c r="X509" s="30" t="str">
        <f>VLOOKUP(MONTH(G509),Key!$F$3:$G$14,2,0)</f>
        <v>Dec</v>
      </c>
      <c r="Y509" s="30" t="str">
        <f>IFERROR(IF(MATCH(F509,'Test 6'!C$5:C$9,0)&gt;0,"RP"),"NON-RP")</f>
        <v>NON-RP</v>
      </c>
    </row>
    <row r="510" spans="2:25" x14ac:dyDescent="0.5">
      <c r="B510" s="30">
        <v>506</v>
      </c>
      <c r="C510" s="30" t="s">
        <v>1109</v>
      </c>
      <c r="D510" s="31">
        <v>2122247</v>
      </c>
      <c r="E510" s="30" t="s">
        <v>1110</v>
      </c>
      <c r="F510" s="53" t="s">
        <v>608</v>
      </c>
      <c r="G510" s="32">
        <v>44543</v>
      </c>
      <c r="H510" s="33">
        <v>0.44007550457379013</v>
      </c>
      <c r="I510" s="30" t="s">
        <v>469</v>
      </c>
      <c r="J510" s="34">
        <v>433600</v>
      </c>
      <c r="K510" s="35" t="s">
        <v>17</v>
      </c>
      <c r="L510" s="36">
        <v>78048</v>
      </c>
      <c r="M510" s="30" t="s">
        <v>23</v>
      </c>
      <c r="N510" s="30" t="s">
        <v>24</v>
      </c>
      <c r="O510" s="30" t="s">
        <v>1542</v>
      </c>
      <c r="P510" s="30" t="s">
        <v>1542</v>
      </c>
      <c r="Q510" s="30" t="str">
        <f t="shared" si="35"/>
        <v>AM</v>
      </c>
      <c r="R510" s="30" t="str">
        <f t="shared" si="36"/>
        <v>DM</v>
      </c>
      <c r="S510" s="30" t="str">
        <f>VLOOKUP(M510,'Data - Employee Rights Master'!$C$3:$D$32,2,0)</f>
        <v>AM</v>
      </c>
      <c r="T510" s="30" t="str">
        <f>VLOOKUP(N510,'Data - Employee Rights Master'!$C$3:$D$32,2,0)</f>
        <v>DM</v>
      </c>
      <c r="U510" s="41" t="str">
        <f t="shared" si="37"/>
        <v>PASS</v>
      </c>
      <c r="V510" s="41" t="str">
        <f t="shared" si="38"/>
        <v>NA</v>
      </c>
      <c r="W510" s="30" t="str">
        <f t="shared" si="39"/>
        <v>2122</v>
      </c>
      <c r="X510" s="30" t="str">
        <f>VLOOKUP(MONTH(G510),Key!$F$3:$G$14,2,0)</f>
        <v>Dec</v>
      </c>
      <c r="Y510" s="30" t="str">
        <f>IFERROR(IF(MATCH(F510,'Test 6'!C$5:C$9,0)&gt;0,"RP"),"NON-RP")</f>
        <v>NON-RP</v>
      </c>
    </row>
    <row r="511" spans="2:25" x14ac:dyDescent="0.5">
      <c r="B511" s="30">
        <v>507</v>
      </c>
      <c r="C511" s="30" t="s">
        <v>1111</v>
      </c>
      <c r="D511" s="31">
        <v>2122248</v>
      </c>
      <c r="E511" s="30" t="s">
        <v>1112</v>
      </c>
      <c r="F511" s="53" t="s">
        <v>57</v>
      </c>
      <c r="G511" s="32">
        <v>44543</v>
      </c>
      <c r="H511" s="33">
        <v>0.65409785133956999</v>
      </c>
      <c r="I511" s="30" t="s">
        <v>469</v>
      </c>
      <c r="J511" s="34">
        <v>6302410</v>
      </c>
      <c r="K511" s="35" t="s">
        <v>17</v>
      </c>
      <c r="L511" s="36">
        <v>1134433.8</v>
      </c>
      <c r="M511" s="30" t="s">
        <v>41</v>
      </c>
      <c r="N511" s="30" t="s">
        <v>42</v>
      </c>
      <c r="O511" s="30" t="s">
        <v>1575</v>
      </c>
      <c r="P511" s="30" t="s">
        <v>1587</v>
      </c>
      <c r="Q511" s="30" t="str">
        <f t="shared" si="35"/>
        <v>CM</v>
      </c>
      <c r="R511" s="30" t="str">
        <f t="shared" si="36"/>
        <v>CFO</v>
      </c>
      <c r="S511" s="30" t="str">
        <f>VLOOKUP(M511,'Data - Employee Rights Master'!$C$3:$D$32,2,0)</f>
        <v>CM</v>
      </c>
      <c r="T511" s="30" t="str">
        <f>VLOOKUP(N511,'Data - Employee Rights Master'!$C$3:$D$32,2,0)</f>
        <v>CFO</v>
      </c>
      <c r="U511" s="41" t="str">
        <f t="shared" si="37"/>
        <v>PASS</v>
      </c>
      <c r="V511" s="41" t="str">
        <f t="shared" si="38"/>
        <v>PASS</v>
      </c>
      <c r="W511" s="30" t="str">
        <f t="shared" si="39"/>
        <v>2122</v>
      </c>
      <c r="X511" s="30" t="str">
        <f>VLOOKUP(MONTH(G511),Key!$F$3:$G$14,2,0)</f>
        <v>Dec</v>
      </c>
      <c r="Y511" s="30" t="str">
        <f>IFERROR(IF(MATCH(F511,'Test 6'!C$5:C$9,0)&gt;0,"RP"),"NON-RP")</f>
        <v>NON-RP</v>
      </c>
    </row>
    <row r="512" spans="2:25" x14ac:dyDescent="0.5">
      <c r="B512" s="30">
        <v>508</v>
      </c>
      <c r="C512" s="30" t="s">
        <v>1113</v>
      </c>
      <c r="D512" s="31">
        <v>2122249</v>
      </c>
      <c r="E512" s="30" t="s">
        <v>1114</v>
      </c>
      <c r="F512" s="53" t="s">
        <v>241</v>
      </c>
      <c r="G512" s="32">
        <v>44541</v>
      </c>
      <c r="H512" s="33">
        <v>0.82111111111111112</v>
      </c>
      <c r="I512" s="30" t="s">
        <v>469</v>
      </c>
      <c r="J512" s="34">
        <v>4918360</v>
      </c>
      <c r="K512" s="35" t="s">
        <v>17</v>
      </c>
      <c r="L512" s="36">
        <v>885304.79999999993</v>
      </c>
      <c r="M512" s="30" t="s">
        <v>41</v>
      </c>
      <c r="N512" s="30" t="s">
        <v>42</v>
      </c>
      <c r="O512" s="30" t="s">
        <v>1542</v>
      </c>
      <c r="P512" s="30" t="s">
        <v>1542</v>
      </c>
      <c r="Q512" s="30" t="str">
        <f t="shared" si="35"/>
        <v>CM</v>
      </c>
      <c r="R512" s="30" t="str">
        <f t="shared" si="36"/>
        <v>CFO</v>
      </c>
      <c r="S512" s="30" t="str">
        <f>VLOOKUP(M512,'Data - Employee Rights Master'!$C$3:$D$32,2,0)</f>
        <v>CM</v>
      </c>
      <c r="T512" s="30" t="str">
        <f>VLOOKUP(N512,'Data - Employee Rights Master'!$C$3:$D$32,2,0)</f>
        <v>CFO</v>
      </c>
      <c r="U512" s="41" t="str">
        <f t="shared" si="37"/>
        <v>PASS</v>
      </c>
      <c r="V512" s="41" t="str">
        <f t="shared" si="38"/>
        <v>NA</v>
      </c>
      <c r="W512" s="30" t="str">
        <f t="shared" si="39"/>
        <v>2122</v>
      </c>
      <c r="X512" s="30" t="str">
        <f>VLOOKUP(MONTH(G512),Key!$F$3:$G$14,2,0)</f>
        <v>Dec</v>
      </c>
      <c r="Y512" s="30" t="str">
        <f>IFERROR(IF(MATCH(F512,'Test 6'!C$5:C$9,0)&gt;0,"RP"),"NON-RP")</f>
        <v>RP</v>
      </c>
    </row>
    <row r="513" spans="2:25" x14ac:dyDescent="0.5">
      <c r="B513" s="30">
        <v>509</v>
      </c>
      <c r="C513" s="30" t="s">
        <v>1115</v>
      </c>
      <c r="D513" s="31">
        <v>2122250</v>
      </c>
      <c r="E513" s="30" t="s">
        <v>1116</v>
      </c>
      <c r="F513" s="53" t="s">
        <v>114</v>
      </c>
      <c r="G513" s="32">
        <v>44544</v>
      </c>
      <c r="H513" s="33">
        <v>0.62991358534157005</v>
      </c>
      <c r="I513" s="30" t="s">
        <v>469</v>
      </c>
      <c r="J513" s="34">
        <v>488690</v>
      </c>
      <c r="K513" s="35" t="s">
        <v>17</v>
      </c>
      <c r="L513" s="36">
        <v>87964.2</v>
      </c>
      <c r="M513" s="30" t="s">
        <v>23</v>
      </c>
      <c r="N513" s="30" t="s">
        <v>68</v>
      </c>
      <c r="O513" s="30" t="s">
        <v>1542</v>
      </c>
      <c r="P513" s="30" t="s">
        <v>1542</v>
      </c>
      <c r="Q513" s="30" t="str">
        <f t="shared" si="35"/>
        <v>AM</v>
      </c>
      <c r="R513" s="30" t="str">
        <f t="shared" si="36"/>
        <v>DM</v>
      </c>
      <c r="S513" s="30" t="str">
        <f>VLOOKUP(M513,'Data - Employee Rights Master'!$C$3:$D$32,2,0)</f>
        <v>AM</v>
      </c>
      <c r="T513" s="30" t="str">
        <f>VLOOKUP(N513,'Data - Employee Rights Master'!$C$3:$D$32,2,0)</f>
        <v>DM</v>
      </c>
      <c r="U513" s="41" t="str">
        <f t="shared" si="37"/>
        <v>PASS</v>
      </c>
      <c r="V513" s="41" t="str">
        <f t="shared" si="38"/>
        <v>NA</v>
      </c>
      <c r="W513" s="30" t="str">
        <f t="shared" si="39"/>
        <v>2122</v>
      </c>
      <c r="X513" s="30" t="str">
        <f>VLOOKUP(MONTH(G513),Key!$F$3:$G$14,2,0)</f>
        <v>Dec</v>
      </c>
      <c r="Y513" s="30" t="str">
        <f>IFERROR(IF(MATCH(F513,'Test 6'!C$5:C$9,0)&gt;0,"RP"),"NON-RP")</f>
        <v>NON-RP</v>
      </c>
    </row>
    <row r="514" spans="2:25" x14ac:dyDescent="0.5">
      <c r="B514" s="30">
        <v>510</v>
      </c>
      <c r="C514" s="30" t="s">
        <v>1117</v>
      </c>
      <c r="D514" s="31">
        <v>2122251</v>
      </c>
      <c r="E514" s="30" t="s">
        <v>1118</v>
      </c>
      <c r="F514" s="53" t="s">
        <v>92</v>
      </c>
      <c r="G514" s="32">
        <v>44547</v>
      </c>
      <c r="H514" s="33">
        <v>0.46363022044902374</v>
      </c>
      <c r="I514" s="30" t="s">
        <v>469</v>
      </c>
      <c r="J514" s="34">
        <v>415690</v>
      </c>
      <c r="K514" s="35" t="s">
        <v>17</v>
      </c>
      <c r="L514" s="36">
        <v>74824.2</v>
      </c>
      <c r="M514" s="30" t="s">
        <v>18</v>
      </c>
      <c r="N514" s="30" t="s">
        <v>68</v>
      </c>
      <c r="O514" s="30" t="s">
        <v>1542</v>
      </c>
      <c r="P514" s="30" t="s">
        <v>1542</v>
      </c>
      <c r="Q514" s="30" t="str">
        <f t="shared" si="35"/>
        <v>AM</v>
      </c>
      <c r="R514" s="30" t="str">
        <f t="shared" si="36"/>
        <v>DM</v>
      </c>
      <c r="S514" s="30" t="str">
        <f>VLOOKUP(M514,'Data - Employee Rights Master'!$C$3:$D$32,2,0)</f>
        <v>AM</v>
      </c>
      <c r="T514" s="30" t="str">
        <f>VLOOKUP(N514,'Data - Employee Rights Master'!$C$3:$D$32,2,0)</f>
        <v>DM</v>
      </c>
      <c r="U514" s="41" t="str">
        <f t="shared" si="37"/>
        <v>PASS</v>
      </c>
      <c r="V514" s="41" t="str">
        <f t="shared" si="38"/>
        <v>NA</v>
      </c>
      <c r="W514" s="30" t="str">
        <f t="shared" si="39"/>
        <v>2122</v>
      </c>
      <c r="X514" s="30" t="str">
        <f>VLOOKUP(MONTH(G514),Key!$F$3:$G$14,2,0)</f>
        <v>Dec</v>
      </c>
      <c r="Y514" s="30" t="str">
        <f>IFERROR(IF(MATCH(F514,'Test 6'!C$5:C$9,0)&gt;0,"RP"),"NON-RP")</f>
        <v>NON-RP</v>
      </c>
    </row>
    <row r="515" spans="2:25" x14ac:dyDescent="0.5">
      <c r="B515" s="30">
        <v>511</v>
      </c>
      <c r="C515" s="30" t="s">
        <v>1119</v>
      </c>
      <c r="D515" s="31">
        <v>2122252</v>
      </c>
      <c r="E515" s="30" t="s">
        <v>1120</v>
      </c>
      <c r="F515" s="53" t="s">
        <v>35</v>
      </c>
      <c r="G515" s="32">
        <v>44548</v>
      </c>
      <c r="H515" s="33">
        <v>0.68758768197153963</v>
      </c>
      <c r="I515" s="30" t="s">
        <v>469</v>
      </c>
      <c r="J515" s="34">
        <v>497220</v>
      </c>
      <c r="K515" s="35" t="s">
        <v>17</v>
      </c>
      <c r="L515" s="36">
        <v>89499.599999999991</v>
      </c>
      <c r="M515" s="30" t="s">
        <v>46</v>
      </c>
      <c r="N515" s="30" t="s">
        <v>68</v>
      </c>
      <c r="O515" s="30" t="s">
        <v>1542</v>
      </c>
      <c r="P515" s="30" t="s">
        <v>1542</v>
      </c>
      <c r="Q515" s="30" t="str">
        <f t="shared" si="35"/>
        <v>AM</v>
      </c>
      <c r="R515" s="30" t="str">
        <f t="shared" si="36"/>
        <v>DM</v>
      </c>
      <c r="S515" s="30" t="str">
        <f>VLOOKUP(M515,'Data - Employee Rights Master'!$C$3:$D$32,2,0)</f>
        <v>AM</v>
      </c>
      <c r="T515" s="30" t="str">
        <f>VLOOKUP(N515,'Data - Employee Rights Master'!$C$3:$D$32,2,0)</f>
        <v>DM</v>
      </c>
      <c r="U515" s="41" t="str">
        <f t="shared" si="37"/>
        <v>PASS</v>
      </c>
      <c r="V515" s="41" t="str">
        <f t="shared" si="38"/>
        <v>NA</v>
      </c>
      <c r="W515" s="30" t="str">
        <f t="shared" si="39"/>
        <v>2122</v>
      </c>
      <c r="X515" s="30" t="str">
        <f>VLOOKUP(MONTH(G515),Key!$F$3:$G$14,2,0)</f>
        <v>Dec</v>
      </c>
      <c r="Y515" s="30" t="str">
        <f>IFERROR(IF(MATCH(F515,'Test 6'!C$5:C$9,0)&gt;0,"RP"),"NON-RP")</f>
        <v>NON-RP</v>
      </c>
    </row>
    <row r="516" spans="2:25" x14ac:dyDescent="0.5">
      <c r="B516" s="30">
        <v>512</v>
      </c>
      <c r="C516" s="30" t="s">
        <v>1121</v>
      </c>
      <c r="D516" s="31">
        <v>2122253</v>
      </c>
      <c r="E516" s="30" t="s">
        <v>1122</v>
      </c>
      <c r="F516" s="53" t="s">
        <v>175</v>
      </c>
      <c r="G516" s="32">
        <v>44550</v>
      </c>
      <c r="H516" s="33">
        <v>0.48187876318280809</v>
      </c>
      <c r="I516" s="30" t="s">
        <v>469</v>
      </c>
      <c r="J516" s="34">
        <v>273650</v>
      </c>
      <c r="K516" s="35" t="s">
        <v>17</v>
      </c>
      <c r="L516" s="36">
        <v>49257</v>
      </c>
      <c r="M516" s="30" t="s">
        <v>23</v>
      </c>
      <c r="N516" s="30" t="s">
        <v>47</v>
      </c>
      <c r="O516" s="30" t="s">
        <v>1542</v>
      </c>
      <c r="P516" s="30" t="s">
        <v>1542</v>
      </c>
      <c r="Q516" s="30" t="str">
        <f t="shared" si="35"/>
        <v>AM</v>
      </c>
      <c r="R516" s="30" t="str">
        <f t="shared" si="36"/>
        <v>DM</v>
      </c>
      <c r="S516" s="30" t="str">
        <f>VLOOKUP(M516,'Data - Employee Rights Master'!$C$3:$D$32,2,0)</f>
        <v>AM</v>
      </c>
      <c r="T516" s="30" t="str">
        <f>VLOOKUP(N516,'Data - Employee Rights Master'!$C$3:$D$32,2,0)</f>
        <v>DM</v>
      </c>
      <c r="U516" s="41" t="str">
        <f t="shared" si="37"/>
        <v>PASS</v>
      </c>
      <c r="V516" s="41" t="str">
        <f t="shared" si="38"/>
        <v>NA</v>
      </c>
      <c r="W516" s="30" t="str">
        <f t="shared" si="39"/>
        <v>2122</v>
      </c>
      <c r="X516" s="30" t="str">
        <f>VLOOKUP(MONTH(G516),Key!$F$3:$G$14,2,0)</f>
        <v>Dec</v>
      </c>
      <c r="Y516" s="30" t="str">
        <f>IFERROR(IF(MATCH(F516,'Test 6'!C$5:C$9,0)&gt;0,"RP"),"NON-RP")</f>
        <v>NON-RP</v>
      </c>
    </row>
    <row r="517" spans="2:25" x14ac:dyDescent="0.5">
      <c r="B517" s="30">
        <v>513</v>
      </c>
      <c r="C517" s="30" t="s">
        <v>1123</v>
      </c>
      <c r="D517" s="31">
        <v>2122254</v>
      </c>
      <c r="E517" s="30" t="s">
        <v>1124</v>
      </c>
      <c r="F517" s="53" t="s">
        <v>84</v>
      </c>
      <c r="G517" s="32">
        <v>44550</v>
      </c>
      <c r="H517" s="33">
        <v>0.67217310772495176</v>
      </c>
      <c r="I517" s="30" t="s">
        <v>469</v>
      </c>
      <c r="J517" s="34">
        <v>430300</v>
      </c>
      <c r="K517" s="35" t="s">
        <v>17</v>
      </c>
      <c r="L517" s="36">
        <v>77454</v>
      </c>
      <c r="M517" s="30" t="s">
        <v>61</v>
      </c>
      <c r="N517" s="30" t="s">
        <v>47</v>
      </c>
      <c r="O517" s="30" t="s">
        <v>1542</v>
      </c>
      <c r="P517" s="30" t="s">
        <v>1542</v>
      </c>
      <c r="Q517" s="30" t="str">
        <f t="shared" si="35"/>
        <v>AM</v>
      </c>
      <c r="R517" s="30" t="str">
        <f t="shared" si="36"/>
        <v>DM</v>
      </c>
      <c r="S517" s="30" t="str">
        <f>VLOOKUP(M517,'Data - Employee Rights Master'!$C$3:$D$32,2,0)</f>
        <v>AM</v>
      </c>
      <c r="T517" s="30" t="str">
        <f>VLOOKUP(N517,'Data - Employee Rights Master'!$C$3:$D$32,2,0)</f>
        <v>DM</v>
      </c>
      <c r="U517" s="41" t="str">
        <f t="shared" si="37"/>
        <v>PASS</v>
      </c>
      <c r="V517" s="41" t="str">
        <f t="shared" si="38"/>
        <v>NA</v>
      </c>
      <c r="W517" s="30" t="str">
        <f t="shared" si="39"/>
        <v>2122</v>
      </c>
      <c r="X517" s="30" t="str">
        <f>VLOOKUP(MONTH(G517),Key!$F$3:$G$14,2,0)</f>
        <v>Dec</v>
      </c>
      <c r="Y517" s="30" t="str">
        <f>IFERROR(IF(MATCH(F517,'Test 6'!C$5:C$9,0)&gt;0,"RP"),"NON-RP")</f>
        <v>NON-RP</v>
      </c>
    </row>
    <row r="518" spans="2:25" x14ac:dyDescent="0.5">
      <c r="B518" s="30">
        <v>514</v>
      </c>
      <c r="C518" s="30" t="s">
        <v>1125</v>
      </c>
      <c r="D518" s="31">
        <v>2122255</v>
      </c>
      <c r="E518" s="30" t="s">
        <v>1126</v>
      </c>
      <c r="F518" s="53" t="s">
        <v>241</v>
      </c>
      <c r="G518" s="32">
        <v>44549</v>
      </c>
      <c r="H518" s="33">
        <v>0.54486111111111113</v>
      </c>
      <c r="I518" s="30" t="s">
        <v>469</v>
      </c>
      <c r="J518" s="34">
        <v>4924520</v>
      </c>
      <c r="K518" s="35" t="s">
        <v>17</v>
      </c>
      <c r="L518" s="36">
        <v>886413.6</v>
      </c>
      <c r="M518" s="30" t="s">
        <v>41</v>
      </c>
      <c r="N518" s="30" t="s">
        <v>42</v>
      </c>
      <c r="O518" s="30" t="s">
        <v>1542</v>
      </c>
      <c r="P518" s="30" t="s">
        <v>1542</v>
      </c>
      <c r="Q518" s="30" t="str">
        <f t="shared" ref="Q518:Q581" si="40">IF(J518&lt;200000,"SE",IF(J518&lt;500000,"AM",IF(J518&lt;1000000,"DM",IF(J518&lt;4500000,"SM",IF(J518&gt;=4500000,"CM")))))</f>
        <v>CM</v>
      </c>
      <c r="R518" s="30" t="str">
        <f t="shared" ref="R518:R581" si="41">IF(Q518="SE","AM",IF(Q518="AM","DM",IF(Q518="DM","SM",IF(Q518="SM","CM",IF(Q518="CM","CFO")))))</f>
        <v>CFO</v>
      </c>
      <c r="S518" s="30" t="str">
        <f>VLOOKUP(M518,'Data - Employee Rights Master'!$C$3:$D$32,2,0)</f>
        <v>CM</v>
      </c>
      <c r="T518" s="30" t="str">
        <f>VLOOKUP(N518,'Data - Employee Rights Master'!$C$3:$D$32,2,0)</f>
        <v>CFO</v>
      </c>
      <c r="U518" s="41" t="str">
        <f t="shared" ref="U518:U581" si="42">IF(AND(S518=Q518,T518=R518),"PASS","DEVIATION")</f>
        <v>PASS</v>
      </c>
      <c r="V518" s="41" t="str">
        <f t="shared" ref="V518:V581" si="43">IF(J518&gt;5000000,IF(AND(O518="Approved",P518&lt;&gt;"NA"),"PASS","FLAG"),"NA")</f>
        <v>NA</v>
      </c>
      <c r="W518" s="30" t="str">
        <f t="shared" ref="W518:W581" si="44">LEFT(C518,4)</f>
        <v>2122</v>
      </c>
      <c r="X518" s="30" t="str">
        <f>VLOOKUP(MONTH(G518),Key!$F$3:$G$14,2,0)</f>
        <v>Dec</v>
      </c>
      <c r="Y518" s="30" t="str">
        <f>IFERROR(IF(MATCH(F518,'Test 6'!C$5:C$9,0)&gt;0,"RP"),"NON-RP")</f>
        <v>RP</v>
      </c>
    </row>
    <row r="519" spans="2:25" x14ac:dyDescent="0.5">
      <c r="B519" s="30">
        <v>515</v>
      </c>
      <c r="C519" s="30" t="s">
        <v>1127</v>
      </c>
      <c r="D519" s="31">
        <v>2122256</v>
      </c>
      <c r="E519" s="30" t="s">
        <v>1128</v>
      </c>
      <c r="F519" s="53" t="s">
        <v>308</v>
      </c>
      <c r="G519" s="32">
        <v>44548</v>
      </c>
      <c r="H519" s="33">
        <v>0.80379629629629623</v>
      </c>
      <c r="I519" s="30" t="s">
        <v>469</v>
      </c>
      <c r="J519" s="34">
        <v>4823470</v>
      </c>
      <c r="K519" s="35" t="s">
        <v>17</v>
      </c>
      <c r="L519" s="36">
        <v>868224.6</v>
      </c>
      <c r="M519" s="30" t="s">
        <v>41</v>
      </c>
      <c r="N519" s="30" t="s">
        <v>42</v>
      </c>
      <c r="O519" s="30" t="s">
        <v>1542</v>
      </c>
      <c r="P519" s="30" t="s">
        <v>1542</v>
      </c>
      <c r="Q519" s="30" t="str">
        <f t="shared" si="40"/>
        <v>CM</v>
      </c>
      <c r="R519" s="30" t="str">
        <f t="shared" si="41"/>
        <v>CFO</v>
      </c>
      <c r="S519" s="30" t="str">
        <f>VLOOKUP(M519,'Data - Employee Rights Master'!$C$3:$D$32,2,0)</f>
        <v>CM</v>
      </c>
      <c r="T519" s="30" t="str">
        <f>VLOOKUP(N519,'Data - Employee Rights Master'!$C$3:$D$32,2,0)</f>
        <v>CFO</v>
      </c>
      <c r="U519" s="41" t="str">
        <f t="shared" si="42"/>
        <v>PASS</v>
      </c>
      <c r="V519" s="41" t="str">
        <f t="shared" si="43"/>
        <v>NA</v>
      </c>
      <c r="W519" s="30" t="str">
        <f t="shared" si="44"/>
        <v>2122</v>
      </c>
      <c r="X519" s="30" t="str">
        <f>VLOOKUP(MONTH(G519),Key!$F$3:$G$14,2,0)</f>
        <v>Dec</v>
      </c>
      <c r="Y519" s="30" t="str">
        <f>IFERROR(IF(MATCH(F519,'Test 6'!C$5:C$9,0)&gt;0,"RP"),"NON-RP")</f>
        <v>RP</v>
      </c>
    </row>
    <row r="520" spans="2:25" x14ac:dyDescent="0.5">
      <c r="B520" s="30">
        <v>516</v>
      </c>
      <c r="C520" s="30" t="s">
        <v>1129</v>
      </c>
      <c r="D520" s="31">
        <v>2122257</v>
      </c>
      <c r="E520" s="30" t="s">
        <v>1130</v>
      </c>
      <c r="F520" s="53" t="s">
        <v>269</v>
      </c>
      <c r="G520" s="32">
        <v>44551</v>
      </c>
      <c r="H520" s="33">
        <v>0.67548954209508616</v>
      </c>
      <c r="I520" s="30" t="s">
        <v>469</v>
      </c>
      <c r="J520" s="34">
        <v>206810</v>
      </c>
      <c r="K520" s="35" t="s">
        <v>17</v>
      </c>
      <c r="L520" s="36">
        <v>37225.799999999996</v>
      </c>
      <c r="M520" s="30" t="s">
        <v>23</v>
      </c>
      <c r="N520" s="30" t="s">
        <v>68</v>
      </c>
      <c r="O520" s="30" t="s">
        <v>1542</v>
      </c>
      <c r="P520" s="30" t="s">
        <v>1542</v>
      </c>
      <c r="Q520" s="30" t="str">
        <f t="shared" si="40"/>
        <v>AM</v>
      </c>
      <c r="R520" s="30" t="str">
        <f t="shared" si="41"/>
        <v>DM</v>
      </c>
      <c r="S520" s="30" t="str">
        <f>VLOOKUP(M520,'Data - Employee Rights Master'!$C$3:$D$32,2,0)</f>
        <v>AM</v>
      </c>
      <c r="T520" s="30" t="str">
        <f>VLOOKUP(N520,'Data - Employee Rights Master'!$C$3:$D$32,2,0)</f>
        <v>DM</v>
      </c>
      <c r="U520" s="41" t="str">
        <f t="shared" si="42"/>
        <v>PASS</v>
      </c>
      <c r="V520" s="41" t="str">
        <f t="shared" si="43"/>
        <v>NA</v>
      </c>
      <c r="W520" s="30" t="str">
        <f t="shared" si="44"/>
        <v>2122</v>
      </c>
      <c r="X520" s="30" t="str">
        <f>VLOOKUP(MONTH(G520),Key!$F$3:$G$14,2,0)</f>
        <v>Dec</v>
      </c>
      <c r="Y520" s="30" t="str">
        <f>IFERROR(IF(MATCH(F520,'Test 6'!C$5:C$9,0)&gt;0,"RP"),"NON-RP")</f>
        <v>NON-RP</v>
      </c>
    </row>
    <row r="521" spans="2:25" x14ac:dyDescent="0.5">
      <c r="B521" s="30">
        <v>517</v>
      </c>
      <c r="C521" s="30" t="s">
        <v>1131</v>
      </c>
      <c r="D521" s="31">
        <v>2122258</v>
      </c>
      <c r="E521" s="30" t="s">
        <v>1132</v>
      </c>
      <c r="F521" s="53" t="s">
        <v>332</v>
      </c>
      <c r="G521" s="32">
        <v>44552</v>
      </c>
      <c r="H521" s="33">
        <v>0.6873555626303478</v>
      </c>
      <c r="I521" s="30" t="s">
        <v>469</v>
      </c>
      <c r="J521" s="34">
        <v>434540</v>
      </c>
      <c r="K521" s="35" t="s">
        <v>17</v>
      </c>
      <c r="L521" s="36">
        <v>78217.2</v>
      </c>
      <c r="M521" s="30" t="s">
        <v>28</v>
      </c>
      <c r="N521" s="30" t="s">
        <v>19</v>
      </c>
      <c r="O521" s="30" t="s">
        <v>1542</v>
      </c>
      <c r="P521" s="30" t="s">
        <v>1542</v>
      </c>
      <c r="Q521" s="30" t="str">
        <f t="shared" si="40"/>
        <v>AM</v>
      </c>
      <c r="R521" s="30" t="str">
        <f t="shared" si="41"/>
        <v>DM</v>
      </c>
      <c r="S521" s="30" t="str">
        <f>VLOOKUP(M521,'Data - Employee Rights Master'!$C$3:$D$32,2,0)</f>
        <v>AM</v>
      </c>
      <c r="T521" s="30" t="str">
        <f>VLOOKUP(N521,'Data - Employee Rights Master'!$C$3:$D$32,2,0)</f>
        <v>DM</v>
      </c>
      <c r="U521" s="41" t="str">
        <f t="shared" si="42"/>
        <v>PASS</v>
      </c>
      <c r="V521" s="41" t="str">
        <f t="shared" si="43"/>
        <v>NA</v>
      </c>
      <c r="W521" s="30" t="str">
        <f t="shared" si="44"/>
        <v>2122</v>
      </c>
      <c r="X521" s="30" t="str">
        <f>VLOOKUP(MONTH(G521),Key!$F$3:$G$14,2,0)</f>
        <v>Dec</v>
      </c>
      <c r="Y521" s="30" t="str">
        <f>IFERROR(IF(MATCH(F521,'Test 6'!C$5:C$9,0)&gt;0,"RP"),"NON-RP")</f>
        <v>NON-RP</v>
      </c>
    </row>
    <row r="522" spans="2:25" x14ac:dyDescent="0.5">
      <c r="B522" s="30">
        <v>518</v>
      </c>
      <c r="C522" s="30" t="s">
        <v>1133</v>
      </c>
      <c r="D522" s="31">
        <v>2122259</v>
      </c>
      <c r="E522" s="30" t="s">
        <v>1134</v>
      </c>
      <c r="F522" s="53" t="s">
        <v>50</v>
      </c>
      <c r="G522" s="32">
        <v>44552</v>
      </c>
      <c r="H522" s="33">
        <v>0.64697167376266995</v>
      </c>
      <c r="I522" s="30" t="s">
        <v>469</v>
      </c>
      <c r="J522" s="34">
        <v>386590</v>
      </c>
      <c r="K522" s="35" t="s">
        <v>17</v>
      </c>
      <c r="L522" s="36">
        <v>69586.2</v>
      </c>
      <c r="M522" s="30" t="s">
        <v>37</v>
      </c>
      <c r="N522" s="30" t="s">
        <v>19</v>
      </c>
      <c r="O522" s="30" t="s">
        <v>1542</v>
      </c>
      <c r="P522" s="30" t="s">
        <v>1542</v>
      </c>
      <c r="Q522" s="30" t="str">
        <f t="shared" si="40"/>
        <v>AM</v>
      </c>
      <c r="R522" s="30" t="str">
        <f t="shared" si="41"/>
        <v>DM</v>
      </c>
      <c r="S522" s="30" t="str">
        <f>VLOOKUP(M522,'Data - Employee Rights Master'!$C$3:$D$32,2,0)</f>
        <v>AM</v>
      </c>
      <c r="T522" s="30" t="str">
        <f>VLOOKUP(N522,'Data - Employee Rights Master'!$C$3:$D$32,2,0)</f>
        <v>DM</v>
      </c>
      <c r="U522" s="41" t="str">
        <f t="shared" si="42"/>
        <v>PASS</v>
      </c>
      <c r="V522" s="41" t="str">
        <f t="shared" si="43"/>
        <v>NA</v>
      </c>
      <c r="W522" s="30" t="str">
        <f t="shared" si="44"/>
        <v>2122</v>
      </c>
      <c r="X522" s="30" t="str">
        <f>VLOOKUP(MONTH(G522),Key!$F$3:$G$14,2,0)</f>
        <v>Dec</v>
      </c>
      <c r="Y522" s="30" t="str">
        <f>IFERROR(IF(MATCH(F522,'Test 6'!C$5:C$9,0)&gt;0,"RP"),"NON-RP")</f>
        <v>NON-RP</v>
      </c>
    </row>
    <row r="523" spans="2:25" x14ac:dyDescent="0.5">
      <c r="B523" s="30">
        <v>519</v>
      </c>
      <c r="C523" s="30" t="s">
        <v>1135</v>
      </c>
      <c r="D523" s="31">
        <v>2122260</v>
      </c>
      <c r="E523" s="30" t="s">
        <v>1136</v>
      </c>
      <c r="F523" s="53" t="s">
        <v>332</v>
      </c>
      <c r="G523" s="32">
        <v>44553</v>
      </c>
      <c r="H523" s="33">
        <v>0.73128276944864501</v>
      </c>
      <c r="I523" s="30" t="s">
        <v>469</v>
      </c>
      <c r="J523" s="34">
        <v>250140</v>
      </c>
      <c r="K523" s="35" t="s">
        <v>17</v>
      </c>
      <c r="L523" s="36">
        <v>45025.2</v>
      </c>
      <c r="M523" s="30" t="s">
        <v>28</v>
      </c>
      <c r="N523" s="30" t="s">
        <v>51</v>
      </c>
      <c r="O523" s="30" t="s">
        <v>1542</v>
      </c>
      <c r="P523" s="30" t="s">
        <v>1542</v>
      </c>
      <c r="Q523" s="30" t="str">
        <f t="shared" si="40"/>
        <v>AM</v>
      </c>
      <c r="R523" s="30" t="str">
        <f t="shared" si="41"/>
        <v>DM</v>
      </c>
      <c r="S523" s="30" t="str">
        <f>VLOOKUP(M523,'Data - Employee Rights Master'!$C$3:$D$32,2,0)</f>
        <v>AM</v>
      </c>
      <c r="T523" s="30" t="str">
        <f>VLOOKUP(N523,'Data - Employee Rights Master'!$C$3:$D$32,2,0)</f>
        <v>DM</v>
      </c>
      <c r="U523" s="41" t="str">
        <f t="shared" si="42"/>
        <v>PASS</v>
      </c>
      <c r="V523" s="41" t="str">
        <f t="shared" si="43"/>
        <v>NA</v>
      </c>
      <c r="W523" s="30" t="str">
        <f t="shared" si="44"/>
        <v>2122</v>
      </c>
      <c r="X523" s="30" t="str">
        <f>VLOOKUP(MONTH(G523),Key!$F$3:$G$14,2,0)</f>
        <v>Dec</v>
      </c>
      <c r="Y523" s="30" t="str">
        <f>IFERROR(IF(MATCH(F523,'Test 6'!C$5:C$9,0)&gt;0,"RP"),"NON-RP")</f>
        <v>NON-RP</v>
      </c>
    </row>
    <row r="524" spans="2:25" x14ac:dyDescent="0.5">
      <c r="B524" s="30">
        <v>520</v>
      </c>
      <c r="C524" s="30" t="s">
        <v>1137</v>
      </c>
      <c r="D524" s="31">
        <v>2122261</v>
      </c>
      <c r="E524" s="30" t="s">
        <v>1138</v>
      </c>
      <c r="F524" s="53" t="s">
        <v>54</v>
      </c>
      <c r="G524" s="32">
        <v>44557</v>
      </c>
      <c r="H524" s="33">
        <v>0.43735005870240723</v>
      </c>
      <c r="I524" s="30" t="s">
        <v>469</v>
      </c>
      <c r="J524" s="34">
        <v>282660</v>
      </c>
      <c r="K524" s="35" t="s">
        <v>17</v>
      </c>
      <c r="L524" s="36">
        <v>50878.799999999996</v>
      </c>
      <c r="M524" s="30" t="s">
        <v>23</v>
      </c>
      <c r="N524" s="30" t="s">
        <v>51</v>
      </c>
      <c r="O524" s="30" t="s">
        <v>1542</v>
      </c>
      <c r="P524" s="30" t="s">
        <v>1542</v>
      </c>
      <c r="Q524" s="30" t="str">
        <f t="shared" si="40"/>
        <v>AM</v>
      </c>
      <c r="R524" s="30" t="str">
        <f t="shared" si="41"/>
        <v>DM</v>
      </c>
      <c r="S524" s="30" t="str">
        <f>VLOOKUP(M524,'Data - Employee Rights Master'!$C$3:$D$32,2,0)</f>
        <v>AM</v>
      </c>
      <c r="T524" s="30" t="str">
        <f>VLOOKUP(N524,'Data - Employee Rights Master'!$C$3:$D$32,2,0)</f>
        <v>DM</v>
      </c>
      <c r="U524" s="41" t="str">
        <f t="shared" si="42"/>
        <v>PASS</v>
      </c>
      <c r="V524" s="41" t="str">
        <f t="shared" si="43"/>
        <v>NA</v>
      </c>
      <c r="W524" s="30" t="str">
        <f t="shared" si="44"/>
        <v>2122</v>
      </c>
      <c r="X524" s="30" t="str">
        <f>VLOOKUP(MONTH(G524),Key!$F$3:$G$14,2,0)</f>
        <v>Dec</v>
      </c>
      <c r="Y524" s="30" t="str">
        <f>IFERROR(IF(MATCH(F524,'Test 6'!C$5:C$9,0)&gt;0,"RP"),"NON-RP")</f>
        <v>NON-RP</v>
      </c>
    </row>
    <row r="525" spans="2:25" x14ac:dyDescent="0.5">
      <c r="B525" s="30">
        <v>521</v>
      </c>
      <c r="C525" s="30" t="s">
        <v>1139</v>
      </c>
      <c r="D525" s="31">
        <v>2122262</v>
      </c>
      <c r="E525" s="30" t="s">
        <v>1140</v>
      </c>
      <c r="F525" s="53" t="s">
        <v>114</v>
      </c>
      <c r="G525" s="32">
        <v>44557</v>
      </c>
      <c r="H525" s="33">
        <v>0.71888043870161955</v>
      </c>
      <c r="I525" s="30" t="s">
        <v>469</v>
      </c>
      <c r="J525" s="34">
        <v>501580</v>
      </c>
      <c r="K525" s="35" t="s">
        <v>17</v>
      </c>
      <c r="L525" s="36">
        <v>90284.4</v>
      </c>
      <c r="M525" s="30" t="s">
        <v>24</v>
      </c>
      <c r="N525" s="30" t="s">
        <v>1078</v>
      </c>
      <c r="O525" s="30" t="s">
        <v>1542</v>
      </c>
      <c r="P525" s="30" t="s">
        <v>1542</v>
      </c>
      <c r="Q525" s="30" t="str">
        <f t="shared" si="40"/>
        <v>DM</v>
      </c>
      <c r="R525" s="30" t="str">
        <f t="shared" si="41"/>
        <v>SM</v>
      </c>
      <c r="S525" s="30" t="str">
        <f>VLOOKUP(M525,'Data - Employee Rights Master'!$C$3:$D$32,2,0)</f>
        <v>DM</v>
      </c>
      <c r="T525" s="30" t="str">
        <f>VLOOKUP(N525,'Data - Employee Rights Master'!$C$3:$D$32,2,0)</f>
        <v>SM</v>
      </c>
      <c r="U525" s="41" t="str">
        <f t="shared" si="42"/>
        <v>PASS</v>
      </c>
      <c r="V525" s="41" t="str">
        <f t="shared" si="43"/>
        <v>NA</v>
      </c>
      <c r="W525" s="30" t="str">
        <f t="shared" si="44"/>
        <v>2122</v>
      </c>
      <c r="X525" s="30" t="str">
        <f>VLOOKUP(MONTH(G525),Key!$F$3:$G$14,2,0)</f>
        <v>Dec</v>
      </c>
      <c r="Y525" s="30" t="str">
        <f>IFERROR(IF(MATCH(F525,'Test 6'!C$5:C$9,0)&gt;0,"RP"),"NON-RP")</f>
        <v>NON-RP</v>
      </c>
    </row>
    <row r="526" spans="2:25" x14ac:dyDescent="0.5">
      <c r="B526" s="30">
        <v>522</v>
      </c>
      <c r="C526" s="30" t="s">
        <v>1141</v>
      </c>
      <c r="D526" s="31">
        <v>2122263</v>
      </c>
      <c r="E526" s="30" t="s">
        <v>1142</v>
      </c>
      <c r="F526" s="53" t="s">
        <v>15</v>
      </c>
      <c r="G526" s="32">
        <v>44558</v>
      </c>
      <c r="H526" s="33">
        <v>0.49011731843005801</v>
      </c>
      <c r="I526" s="30" t="s">
        <v>469</v>
      </c>
      <c r="J526" s="34">
        <v>486120</v>
      </c>
      <c r="K526" s="35" t="s">
        <v>17</v>
      </c>
      <c r="L526" s="36">
        <v>87501.599999999991</v>
      </c>
      <c r="M526" s="30" t="s">
        <v>28</v>
      </c>
      <c r="N526" s="30" t="s">
        <v>51</v>
      </c>
      <c r="O526" s="30" t="s">
        <v>1542</v>
      </c>
      <c r="P526" s="30" t="s">
        <v>1542</v>
      </c>
      <c r="Q526" s="30" t="str">
        <f t="shared" si="40"/>
        <v>AM</v>
      </c>
      <c r="R526" s="30" t="str">
        <f t="shared" si="41"/>
        <v>DM</v>
      </c>
      <c r="S526" s="30" t="str">
        <f>VLOOKUP(M526,'Data - Employee Rights Master'!$C$3:$D$32,2,0)</f>
        <v>AM</v>
      </c>
      <c r="T526" s="30" t="str">
        <f>VLOOKUP(N526,'Data - Employee Rights Master'!$C$3:$D$32,2,0)</f>
        <v>DM</v>
      </c>
      <c r="U526" s="41" t="str">
        <f t="shared" si="42"/>
        <v>PASS</v>
      </c>
      <c r="V526" s="41" t="str">
        <f t="shared" si="43"/>
        <v>NA</v>
      </c>
      <c r="W526" s="30" t="str">
        <f t="shared" si="44"/>
        <v>2122</v>
      </c>
      <c r="X526" s="30" t="str">
        <f>VLOOKUP(MONTH(G526),Key!$F$3:$G$14,2,0)</f>
        <v>Dec</v>
      </c>
      <c r="Y526" s="30" t="str">
        <f>IFERROR(IF(MATCH(F526,'Test 6'!C$5:C$9,0)&gt;0,"RP"),"NON-RP")</f>
        <v>NON-RP</v>
      </c>
    </row>
    <row r="527" spans="2:25" x14ac:dyDescent="0.5">
      <c r="B527" s="30">
        <v>523</v>
      </c>
      <c r="C527" s="30" t="s">
        <v>1143</v>
      </c>
      <c r="D527" s="31">
        <v>2122264</v>
      </c>
      <c r="E527" s="30" t="s">
        <v>1144</v>
      </c>
      <c r="F527" s="53" t="s">
        <v>103</v>
      </c>
      <c r="G527" s="32">
        <v>44558</v>
      </c>
      <c r="H527" s="33">
        <v>0.42640629054326773</v>
      </c>
      <c r="I527" s="30" t="s">
        <v>469</v>
      </c>
      <c r="J527" s="34">
        <v>448080</v>
      </c>
      <c r="K527" s="35" t="s">
        <v>17</v>
      </c>
      <c r="L527" s="36">
        <v>80654.399999999994</v>
      </c>
      <c r="M527" s="30" t="s">
        <v>32</v>
      </c>
      <c r="N527" s="30" t="s">
        <v>68</v>
      </c>
      <c r="O527" s="30" t="s">
        <v>1542</v>
      </c>
      <c r="P527" s="30" t="s">
        <v>1542</v>
      </c>
      <c r="Q527" s="30" t="str">
        <f t="shared" si="40"/>
        <v>AM</v>
      </c>
      <c r="R527" s="30" t="str">
        <f t="shared" si="41"/>
        <v>DM</v>
      </c>
      <c r="S527" s="30" t="str">
        <f>VLOOKUP(M527,'Data - Employee Rights Master'!$C$3:$D$32,2,0)</f>
        <v>AM</v>
      </c>
      <c r="T527" s="30" t="str">
        <f>VLOOKUP(N527,'Data - Employee Rights Master'!$C$3:$D$32,2,0)</f>
        <v>DM</v>
      </c>
      <c r="U527" s="41" t="str">
        <f t="shared" si="42"/>
        <v>PASS</v>
      </c>
      <c r="V527" s="41" t="str">
        <f t="shared" si="43"/>
        <v>NA</v>
      </c>
      <c r="W527" s="30" t="str">
        <f t="shared" si="44"/>
        <v>2122</v>
      </c>
      <c r="X527" s="30" t="str">
        <f>VLOOKUP(MONTH(G527),Key!$F$3:$G$14,2,0)</f>
        <v>Dec</v>
      </c>
      <c r="Y527" s="30" t="str">
        <f>IFERROR(IF(MATCH(F527,'Test 6'!C$5:C$9,0)&gt;0,"RP"),"NON-RP")</f>
        <v>NON-RP</v>
      </c>
    </row>
    <row r="528" spans="2:25" x14ac:dyDescent="0.5">
      <c r="B528" s="30">
        <v>524</v>
      </c>
      <c r="C528" s="30" t="s">
        <v>1145</v>
      </c>
      <c r="D528" s="31">
        <v>2122265</v>
      </c>
      <c r="E528" s="30" t="s">
        <v>1146</v>
      </c>
      <c r="F528" s="53" t="s">
        <v>378</v>
      </c>
      <c r="G528" s="32">
        <v>44563</v>
      </c>
      <c r="H528" s="33">
        <v>0.49816425610188075</v>
      </c>
      <c r="I528" s="30" t="s">
        <v>502</v>
      </c>
      <c r="J528" s="34">
        <v>4363500</v>
      </c>
      <c r="K528" s="35" t="s">
        <v>17</v>
      </c>
      <c r="L528" s="36">
        <v>785430</v>
      </c>
      <c r="M528" s="30" t="s">
        <v>701</v>
      </c>
      <c r="N528" s="30" t="s">
        <v>41</v>
      </c>
      <c r="O528" s="30" t="s">
        <v>1542</v>
      </c>
      <c r="P528" s="30" t="s">
        <v>1542</v>
      </c>
      <c r="Q528" s="30" t="str">
        <f t="shared" si="40"/>
        <v>SM</v>
      </c>
      <c r="R528" s="30" t="str">
        <f t="shared" si="41"/>
        <v>CM</v>
      </c>
      <c r="S528" s="30" t="str">
        <f>VLOOKUP(M528,'Data - Employee Rights Master'!$C$3:$D$32,2,0)</f>
        <v>SM</v>
      </c>
      <c r="T528" s="30" t="str">
        <f>VLOOKUP(N528,'Data - Employee Rights Master'!$C$3:$D$32,2,0)</f>
        <v>CM</v>
      </c>
      <c r="U528" s="41" t="str">
        <f t="shared" si="42"/>
        <v>PASS</v>
      </c>
      <c r="V528" s="41" t="str">
        <f t="shared" si="43"/>
        <v>NA</v>
      </c>
      <c r="W528" s="30" t="str">
        <f t="shared" si="44"/>
        <v>2122</v>
      </c>
      <c r="X528" s="30" t="str">
        <f>VLOOKUP(MONTH(G528),Key!$F$3:$G$14,2,0)</f>
        <v>Jan</v>
      </c>
      <c r="Y528" s="30" t="str">
        <f>IFERROR(IF(MATCH(F528,'Test 6'!C$5:C$9,0)&gt;0,"RP"),"NON-RP")</f>
        <v>RP</v>
      </c>
    </row>
    <row r="529" spans="2:25" x14ac:dyDescent="0.5">
      <c r="B529" s="30">
        <v>525</v>
      </c>
      <c r="C529" s="30" t="s">
        <v>1147</v>
      </c>
      <c r="D529" s="31">
        <v>2122266</v>
      </c>
      <c r="E529" s="30" t="s">
        <v>1148</v>
      </c>
      <c r="F529" s="53" t="s">
        <v>229</v>
      </c>
      <c r="G529" s="32">
        <v>44564</v>
      </c>
      <c r="H529" s="33">
        <v>0.5269293694255397</v>
      </c>
      <c r="I529" s="30" t="s">
        <v>502</v>
      </c>
      <c r="J529" s="34">
        <v>210400</v>
      </c>
      <c r="K529" s="35" t="s">
        <v>17</v>
      </c>
      <c r="L529" s="36">
        <v>37872</v>
      </c>
      <c r="M529" s="30" t="s">
        <v>23</v>
      </c>
      <c r="N529" s="30" t="s">
        <v>19</v>
      </c>
      <c r="O529" s="30" t="s">
        <v>1542</v>
      </c>
      <c r="P529" s="30" t="s">
        <v>1542</v>
      </c>
      <c r="Q529" s="30" t="str">
        <f t="shared" si="40"/>
        <v>AM</v>
      </c>
      <c r="R529" s="30" t="str">
        <f t="shared" si="41"/>
        <v>DM</v>
      </c>
      <c r="S529" s="30" t="str">
        <f>VLOOKUP(M529,'Data - Employee Rights Master'!$C$3:$D$32,2,0)</f>
        <v>AM</v>
      </c>
      <c r="T529" s="30" t="str">
        <f>VLOOKUP(N529,'Data - Employee Rights Master'!$C$3:$D$32,2,0)</f>
        <v>DM</v>
      </c>
      <c r="U529" s="41" t="str">
        <f t="shared" si="42"/>
        <v>PASS</v>
      </c>
      <c r="V529" s="41" t="str">
        <f t="shared" si="43"/>
        <v>NA</v>
      </c>
      <c r="W529" s="30" t="str">
        <f t="shared" si="44"/>
        <v>2122</v>
      </c>
      <c r="X529" s="30" t="str">
        <f>VLOOKUP(MONTH(G529),Key!$F$3:$G$14,2,0)</f>
        <v>Jan</v>
      </c>
      <c r="Y529" s="30" t="str">
        <f>IFERROR(IF(MATCH(F529,'Test 6'!C$5:C$9,0)&gt;0,"RP"),"NON-RP")</f>
        <v>NON-RP</v>
      </c>
    </row>
    <row r="530" spans="2:25" x14ac:dyDescent="0.5">
      <c r="B530" s="30">
        <v>526</v>
      </c>
      <c r="C530" s="30" t="s">
        <v>1149</v>
      </c>
      <c r="D530" s="31">
        <v>2122267</v>
      </c>
      <c r="E530" s="30" t="s">
        <v>1150</v>
      </c>
      <c r="F530" s="53" t="s">
        <v>64</v>
      </c>
      <c r="G530" s="32">
        <v>44567</v>
      </c>
      <c r="H530" s="33">
        <v>0.52032610025430759</v>
      </c>
      <c r="I530" s="30" t="s">
        <v>502</v>
      </c>
      <c r="J530" s="34">
        <v>208970</v>
      </c>
      <c r="K530" s="35" t="s">
        <v>17</v>
      </c>
      <c r="L530" s="36">
        <v>37614.6</v>
      </c>
      <c r="M530" s="30" t="s">
        <v>61</v>
      </c>
      <c r="N530" s="30" t="s">
        <v>19</v>
      </c>
      <c r="O530" s="30" t="s">
        <v>1542</v>
      </c>
      <c r="P530" s="30" t="s">
        <v>1542</v>
      </c>
      <c r="Q530" s="30" t="str">
        <f t="shared" si="40"/>
        <v>AM</v>
      </c>
      <c r="R530" s="30" t="str">
        <f t="shared" si="41"/>
        <v>DM</v>
      </c>
      <c r="S530" s="30" t="str">
        <f>VLOOKUP(M530,'Data - Employee Rights Master'!$C$3:$D$32,2,0)</f>
        <v>AM</v>
      </c>
      <c r="T530" s="30" t="str">
        <f>VLOOKUP(N530,'Data - Employee Rights Master'!$C$3:$D$32,2,0)</f>
        <v>DM</v>
      </c>
      <c r="U530" s="41" t="str">
        <f t="shared" si="42"/>
        <v>PASS</v>
      </c>
      <c r="V530" s="41" t="str">
        <f t="shared" si="43"/>
        <v>NA</v>
      </c>
      <c r="W530" s="30" t="str">
        <f t="shared" si="44"/>
        <v>2122</v>
      </c>
      <c r="X530" s="30" t="str">
        <f>VLOOKUP(MONTH(G530),Key!$F$3:$G$14,2,0)</f>
        <v>Jan</v>
      </c>
      <c r="Y530" s="30" t="str">
        <f>IFERROR(IF(MATCH(F530,'Test 6'!C$5:C$9,0)&gt;0,"RP"),"NON-RP")</f>
        <v>NON-RP</v>
      </c>
    </row>
    <row r="531" spans="2:25" x14ac:dyDescent="0.5">
      <c r="B531" s="30">
        <v>527</v>
      </c>
      <c r="C531" s="30" t="s">
        <v>1151</v>
      </c>
      <c r="D531" s="31">
        <v>2122268</v>
      </c>
      <c r="E531" s="30" t="s">
        <v>1152</v>
      </c>
      <c r="F531" s="53" t="s">
        <v>95</v>
      </c>
      <c r="G531" s="32">
        <v>44571</v>
      </c>
      <c r="H531" s="33">
        <v>0.48839646648569324</v>
      </c>
      <c r="I531" s="30" t="s">
        <v>502</v>
      </c>
      <c r="J531" s="34">
        <v>338270</v>
      </c>
      <c r="K531" s="35" t="s">
        <v>17</v>
      </c>
      <c r="L531" s="36">
        <v>60888.6</v>
      </c>
      <c r="M531" s="30" t="s">
        <v>23</v>
      </c>
      <c r="N531" s="30" t="s">
        <v>68</v>
      </c>
      <c r="O531" s="30" t="s">
        <v>1542</v>
      </c>
      <c r="P531" s="30" t="s">
        <v>1542</v>
      </c>
      <c r="Q531" s="30" t="str">
        <f t="shared" si="40"/>
        <v>AM</v>
      </c>
      <c r="R531" s="30" t="str">
        <f t="shared" si="41"/>
        <v>DM</v>
      </c>
      <c r="S531" s="30" t="str">
        <f>VLOOKUP(M531,'Data - Employee Rights Master'!$C$3:$D$32,2,0)</f>
        <v>AM</v>
      </c>
      <c r="T531" s="30" t="str">
        <f>VLOOKUP(N531,'Data - Employee Rights Master'!$C$3:$D$32,2,0)</f>
        <v>DM</v>
      </c>
      <c r="U531" s="41" t="str">
        <f t="shared" si="42"/>
        <v>PASS</v>
      </c>
      <c r="V531" s="41" t="str">
        <f t="shared" si="43"/>
        <v>NA</v>
      </c>
      <c r="W531" s="30" t="str">
        <f t="shared" si="44"/>
        <v>2122</v>
      </c>
      <c r="X531" s="30" t="str">
        <f>VLOOKUP(MONTH(G531),Key!$F$3:$G$14,2,0)</f>
        <v>Jan</v>
      </c>
      <c r="Y531" s="30" t="str">
        <f>IFERROR(IF(MATCH(F531,'Test 6'!C$5:C$9,0)&gt;0,"RP"),"NON-RP")</f>
        <v>NON-RP</v>
      </c>
    </row>
    <row r="532" spans="2:25" x14ac:dyDescent="0.5">
      <c r="B532" s="30">
        <v>528</v>
      </c>
      <c r="C532" s="30" t="s">
        <v>1153</v>
      </c>
      <c r="D532" s="31">
        <v>2122269</v>
      </c>
      <c r="E532" s="30" t="s">
        <v>1154</v>
      </c>
      <c r="F532" s="53" t="s">
        <v>195</v>
      </c>
      <c r="G532" s="32">
        <v>44571</v>
      </c>
      <c r="H532" s="33">
        <v>0.67963732188706305</v>
      </c>
      <c r="I532" s="30" t="s">
        <v>502</v>
      </c>
      <c r="J532" s="34">
        <v>373910</v>
      </c>
      <c r="K532" s="35" t="s">
        <v>17</v>
      </c>
      <c r="L532" s="36">
        <v>67303.8</v>
      </c>
      <c r="M532" s="30" t="s">
        <v>32</v>
      </c>
      <c r="N532" s="30" t="s">
        <v>19</v>
      </c>
      <c r="O532" s="30" t="s">
        <v>1542</v>
      </c>
      <c r="P532" s="30" t="s">
        <v>1542</v>
      </c>
      <c r="Q532" s="30" t="str">
        <f t="shared" si="40"/>
        <v>AM</v>
      </c>
      <c r="R532" s="30" t="str">
        <f t="shared" si="41"/>
        <v>DM</v>
      </c>
      <c r="S532" s="30" t="str">
        <f>VLOOKUP(M532,'Data - Employee Rights Master'!$C$3:$D$32,2,0)</f>
        <v>AM</v>
      </c>
      <c r="T532" s="30" t="str">
        <f>VLOOKUP(N532,'Data - Employee Rights Master'!$C$3:$D$32,2,0)</f>
        <v>DM</v>
      </c>
      <c r="U532" s="41" t="str">
        <f t="shared" si="42"/>
        <v>PASS</v>
      </c>
      <c r="V532" s="41" t="str">
        <f t="shared" si="43"/>
        <v>NA</v>
      </c>
      <c r="W532" s="30" t="str">
        <f t="shared" si="44"/>
        <v>2122</v>
      </c>
      <c r="X532" s="30" t="str">
        <f>VLOOKUP(MONTH(G532),Key!$F$3:$G$14,2,0)</f>
        <v>Jan</v>
      </c>
      <c r="Y532" s="30" t="str">
        <f>IFERROR(IF(MATCH(F532,'Test 6'!C$5:C$9,0)&gt;0,"RP"),"NON-RP")</f>
        <v>NON-RP</v>
      </c>
    </row>
    <row r="533" spans="2:25" x14ac:dyDescent="0.5">
      <c r="B533" s="30">
        <v>529</v>
      </c>
      <c r="C533" s="30" t="s">
        <v>1155</v>
      </c>
      <c r="D533" s="31">
        <v>2122270</v>
      </c>
      <c r="E533" s="30" t="s">
        <v>1156</v>
      </c>
      <c r="F533" s="53" t="s">
        <v>125</v>
      </c>
      <c r="G533" s="32">
        <v>44571</v>
      </c>
      <c r="H533" s="33">
        <v>0.73129511557217497</v>
      </c>
      <c r="I533" s="30" t="s">
        <v>502</v>
      </c>
      <c r="J533" s="34">
        <v>462870</v>
      </c>
      <c r="K533" s="35" t="s">
        <v>17</v>
      </c>
      <c r="L533" s="36">
        <v>83316.599999999991</v>
      </c>
      <c r="M533" s="30" t="s">
        <v>18</v>
      </c>
      <c r="N533" s="30" t="s">
        <v>47</v>
      </c>
      <c r="O533" s="30" t="s">
        <v>1542</v>
      </c>
      <c r="P533" s="30" t="s">
        <v>1542</v>
      </c>
      <c r="Q533" s="30" t="str">
        <f t="shared" si="40"/>
        <v>AM</v>
      </c>
      <c r="R533" s="30" t="str">
        <f t="shared" si="41"/>
        <v>DM</v>
      </c>
      <c r="S533" s="30" t="str">
        <f>VLOOKUP(M533,'Data - Employee Rights Master'!$C$3:$D$32,2,0)</f>
        <v>AM</v>
      </c>
      <c r="T533" s="30" t="str">
        <f>VLOOKUP(N533,'Data - Employee Rights Master'!$C$3:$D$32,2,0)</f>
        <v>DM</v>
      </c>
      <c r="U533" s="41" t="str">
        <f t="shared" si="42"/>
        <v>PASS</v>
      </c>
      <c r="V533" s="41" t="str">
        <f t="shared" si="43"/>
        <v>NA</v>
      </c>
      <c r="W533" s="30" t="str">
        <f t="shared" si="44"/>
        <v>2122</v>
      </c>
      <c r="X533" s="30" t="str">
        <f>VLOOKUP(MONTH(G533),Key!$F$3:$G$14,2,0)</f>
        <v>Jan</v>
      </c>
      <c r="Y533" s="30" t="str">
        <f>IFERROR(IF(MATCH(F533,'Test 6'!C$5:C$9,0)&gt;0,"RP"),"NON-RP")</f>
        <v>NON-RP</v>
      </c>
    </row>
    <row r="534" spans="2:25" x14ac:dyDescent="0.5">
      <c r="B534" s="30">
        <v>530</v>
      </c>
      <c r="C534" s="30" t="s">
        <v>1157</v>
      </c>
      <c r="D534" s="31">
        <v>2122271</v>
      </c>
      <c r="E534" s="30" t="s">
        <v>1158</v>
      </c>
      <c r="F534" s="53" t="s">
        <v>35</v>
      </c>
      <c r="G534" s="32">
        <v>44572</v>
      </c>
      <c r="H534" s="33">
        <v>0.69320494931606225</v>
      </c>
      <c r="I534" s="30" t="s">
        <v>502</v>
      </c>
      <c r="J534" s="34">
        <v>352840</v>
      </c>
      <c r="K534" s="35" t="s">
        <v>17</v>
      </c>
      <c r="L534" s="36">
        <v>63511.199999999997</v>
      </c>
      <c r="M534" s="30" t="s">
        <v>23</v>
      </c>
      <c r="N534" s="30" t="s">
        <v>68</v>
      </c>
      <c r="O534" s="30" t="s">
        <v>1542</v>
      </c>
      <c r="P534" s="30" t="s">
        <v>1542</v>
      </c>
      <c r="Q534" s="30" t="str">
        <f t="shared" si="40"/>
        <v>AM</v>
      </c>
      <c r="R534" s="30" t="str">
        <f t="shared" si="41"/>
        <v>DM</v>
      </c>
      <c r="S534" s="30" t="str">
        <f>VLOOKUP(M534,'Data - Employee Rights Master'!$C$3:$D$32,2,0)</f>
        <v>AM</v>
      </c>
      <c r="T534" s="30" t="str">
        <f>VLOOKUP(N534,'Data - Employee Rights Master'!$C$3:$D$32,2,0)</f>
        <v>DM</v>
      </c>
      <c r="U534" s="41" t="str">
        <f t="shared" si="42"/>
        <v>PASS</v>
      </c>
      <c r="V534" s="41" t="str">
        <f t="shared" si="43"/>
        <v>NA</v>
      </c>
      <c r="W534" s="30" t="str">
        <f t="shared" si="44"/>
        <v>2122</v>
      </c>
      <c r="X534" s="30" t="str">
        <f>VLOOKUP(MONTH(G534),Key!$F$3:$G$14,2,0)</f>
        <v>Jan</v>
      </c>
      <c r="Y534" s="30" t="str">
        <f>IFERROR(IF(MATCH(F534,'Test 6'!C$5:C$9,0)&gt;0,"RP"),"NON-RP")</f>
        <v>NON-RP</v>
      </c>
    </row>
    <row r="535" spans="2:25" x14ac:dyDescent="0.5">
      <c r="B535" s="30">
        <v>531</v>
      </c>
      <c r="C535" s="30" t="s">
        <v>1159</v>
      </c>
      <c r="D535" s="31">
        <v>2122272</v>
      </c>
      <c r="E535" s="30" t="s">
        <v>1160</v>
      </c>
      <c r="F535" s="53" t="s">
        <v>103</v>
      </c>
      <c r="G535" s="32">
        <v>44572</v>
      </c>
      <c r="H535" s="33">
        <v>0.5808335635647861</v>
      </c>
      <c r="I535" s="30" t="s">
        <v>502</v>
      </c>
      <c r="J535" s="34">
        <v>303440</v>
      </c>
      <c r="K535" s="35" t="s">
        <v>17</v>
      </c>
      <c r="L535" s="36">
        <v>54619.199999999997</v>
      </c>
      <c r="M535" s="30" t="s">
        <v>37</v>
      </c>
      <c r="N535" s="30" t="s">
        <v>51</v>
      </c>
      <c r="O535" s="30" t="s">
        <v>1542</v>
      </c>
      <c r="P535" s="30" t="s">
        <v>1542</v>
      </c>
      <c r="Q535" s="30" t="str">
        <f t="shared" si="40"/>
        <v>AM</v>
      </c>
      <c r="R535" s="30" t="str">
        <f t="shared" si="41"/>
        <v>DM</v>
      </c>
      <c r="S535" s="30" t="str">
        <f>VLOOKUP(M535,'Data - Employee Rights Master'!$C$3:$D$32,2,0)</f>
        <v>AM</v>
      </c>
      <c r="T535" s="30" t="str">
        <f>VLOOKUP(N535,'Data - Employee Rights Master'!$C$3:$D$32,2,0)</f>
        <v>DM</v>
      </c>
      <c r="U535" s="41" t="str">
        <f t="shared" si="42"/>
        <v>PASS</v>
      </c>
      <c r="V535" s="41" t="str">
        <f t="shared" si="43"/>
        <v>NA</v>
      </c>
      <c r="W535" s="30" t="str">
        <f t="shared" si="44"/>
        <v>2122</v>
      </c>
      <c r="X535" s="30" t="str">
        <f>VLOOKUP(MONTH(G535),Key!$F$3:$G$14,2,0)</f>
        <v>Jan</v>
      </c>
      <c r="Y535" s="30" t="str">
        <f>IFERROR(IF(MATCH(F535,'Test 6'!C$5:C$9,0)&gt;0,"RP"),"NON-RP")</f>
        <v>NON-RP</v>
      </c>
    </row>
    <row r="536" spans="2:25" x14ac:dyDescent="0.5">
      <c r="B536" s="30">
        <v>532</v>
      </c>
      <c r="C536" s="30" t="s">
        <v>1161</v>
      </c>
      <c r="D536" s="31">
        <v>2122273</v>
      </c>
      <c r="E536" s="30" t="s">
        <v>1162</v>
      </c>
      <c r="F536" s="53" t="s">
        <v>40</v>
      </c>
      <c r="G536" s="32">
        <v>44573</v>
      </c>
      <c r="H536" s="33">
        <v>0.47938106746752573</v>
      </c>
      <c r="I536" s="30" t="s">
        <v>502</v>
      </c>
      <c r="J536" s="34">
        <v>492290</v>
      </c>
      <c r="K536" s="35" t="s">
        <v>17</v>
      </c>
      <c r="L536" s="36">
        <v>88612.2</v>
      </c>
      <c r="M536" s="30" t="s">
        <v>61</v>
      </c>
      <c r="N536" s="30" t="s">
        <v>24</v>
      </c>
      <c r="O536" s="30" t="s">
        <v>1542</v>
      </c>
      <c r="P536" s="30" t="s">
        <v>1542</v>
      </c>
      <c r="Q536" s="30" t="str">
        <f t="shared" si="40"/>
        <v>AM</v>
      </c>
      <c r="R536" s="30" t="str">
        <f t="shared" si="41"/>
        <v>DM</v>
      </c>
      <c r="S536" s="30" t="str">
        <f>VLOOKUP(M536,'Data - Employee Rights Master'!$C$3:$D$32,2,0)</f>
        <v>AM</v>
      </c>
      <c r="T536" s="30" t="str">
        <f>VLOOKUP(N536,'Data - Employee Rights Master'!$C$3:$D$32,2,0)</f>
        <v>DM</v>
      </c>
      <c r="U536" s="41" t="str">
        <f t="shared" si="42"/>
        <v>PASS</v>
      </c>
      <c r="V536" s="41" t="str">
        <f t="shared" si="43"/>
        <v>NA</v>
      </c>
      <c r="W536" s="30" t="str">
        <f t="shared" si="44"/>
        <v>2122</v>
      </c>
      <c r="X536" s="30" t="str">
        <f>VLOOKUP(MONTH(G536),Key!$F$3:$G$14,2,0)</f>
        <v>Jan</v>
      </c>
      <c r="Y536" s="30" t="str">
        <f>IFERROR(IF(MATCH(F536,'Test 6'!C$5:C$9,0)&gt;0,"RP"),"NON-RP")</f>
        <v>NON-RP</v>
      </c>
    </row>
    <row r="537" spans="2:25" x14ac:dyDescent="0.5">
      <c r="B537" s="30">
        <v>533</v>
      </c>
      <c r="C537" s="30" t="s">
        <v>1163</v>
      </c>
      <c r="D537" s="31">
        <v>2122274</v>
      </c>
      <c r="E537" s="30" t="s">
        <v>1164</v>
      </c>
      <c r="F537" s="53" t="s">
        <v>272</v>
      </c>
      <c r="G537" s="32">
        <v>44573</v>
      </c>
      <c r="H537" s="33">
        <v>0.5630954189001578</v>
      </c>
      <c r="I537" s="30" t="s">
        <v>502</v>
      </c>
      <c r="J537" s="34">
        <v>307090</v>
      </c>
      <c r="K537" s="35" t="s">
        <v>17</v>
      </c>
      <c r="L537" s="36">
        <v>55276.2</v>
      </c>
      <c r="M537" s="30" t="s">
        <v>28</v>
      </c>
      <c r="N537" s="30" t="s">
        <v>19</v>
      </c>
      <c r="O537" s="30" t="s">
        <v>1542</v>
      </c>
      <c r="P537" s="30" t="s">
        <v>1542</v>
      </c>
      <c r="Q537" s="30" t="str">
        <f t="shared" si="40"/>
        <v>AM</v>
      </c>
      <c r="R537" s="30" t="str">
        <f t="shared" si="41"/>
        <v>DM</v>
      </c>
      <c r="S537" s="30" t="str">
        <f>VLOOKUP(M537,'Data - Employee Rights Master'!$C$3:$D$32,2,0)</f>
        <v>AM</v>
      </c>
      <c r="T537" s="30" t="str">
        <f>VLOOKUP(N537,'Data - Employee Rights Master'!$C$3:$D$32,2,0)</f>
        <v>DM</v>
      </c>
      <c r="U537" s="41" t="str">
        <f t="shared" si="42"/>
        <v>PASS</v>
      </c>
      <c r="V537" s="41" t="str">
        <f t="shared" si="43"/>
        <v>NA</v>
      </c>
      <c r="W537" s="30" t="str">
        <f t="shared" si="44"/>
        <v>2122</v>
      </c>
      <c r="X537" s="30" t="str">
        <f>VLOOKUP(MONTH(G537),Key!$F$3:$G$14,2,0)</f>
        <v>Jan</v>
      </c>
      <c r="Y537" s="30" t="str">
        <f>IFERROR(IF(MATCH(F537,'Test 6'!C$5:C$9,0)&gt;0,"RP"),"NON-RP")</f>
        <v>NON-RP</v>
      </c>
    </row>
    <row r="538" spans="2:25" x14ac:dyDescent="0.5">
      <c r="B538" s="30">
        <v>534</v>
      </c>
      <c r="C538" s="30" t="s">
        <v>1165</v>
      </c>
      <c r="D538" s="31">
        <v>2122275</v>
      </c>
      <c r="E538" s="30" t="s">
        <v>1166</v>
      </c>
      <c r="F538" s="53" t="s">
        <v>577</v>
      </c>
      <c r="G538" s="32">
        <v>44577</v>
      </c>
      <c r="H538" s="33">
        <v>0.51827546296296301</v>
      </c>
      <c r="I538" s="30" t="s">
        <v>502</v>
      </c>
      <c r="J538" s="34">
        <v>4847720</v>
      </c>
      <c r="K538" s="35" t="s">
        <v>17</v>
      </c>
      <c r="L538" s="36">
        <v>872589.6</v>
      </c>
      <c r="M538" s="30" t="s">
        <v>41</v>
      </c>
      <c r="N538" s="30" t="s">
        <v>42</v>
      </c>
      <c r="O538" s="30" t="s">
        <v>1542</v>
      </c>
      <c r="P538" s="30" t="s">
        <v>1542</v>
      </c>
      <c r="Q538" s="30" t="str">
        <f t="shared" si="40"/>
        <v>CM</v>
      </c>
      <c r="R538" s="30" t="str">
        <f t="shared" si="41"/>
        <v>CFO</v>
      </c>
      <c r="S538" s="30" t="str">
        <f>VLOOKUP(M538,'Data - Employee Rights Master'!$C$3:$D$32,2,0)</f>
        <v>CM</v>
      </c>
      <c r="T538" s="30" t="str">
        <f>VLOOKUP(N538,'Data - Employee Rights Master'!$C$3:$D$32,2,0)</f>
        <v>CFO</v>
      </c>
      <c r="U538" s="41" t="str">
        <f t="shared" si="42"/>
        <v>PASS</v>
      </c>
      <c r="V538" s="41" t="str">
        <f t="shared" si="43"/>
        <v>NA</v>
      </c>
      <c r="W538" s="30" t="str">
        <f t="shared" si="44"/>
        <v>2122</v>
      </c>
      <c r="X538" s="30" t="str">
        <f>VLOOKUP(MONTH(G538),Key!$F$3:$G$14,2,0)</f>
        <v>Jan</v>
      </c>
      <c r="Y538" s="30" t="str">
        <f>IFERROR(IF(MATCH(F538,'Test 6'!C$5:C$9,0)&gt;0,"RP"),"NON-RP")</f>
        <v>RP</v>
      </c>
    </row>
    <row r="539" spans="2:25" x14ac:dyDescent="0.5">
      <c r="B539" s="30">
        <v>535</v>
      </c>
      <c r="C539" s="30" t="s">
        <v>1167</v>
      </c>
      <c r="D539" s="31">
        <v>2122276</v>
      </c>
      <c r="E539" s="30" t="s">
        <v>1168</v>
      </c>
      <c r="F539" s="53" t="s">
        <v>290</v>
      </c>
      <c r="G539" s="32">
        <v>44574</v>
      </c>
      <c r="H539" s="33">
        <v>0.52417851567147666</v>
      </c>
      <c r="I539" s="30" t="s">
        <v>502</v>
      </c>
      <c r="J539" s="34">
        <v>434150</v>
      </c>
      <c r="K539" s="35" t="s">
        <v>17</v>
      </c>
      <c r="L539" s="36">
        <v>78147</v>
      </c>
      <c r="M539" s="30" t="s">
        <v>18</v>
      </c>
      <c r="N539" s="30" t="s">
        <v>68</v>
      </c>
      <c r="O539" s="30" t="s">
        <v>1542</v>
      </c>
      <c r="P539" s="30" t="s">
        <v>1542</v>
      </c>
      <c r="Q539" s="30" t="str">
        <f t="shared" si="40"/>
        <v>AM</v>
      </c>
      <c r="R539" s="30" t="str">
        <f t="shared" si="41"/>
        <v>DM</v>
      </c>
      <c r="S539" s="30" t="str">
        <f>VLOOKUP(M539,'Data - Employee Rights Master'!$C$3:$D$32,2,0)</f>
        <v>AM</v>
      </c>
      <c r="T539" s="30" t="str">
        <f>VLOOKUP(N539,'Data - Employee Rights Master'!$C$3:$D$32,2,0)</f>
        <v>DM</v>
      </c>
      <c r="U539" s="41" t="str">
        <f t="shared" si="42"/>
        <v>PASS</v>
      </c>
      <c r="V539" s="41" t="str">
        <f t="shared" si="43"/>
        <v>NA</v>
      </c>
      <c r="W539" s="30" t="str">
        <f t="shared" si="44"/>
        <v>2122</v>
      </c>
      <c r="X539" s="30" t="str">
        <f>VLOOKUP(MONTH(G539),Key!$F$3:$G$14,2,0)</f>
        <v>Jan</v>
      </c>
      <c r="Y539" s="30" t="str">
        <f>IFERROR(IF(MATCH(F539,'Test 6'!C$5:C$9,0)&gt;0,"RP"),"NON-RP")</f>
        <v>NON-RP</v>
      </c>
    </row>
    <row r="540" spans="2:25" x14ac:dyDescent="0.5">
      <c r="B540" s="30">
        <v>536</v>
      </c>
      <c r="C540" s="30" t="s">
        <v>1169</v>
      </c>
      <c r="D540" s="31">
        <v>2122277</v>
      </c>
      <c r="E540" s="30" t="s">
        <v>1170</v>
      </c>
      <c r="F540" s="53" t="s">
        <v>272</v>
      </c>
      <c r="G540" s="32">
        <v>44575</v>
      </c>
      <c r="H540" s="33">
        <v>0.55684730361555712</v>
      </c>
      <c r="I540" s="30" t="s">
        <v>502</v>
      </c>
      <c r="J540" s="34">
        <v>220400</v>
      </c>
      <c r="K540" s="35" t="s">
        <v>17</v>
      </c>
      <c r="L540" s="36">
        <v>39672</v>
      </c>
      <c r="M540" s="30" t="s">
        <v>18</v>
      </c>
      <c r="N540" s="30" t="s">
        <v>51</v>
      </c>
      <c r="O540" s="30" t="s">
        <v>1542</v>
      </c>
      <c r="P540" s="30" t="s">
        <v>1542</v>
      </c>
      <c r="Q540" s="30" t="str">
        <f t="shared" si="40"/>
        <v>AM</v>
      </c>
      <c r="R540" s="30" t="str">
        <f t="shared" si="41"/>
        <v>DM</v>
      </c>
      <c r="S540" s="30" t="str">
        <f>VLOOKUP(M540,'Data - Employee Rights Master'!$C$3:$D$32,2,0)</f>
        <v>AM</v>
      </c>
      <c r="T540" s="30" t="str">
        <f>VLOOKUP(N540,'Data - Employee Rights Master'!$C$3:$D$32,2,0)</f>
        <v>DM</v>
      </c>
      <c r="U540" s="41" t="str">
        <f t="shared" si="42"/>
        <v>PASS</v>
      </c>
      <c r="V540" s="41" t="str">
        <f t="shared" si="43"/>
        <v>NA</v>
      </c>
      <c r="W540" s="30" t="str">
        <f t="shared" si="44"/>
        <v>2122</v>
      </c>
      <c r="X540" s="30" t="str">
        <f>VLOOKUP(MONTH(G540),Key!$F$3:$G$14,2,0)</f>
        <v>Jan</v>
      </c>
      <c r="Y540" s="30" t="str">
        <f>IFERROR(IF(MATCH(F540,'Test 6'!C$5:C$9,0)&gt;0,"RP"),"NON-RP")</f>
        <v>NON-RP</v>
      </c>
    </row>
    <row r="541" spans="2:25" x14ac:dyDescent="0.5">
      <c r="B541" s="30">
        <v>537</v>
      </c>
      <c r="C541" s="30" t="s">
        <v>1171</v>
      </c>
      <c r="D541" s="31">
        <v>2122278</v>
      </c>
      <c r="E541" s="30" t="s">
        <v>1172</v>
      </c>
      <c r="F541" s="53" t="s">
        <v>50</v>
      </c>
      <c r="G541" s="32">
        <v>44576</v>
      </c>
      <c r="H541" s="33">
        <v>0.67099310307218185</v>
      </c>
      <c r="I541" s="30" t="s">
        <v>502</v>
      </c>
      <c r="J541" s="34">
        <v>35350</v>
      </c>
      <c r="K541" s="35" t="s">
        <v>17</v>
      </c>
      <c r="L541" s="36">
        <v>6363</v>
      </c>
      <c r="M541" s="30" t="s">
        <v>704</v>
      </c>
      <c r="N541" s="30" t="s">
        <v>18</v>
      </c>
      <c r="O541" s="30" t="s">
        <v>1542</v>
      </c>
      <c r="P541" s="30" t="s">
        <v>1542</v>
      </c>
      <c r="Q541" s="30" t="str">
        <f t="shared" si="40"/>
        <v>SE</v>
      </c>
      <c r="R541" s="30" t="str">
        <f t="shared" si="41"/>
        <v>AM</v>
      </c>
      <c r="S541" s="30" t="str">
        <f>VLOOKUP(M541,'Data - Employee Rights Master'!$C$3:$D$32,2,0)</f>
        <v>SE</v>
      </c>
      <c r="T541" s="30" t="str">
        <f>VLOOKUP(N541,'Data - Employee Rights Master'!$C$3:$D$32,2,0)</f>
        <v>AM</v>
      </c>
      <c r="U541" s="41" t="str">
        <f t="shared" si="42"/>
        <v>PASS</v>
      </c>
      <c r="V541" s="41" t="str">
        <f t="shared" si="43"/>
        <v>NA</v>
      </c>
      <c r="W541" s="30" t="str">
        <f t="shared" si="44"/>
        <v>2122</v>
      </c>
      <c r="X541" s="30" t="str">
        <f>VLOOKUP(MONTH(G541),Key!$F$3:$G$14,2,0)</f>
        <v>Jan</v>
      </c>
      <c r="Y541" s="30" t="str">
        <f>IFERROR(IF(MATCH(F541,'Test 6'!C$5:C$9,0)&gt;0,"RP"),"NON-RP")</f>
        <v>NON-RP</v>
      </c>
    </row>
    <row r="542" spans="2:25" x14ac:dyDescent="0.5">
      <c r="B542" s="30">
        <v>538</v>
      </c>
      <c r="C542" s="30" t="s">
        <v>1173</v>
      </c>
      <c r="D542" s="31">
        <v>2122279</v>
      </c>
      <c r="E542" s="30" t="s">
        <v>1174</v>
      </c>
      <c r="F542" s="53" t="s">
        <v>238</v>
      </c>
      <c r="G542" s="32">
        <v>44578</v>
      </c>
      <c r="H542" s="33">
        <v>0.57271462437300202</v>
      </c>
      <c r="I542" s="30" t="s">
        <v>502</v>
      </c>
      <c r="J542" s="34">
        <v>461940</v>
      </c>
      <c r="K542" s="35" t="s">
        <v>17</v>
      </c>
      <c r="L542" s="36">
        <v>83149.2</v>
      </c>
      <c r="M542" s="30" t="s">
        <v>46</v>
      </c>
      <c r="N542" s="30" t="s">
        <v>19</v>
      </c>
      <c r="O542" s="30" t="s">
        <v>1542</v>
      </c>
      <c r="P542" s="30" t="s">
        <v>1542</v>
      </c>
      <c r="Q542" s="30" t="str">
        <f t="shared" si="40"/>
        <v>AM</v>
      </c>
      <c r="R542" s="30" t="str">
        <f t="shared" si="41"/>
        <v>DM</v>
      </c>
      <c r="S542" s="30" t="str">
        <f>VLOOKUP(M542,'Data - Employee Rights Master'!$C$3:$D$32,2,0)</f>
        <v>AM</v>
      </c>
      <c r="T542" s="30" t="str">
        <f>VLOOKUP(N542,'Data - Employee Rights Master'!$C$3:$D$32,2,0)</f>
        <v>DM</v>
      </c>
      <c r="U542" s="41" t="str">
        <f t="shared" si="42"/>
        <v>PASS</v>
      </c>
      <c r="V542" s="41" t="str">
        <f t="shared" si="43"/>
        <v>NA</v>
      </c>
      <c r="W542" s="30" t="str">
        <f t="shared" si="44"/>
        <v>2122</v>
      </c>
      <c r="X542" s="30" t="str">
        <f>VLOOKUP(MONTH(G542),Key!$F$3:$G$14,2,0)</f>
        <v>Jan</v>
      </c>
      <c r="Y542" s="30" t="str">
        <f>IFERROR(IF(MATCH(F542,'Test 6'!C$5:C$9,0)&gt;0,"RP"),"NON-RP")</f>
        <v>NON-RP</v>
      </c>
    </row>
    <row r="543" spans="2:25" x14ac:dyDescent="0.5">
      <c r="B543" s="30">
        <v>539</v>
      </c>
      <c r="C543" s="30" t="s">
        <v>1175</v>
      </c>
      <c r="D543" s="31">
        <v>2122280</v>
      </c>
      <c r="E543" s="30" t="s">
        <v>1176</v>
      </c>
      <c r="F543" s="53" t="s">
        <v>67</v>
      </c>
      <c r="G543" s="32">
        <v>44578</v>
      </c>
      <c r="H543" s="33">
        <v>0.74788015468932745</v>
      </c>
      <c r="I543" s="30" t="s">
        <v>502</v>
      </c>
      <c r="J543" s="34">
        <v>36930</v>
      </c>
      <c r="K543" s="35" t="s">
        <v>17</v>
      </c>
      <c r="L543" s="36">
        <v>6647.4</v>
      </c>
      <c r="M543" s="30" t="s">
        <v>923</v>
      </c>
      <c r="N543" s="30" t="s">
        <v>61</v>
      </c>
      <c r="O543" s="30" t="s">
        <v>1542</v>
      </c>
      <c r="P543" s="30" t="s">
        <v>1542</v>
      </c>
      <c r="Q543" s="30" t="str">
        <f t="shared" si="40"/>
        <v>SE</v>
      </c>
      <c r="R543" s="30" t="str">
        <f t="shared" si="41"/>
        <v>AM</v>
      </c>
      <c r="S543" s="30" t="str">
        <f>VLOOKUP(M543,'Data - Employee Rights Master'!$C$3:$D$32,2,0)</f>
        <v>SE</v>
      </c>
      <c r="T543" s="30" t="str">
        <f>VLOOKUP(N543,'Data - Employee Rights Master'!$C$3:$D$32,2,0)</f>
        <v>AM</v>
      </c>
      <c r="U543" s="41" t="str">
        <f t="shared" si="42"/>
        <v>PASS</v>
      </c>
      <c r="V543" s="41" t="str">
        <f t="shared" si="43"/>
        <v>NA</v>
      </c>
      <c r="W543" s="30" t="str">
        <f t="shared" si="44"/>
        <v>2122</v>
      </c>
      <c r="X543" s="30" t="str">
        <f>VLOOKUP(MONTH(G543),Key!$F$3:$G$14,2,0)</f>
        <v>Jan</v>
      </c>
      <c r="Y543" s="30" t="str">
        <f>IFERROR(IF(MATCH(F543,'Test 6'!C$5:C$9,0)&gt;0,"RP"),"NON-RP")</f>
        <v>NON-RP</v>
      </c>
    </row>
    <row r="544" spans="2:25" x14ac:dyDescent="0.5">
      <c r="B544" s="30">
        <v>540</v>
      </c>
      <c r="C544" s="30" t="s">
        <v>1177</v>
      </c>
      <c r="D544" s="31">
        <v>2122281</v>
      </c>
      <c r="E544" s="30" t="s">
        <v>1178</v>
      </c>
      <c r="F544" s="53" t="s">
        <v>111</v>
      </c>
      <c r="G544" s="32">
        <v>44583</v>
      </c>
      <c r="H544" s="33">
        <v>0.80902777777777779</v>
      </c>
      <c r="I544" s="30" t="s">
        <v>502</v>
      </c>
      <c r="J544" s="34">
        <v>4651520</v>
      </c>
      <c r="K544" s="35" t="s">
        <v>17</v>
      </c>
      <c r="L544" s="36">
        <v>837273.59999999998</v>
      </c>
      <c r="M544" s="30" t="s">
        <v>41</v>
      </c>
      <c r="N544" s="30" t="s">
        <v>42</v>
      </c>
      <c r="O544" s="30" t="s">
        <v>1542</v>
      </c>
      <c r="P544" s="30" t="s">
        <v>1542</v>
      </c>
      <c r="Q544" s="30" t="str">
        <f t="shared" si="40"/>
        <v>CM</v>
      </c>
      <c r="R544" s="30" t="str">
        <f t="shared" si="41"/>
        <v>CFO</v>
      </c>
      <c r="S544" s="30" t="str">
        <f>VLOOKUP(M544,'Data - Employee Rights Master'!$C$3:$D$32,2,0)</f>
        <v>CM</v>
      </c>
      <c r="T544" s="30" t="str">
        <f>VLOOKUP(N544,'Data - Employee Rights Master'!$C$3:$D$32,2,0)</f>
        <v>CFO</v>
      </c>
      <c r="U544" s="41" t="str">
        <f t="shared" si="42"/>
        <v>PASS</v>
      </c>
      <c r="V544" s="41" t="str">
        <f t="shared" si="43"/>
        <v>NA</v>
      </c>
      <c r="W544" s="30" t="str">
        <f t="shared" si="44"/>
        <v>2122</v>
      </c>
      <c r="X544" s="30" t="str">
        <f>VLOOKUP(MONTH(G544),Key!$F$3:$G$14,2,0)</f>
        <v>Jan</v>
      </c>
      <c r="Y544" s="30" t="str">
        <f>IFERROR(IF(MATCH(F544,'Test 6'!C$5:C$9,0)&gt;0,"RP"),"NON-RP")</f>
        <v>RP</v>
      </c>
    </row>
    <row r="545" spans="2:25" x14ac:dyDescent="0.5">
      <c r="B545" s="30">
        <v>541</v>
      </c>
      <c r="C545" s="30" t="s">
        <v>1179</v>
      </c>
      <c r="D545" s="31">
        <v>2122282</v>
      </c>
      <c r="E545" s="30" t="s">
        <v>1180</v>
      </c>
      <c r="F545" s="53" t="s">
        <v>67</v>
      </c>
      <c r="G545" s="32">
        <v>44580</v>
      </c>
      <c r="H545" s="33">
        <v>0.63889528449701616</v>
      </c>
      <c r="I545" s="30" t="s">
        <v>502</v>
      </c>
      <c r="J545" s="34">
        <v>23120</v>
      </c>
      <c r="K545" s="35" t="s">
        <v>17</v>
      </c>
      <c r="L545" s="36">
        <v>4161.5999999999995</v>
      </c>
      <c r="M545" s="30" t="s">
        <v>78</v>
      </c>
      <c r="N545" s="30" t="s">
        <v>23</v>
      </c>
      <c r="O545" s="30" t="s">
        <v>1542</v>
      </c>
      <c r="P545" s="30" t="s">
        <v>1542</v>
      </c>
      <c r="Q545" s="30" t="str">
        <f t="shared" si="40"/>
        <v>SE</v>
      </c>
      <c r="R545" s="30" t="str">
        <f t="shared" si="41"/>
        <v>AM</v>
      </c>
      <c r="S545" s="30" t="str">
        <f>VLOOKUP(M545,'Data - Employee Rights Master'!$C$3:$D$32,2,0)</f>
        <v>SE</v>
      </c>
      <c r="T545" s="30" t="str">
        <f>VLOOKUP(N545,'Data - Employee Rights Master'!$C$3:$D$32,2,0)</f>
        <v>AM</v>
      </c>
      <c r="U545" s="41" t="str">
        <f t="shared" si="42"/>
        <v>PASS</v>
      </c>
      <c r="V545" s="41" t="str">
        <f t="shared" si="43"/>
        <v>NA</v>
      </c>
      <c r="W545" s="30" t="str">
        <f t="shared" si="44"/>
        <v>2122</v>
      </c>
      <c r="X545" s="30" t="str">
        <f>VLOOKUP(MONTH(G545),Key!$F$3:$G$14,2,0)</f>
        <v>Jan</v>
      </c>
      <c r="Y545" s="30" t="str">
        <f>IFERROR(IF(MATCH(F545,'Test 6'!C$5:C$9,0)&gt;0,"RP"),"NON-RP")</f>
        <v>NON-RP</v>
      </c>
    </row>
    <row r="546" spans="2:25" x14ac:dyDescent="0.5">
      <c r="B546" s="30">
        <v>542</v>
      </c>
      <c r="C546" s="30" t="s">
        <v>1181</v>
      </c>
      <c r="D546" s="31">
        <v>2122283</v>
      </c>
      <c r="E546" s="30" t="s">
        <v>1182</v>
      </c>
      <c r="F546" s="53" t="s">
        <v>203</v>
      </c>
      <c r="G546" s="32">
        <v>44581</v>
      </c>
      <c r="H546" s="33">
        <v>0.52612145290869672</v>
      </c>
      <c r="I546" s="30" t="s">
        <v>502</v>
      </c>
      <c r="J546" s="34">
        <v>427480</v>
      </c>
      <c r="K546" s="35" t="s">
        <v>17</v>
      </c>
      <c r="L546" s="36">
        <v>76946.399999999994</v>
      </c>
      <c r="M546" s="30" t="s">
        <v>37</v>
      </c>
      <c r="N546" s="30" t="s">
        <v>47</v>
      </c>
      <c r="O546" s="30" t="s">
        <v>1542</v>
      </c>
      <c r="P546" s="30" t="s">
        <v>1542</v>
      </c>
      <c r="Q546" s="30" t="str">
        <f t="shared" si="40"/>
        <v>AM</v>
      </c>
      <c r="R546" s="30" t="str">
        <f t="shared" si="41"/>
        <v>DM</v>
      </c>
      <c r="S546" s="30" t="str">
        <f>VLOOKUP(M546,'Data - Employee Rights Master'!$C$3:$D$32,2,0)</f>
        <v>AM</v>
      </c>
      <c r="T546" s="30" t="str">
        <f>VLOOKUP(N546,'Data - Employee Rights Master'!$C$3:$D$32,2,0)</f>
        <v>DM</v>
      </c>
      <c r="U546" s="41" t="str">
        <f t="shared" si="42"/>
        <v>PASS</v>
      </c>
      <c r="V546" s="41" t="str">
        <f t="shared" si="43"/>
        <v>NA</v>
      </c>
      <c r="W546" s="30" t="str">
        <f t="shared" si="44"/>
        <v>2122</v>
      </c>
      <c r="X546" s="30" t="str">
        <f>VLOOKUP(MONTH(G546),Key!$F$3:$G$14,2,0)</f>
        <v>Jan</v>
      </c>
      <c r="Y546" s="30" t="str">
        <f>IFERROR(IF(MATCH(F546,'Test 6'!C$5:C$9,0)&gt;0,"RP"),"NON-RP")</f>
        <v>NON-RP</v>
      </c>
    </row>
    <row r="547" spans="2:25" x14ac:dyDescent="0.5">
      <c r="B547" s="30">
        <v>543</v>
      </c>
      <c r="C547" s="30" t="s">
        <v>1183</v>
      </c>
      <c r="D547" s="31">
        <v>2122284</v>
      </c>
      <c r="E547" s="30" t="s">
        <v>1184</v>
      </c>
      <c r="F547" s="53" t="s">
        <v>114</v>
      </c>
      <c r="G547" s="32">
        <v>44581</v>
      </c>
      <c r="H547" s="33">
        <v>0.70922302333720766</v>
      </c>
      <c r="I547" s="30" t="s">
        <v>502</v>
      </c>
      <c r="J547" s="34">
        <v>29260</v>
      </c>
      <c r="K547" s="35" t="s">
        <v>17</v>
      </c>
      <c r="L547" s="36">
        <v>5266.8</v>
      </c>
      <c r="M547" s="30" t="s">
        <v>168</v>
      </c>
      <c r="N547" s="30" t="s">
        <v>23</v>
      </c>
      <c r="O547" s="30" t="s">
        <v>1542</v>
      </c>
      <c r="P547" s="30" t="s">
        <v>1542</v>
      </c>
      <c r="Q547" s="30" t="str">
        <f t="shared" si="40"/>
        <v>SE</v>
      </c>
      <c r="R547" s="30" t="str">
        <f t="shared" si="41"/>
        <v>AM</v>
      </c>
      <c r="S547" s="30" t="str">
        <f>VLOOKUP(M547,'Data - Employee Rights Master'!$C$3:$D$32,2,0)</f>
        <v>SE</v>
      </c>
      <c r="T547" s="30" t="str">
        <f>VLOOKUP(N547,'Data - Employee Rights Master'!$C$3:$D$32,2,0)</f>
        <v>AM</v>
      </c>
      <c r="U547" s="41" t="str">
        <f t="shared" si="42"/>
        <v>PASS</v>
      </c>
      <c r="V547" s="41" t="str">
        <f t="shared" si="43"/>
        <v>NA</v>
      </c>
      <c r="W547" s="30" t="str">
        <f t="shared" si="44"/>
        <v>2122</v>
      </c>
      <c r="X547" s="30" t="str">
        <f>VLOOKUP(MONTH(G547),Key!$F$3:$G$14,2,0)</f>
        <v>Jan</v>
      </c>
      <c r="Y547" s="30" t="str">
        <f>IFERROR(IF(MATCH(F547,'Test 6'!C$5:C$9,0)&gt;0,"RP"),"NON-RP")</f>
        <v>NON-RP</v>
      </c>
    </row>
    <row r="548" spans="2:25" x14ac:dyDescent="0.5">
      <c r="B548" s="30">
        <v>544</v>
      </c>
      <c r="C548" s="30" t="s">
        <v>1185</v>
      </c>
      <c r="D548" s="31">
        <v>2122285</v>
      </c>
      <c r="E548" s="30" t="s">
        <v>1186</v>
      </c>
      <c r="F548" s="53" t="s">
        <v>40</v>
      </c>
      <c r="G548" s="32">
        <v>44581</v>
      </c>
      <c r="H548" s="33">
        <v>0.4461086673403708</v>
      </c>
      <c r="I548" s="30" t="s">
        <v>502</v>
      </c>
      <c r="J548" s="34">
        <v>6181180</v>
      </c>
      <c r="K548" s="35" t="s">
        <v>17</v>
      </c>
      <c r="L548" s="36">
        <v>1112612.3999999999</v>
      </c>
      <c r="M548" s="30" t="s">
        <v>41</v>
      </c>
      <c r="N548" s="30" t="s">
        <v>42</v>
      </c>
      <c r="O548" s="30" t="s">
        <v>1575</v>
      </c>
      <c r="P548" s="30" t="s">
        <v>1588</v>
      </c>
      <c r="Q548" s="30" t="str">
        <f t="shared" si="40"/>
        <v>CM</v>
      </c>
      <c r="R548" s="30" t="str">
        <f t="shared" si="41"/>
        <v>CFO</v>
      </c>
      <c r="S548" s="30" t="str">
        <f>VLOOKUP(M548,'Data - Employee Rights Master'!$C$3:$D$32,2,0)</f>
        <v>CM</v>
      </c>
      <c r="T548" s="30" t="str">
        <f>VLOOKUP(N548,'Data - Employee Rights Master'!$C$3:$D$32,2,0)</f>
        <v>CFO</v>
      </c>
      <c r="U548" s="41" t="str">
        <f t="shared" si="42"/>
        <v>PASS</v>
      </c>
      <c r="V548" s="41" t="str">
        <f t="shared" si="43"/>
        <v>PASS</v>
      </c>
      <c r="W548" s="30" t="str">
        <f t="shared" si="44"/>
        <v>2122</v>
      </c>
      <c r="X548" s="30" t="str">
        <f>VLOOKUP(MONTH(G548),Key!$F$3:$G$14,2,0)</f>
        <v>Jan</v>
      </c>
      <c r="Y548" s="30" t="str">
        <f>IFERROR(IF(MATCH(F548,'Test 6'!C$5:C$9,0)&gt;0,"RP"),"NON-RP")</f>
        <v>NON-RP</v>
      </c>
    </row>
    <row r="549" spans="2:25" x14ac:dyDescent="0.5">
      <c r="B549" s="30">
        <v>545</v>
      </c>
      <c r="C549" s="30" t="s">
        <v>1187</v>
      </c>
      <c r="D549" s="31">
        <v>2122286</v>
      </c>
      <c r="E549" s="30" t="s">
        <v>1188</v>
      </c>
      <c r="F549" s="53" t="s">
        <v>92</v>
      </c>
      <c r="G549" s="32">
        <v>44583</v>
      </c>
      <c r="H549" s="33">
        <v>0.4964387706259128</v>
      </c>
      <c r="I549" s="30" t="s">
        <v>502</v>
      </c>
      <c r="J549" s="34">
        <v>41050</v>
      </c>
      <c r="K549" s="35" t="s">
        <v>17</v>
      </c>
      <c r="L549" s="36">
        <v>7389</v>
      </c>
      <c r="M549" s="30" t="s">
        <v>134</v>
      </c>
      <c r="N549" s="30" t="s">
        <v>37</v>
      </c>
      <c r="O549" s="30" t="s">
        <v>1542</v>
      </c>
      <c r="P549" s="30" t="s">
        <v>1542</v>
      </c>
      <c r="Q549" s="30" t="str">
        <f t="shared" si="40"/>
        <v>SE</v>
      </c>
      <c r="R549" s="30" t="str">
        <f t="shared" si="41"/>
        <v>AM</v>
      </c>
      <c r="S549" s="30" t="str">
        <f>VLOOKUP(M549,'Data - Employee Rights Master'!$C$3:$D$32,2,0)</f>
        <v>SE</v>
      </c>
      <c r="T549" s="30" t="str">
        <f>VLOOKUP(N549,'Data - Employee Rights Master'!$C$3:$D$32,2,0)</f>
        <v>AM</v>
      </c>
      <c r="U549" s="41" t="str">
        <f t="shared" si="42"/>
        <v>PASS</v>
      </c>
      <c r="V549" s="41" t="str">
        <f t="shared" si="43"/>
        <v>NA</v>
      </c>
      <c r="W549" s="30" t="str">
        <f t="shared" si="44"/>
        <v>2122</v>
      </c>
      <c r="X549" s="30" t="str">
        <f>VLOOKUP(MONTH(G549),Key!$F$3:$G$14,2,0)</f>
        <v>Jan</v>
      </c>
      <c r="Y549" s="30" t="str">
        <f>IFERROR(IF(MATCH(F549,'Test 6'!C$5:C$9,0)&gt;0,"RP"),"NON-RP")</f>
        <v>NON-RP</v>
      </c>
    </row>
    <row r="550" spans="2:25" x14ac:dyDescent="0.5">
      <c r="B550" s="30">
        <v>546</v>
      </c>
      <c r="C550" s="30" t="s">
        <v>1189</v>
      </c>
      <c r="D550" s="31">
        <v>2122287</v>
      </c>
      <c r="E550" s="30" t="s">
        <v>1190</v>
      </c>
      <c r="F550" s="53" t="s">
        <v>67</v>
      </c>
      <c r="G550" s="32">
        <v>44583</v>
      </c>
      <c r="H550" s="33">
        <v>0.50951002245425525</v>
      </c>
      <c r="I550" s="30" t="s">
        <v>502</v>
      </c>
      <c r="J550" s="34">
        <v>470540</v>
      </c>
      <c r="K550" s="35" t="s">
        <v>17</v>
      </c>
      <c r="L550" s="36">
        <v>84697.2</v>
      </c>
      <c r="M550" s="30" t="s">
        <v>61</v>
      </c>
      <c r="N550" s="30" t="s">
        <v>51</v>
      </c>
      <c r="O550" s="30" t="s">
        <v>1542</v>
      </c>
      <c r="P550" s="30" t="s">
        <v>1542</v>
      </c>
      <c r="Q550" s="30" t="str">
        <f t="shared" si="40"/>
        <v>AM</v>
      </c>
      <c r="R550" s="30" t="str">
        <f t="shared" si="41"/>
        <v>DM</v>
      </c>
      <c r="S550" s="30" t="str">
        <f>VLOOKUP(M550,'Data - Employee Rights Master'!$C$3:$D$32,2,0)</f>
        <v>AM</v>
      </c>
      <c r="T550" s="30" t="str">
        <f>VLOOKUP(N550,'Data - Employee Rights Master'!$C$3:$D$32,2,0)</f>
        <v>DM</v>
      </c>
      <c r="U550" s="41" t="str">
        <f t="shared" si="42"/>
        <v>PASS</v>
      </c>
      <c r="V550" s="41" t="str">
        <f t="shared" si="43"/>
        <v>NA</v>
      </c>
      <c r="W550" s="30" t="str">
        <f t="shared" si="44"/>
        <v>2122</v>
      </c>
      <c r="X550" s="30" t="str">
        <f>VLOOKUP(MONTH(G550),Key!$F$3:$G$14,2,0)</f>
        <v>Jan</v>
      </c>
      <c r="Y550" s="30" t="str">
        <f>IFERROR(IF(MATCH(F550,'Test 6'!C$5:C$9,0)&gt;0,"RP"),"NON-RP")</f>
        <v>NON-RP</v>
      </c>
    </row>
    <row r="551" spans="2:25" x14ac:dyDescent="0.5">
      <c r="B551" s="30">
        <v>547</v>
      </c>
      <c r="C551" s="30" t="s">
        <v>1191</v>
      </c>
      <c r="D551" s="31">
        <v>2122288</v>
      </c>
      <c r="E551" s="30" t="s">
        <v>1192</v>
      </c>
      <c r="F551" s="53" t="s">
        <v>153</v>
      </c>
      <c r="G551" s="32">
        <v>44585</v>
      </c>
      <c r="H551" s="33">
        <v>0.49384183057419068</v>
      </c>
      <c r="I551" s="30" t="s">
        <v>502</v>
      </c>
      <c r="J551" s="34">
        <v>37310</v>
      </c>
      <c r="K551" s="35" t="s">
        <v>17</v>
      </c>
      <c r="L551" s="36">
        <v>6715.8</v>
      </c>
      <c r="M551" s="30" t="s">
        <v>168</v>
      </c>
      <c r="N551" s="30" t="s">
        <v>18</v>
      </c>
      <c r="O551" s="30" t="s">
        <v>1542</v>
      </c>
      <c r="P551" s="30" t="s">
        <v>1542</v>
      </c>
      <c r="Q551" s="30" t="str">
        <f t="shared" si="40"/>
        <v>SE</v>
      </c>
      <c r="R551" s="30" t="str">
        <f t="shared" si="41"/>
        <v>AM</v>
      </c>
      <c r="S551" s="30" t="str">
        <f>VLOOKUP(M551,'Data - Employee Rights Master'!$C$3:$D$32,2,0)</f>
        <v>SE</v>
      </c>
      <c r="T551" s="30" t="str">
        <f>VLOOKUP(N551,'Data - Employee Rights Master'!$C$3:$D$32,2,0)</f>
        <v>AM</v>
      </c>
      <c r="U551" s="41" t="str">
        <f t="shared" si="42"/>
        <v>PASS</v>
      </c>
      <c r="V551" s="41" t="str">
        <f t="shared" si="43"/>
        <v>NA</v>
      </c>
      <c r="W551" s="30" t="str">
        <f t="shared" si="44"/>
        <v>2122</v>
      </c>
      <c r="X551" s="30" t="str">
        <f>VLOOKUP(MONTH(G551),Key!$F$3:$G$14,2,0)</f>
        <v>Jan</v>
      </c>
      <c r="Y551" s="30" t="str">
        <f>IFERROR(IF(MATCH(F551,'Test 6'!C$5:C$9,0)&gt;0,"RP"),"NON-RP")</f>
        <v>NON-RP</v>
      </c>
    </row>
    <row r="552" spans="2:25" x14ac:dyDescent="0.5">
      <c r="B552" s="30">
        <v>548</v>
      </c>
      <c r="C552" s="30" t="s">
        <v>1193</v>
      </c>
      <c r="D552" s="31">
        <v>2122289</v>
      </c>
      <c r="E552" s="30" t="s">
        <v>1194</v>
      </c>
      <c r="F552" s="53" t="s">
        <v>156</v>
      </c>
      <c r="G552" s="32">
        <v>44586</v>
      </c>
      <c r="H552" s="33">
        <v>0.48546576721042001</v>
      </c>
      <c r="I552" s="30" t="s">
        <v>502</v>
      </c>
      <c r="J552" s="34">
        <v>4724620</v>
      </c>
      <c r="K552" s="35" t="s">
        <v>17</v>
      </c>
      <c r="L552" s="36">
        <v>850431.6</v>
      </c>
      <c r="M552" s="30" t="s">
        <v>41</v>
      </c>
      <c r="N552" s="30" t="s">
        <v>42</v>
      </c>
      <c r="O552" s="30" t="s">
        <v>1542</v>
      </c>
      <c r="P552" s="30" t="s">
        <v>1542</v>
      </c>
      <c r="Q552" s="30" t="str">
        <f t="shared" si="40"/>
        <v>CM</v>
      </c>
      <c r="R552" s="30" t="str">
        <f t="shared" si="41"/>
        <v>CFO</v>
      </c>
      <c r="S552" s="30" t="str">
        <f>VLOOKUP(M552,'Data - Employee Rights Master'!$C$3:$D$32,2,0)</f>
        <v>CM</v>
      </c>
      <c r="T552" s="30" t="str">
        <f>VLOOKUP(N552,'Data - Employee Rights Master'!$C$3:$D$32,2,0)</f>
        <v>CFO</v>
      </c>
      <c r="U552" s="41" t="str">
        <f t="shared" si="42"/>
        <v>PASS</v>
      </c>
      <c r="V552" s="41" t="str">
        <f t="shared" si="43"/>
        <v>NA</v>
      </c>
      <c r="W552" s="30" t="str">
        <f t="shared" si="44"/>
        <v>2122</v>
      </c>
      <c r="X552" s="30" t="str">
        <f>VLOOKUP(MONTH(G552),Key!$F$3:$G$14,2,0)</f>
        <v>Jan</v>
      </c>
      <c r="Y552" s="30" t="str">
        <f>IFERROR(IF(MATCH(F552,'Test 6'!C$5:C$9,0)&gt;0,"RP"),"NON-RP")</f>
        <v>NON-RP</v>
      </c>
    </row>
    <row r="553" spans="2:25" x14ac:dyDescent="0.5">
      <c r="B553" s="30">
        <v>549</v>
      </c>
      <c r="C553" s="30" t="s">
        <v>1195</v>
      </c>
      <c r="D553" s="31">
        <v>2122290</v>
      </c>
      <c r="E553" s="30" t="s">
        <v>1196</v>
      </c>
      <c r="F553" s="53" t="s">
        <v>114</v>
      </c>
      <c r="G553" s="32">
        <v>44586</v>
      </c>
      <c r="H553" s="33">
        <v>0.73766878262906443</v>
      </c>
      <c r="I553" s="30" t="s">
        <v>502</v>
      </c>
      <c r="J553" s="34">
        <v>33250</v>
      </c>
      <c r="K553" s="35" t="s">
        <v>17</v>
      </c>
      <c r="L553" s="36">
        <v>5985</v>
      </c>
      <c r="M553" s="30" t="s">
        <v>134</v>
      </c>
      <c r="N553" s="30" t="s">
        <v>46</v>
      </c>
      <c r="O553" s="30" t="s">
        <v>1542</v>
      </c>
      <c r="P553" s="30" t="s">
        <v>1542</v>
      </c>
      <c r="Q553" s="30" t="str">
        <f t="shared" si="40"/>
        <v>SE</v>
      </c>
      <c r="R553" s="30" t="str">
        <f t="shared" si="41"/>
        <v>AM</v>
      </c>
      <c r="S553" s="30" t="str">
        <f>VLOOKUP(M553,'Data - Employee Rights Master'!$C$3:$D$32,2,0)</f>
        <v>SE</v>
      </c>
      <c r="T553" s="30" t="str">
        <f>VLOOKUP(N553,'Data - Employee Rights Master'!$C$3:$D$32,2,0)</f>
        <v>AM</v>
      </c>
      <c r="U553" s="41" t="str">
        <f t="shared" si="42"/>
        <v>PASS</v>
      </c>
      <c r="V553" s="41" t="str">
        <f t="shared" si="43"/>
        <v>NA</v>
      </c>
      <c r="W553" s="30" t="str">
        <f t="shared" si="44"/>
        <v>2122</v>
      </c>
      <c r="X553" s="30" t="str">
        <f>VLOOKUP(MONTH(G553),Key!$F$3:$G$14,2,0)</f>
        <v>Jan</v>
      </c>
      <c r="Y553" s="30" t="str">
        <f>IFERROR(IF(MATCH(F553,'Test 6'!C$5:C$9,0)&gt;0,"RP"),"NON-RP")</f>
        <v>NON-RP</v>
      </c>
    </row>
    <row r="554" spans="2:25" x14ac:dyDescent="0.5">
      <c r="B554" s="30">
        <v>550</v>
      </c>
      <c r="C554" s="30" t="s">
        <v>1197</v>
      </c>
      <c r="D554" s="31">
        <v>2122291</v>
      </c>
      <c r="E554" s="30" t="s">
        <v>1198</v>
      </c>
      <c r="F554" s="53" t="s">
        <v>35</v>
      </c>
      <c r="G554" s="32">
        <v>44587</v>
      </c>
      <c r="H554" s="33">
        <v>0.59488817435235919</v>
      </c>
      <c r="I554" s="30" t="s">
        <v>502</v>
      </c>
      <c r="J554" s="34">
        <v>41260</v>
      </c>
      <c r="K554" s="35" t="s">
        <v>17</v>
      </c>
      <c r="L554" s="36">
        <v>7426.7999999999993</v>
      </c>
      <c r="M554" s="30" t="s">
        <v>200</v>
      </c>
      <c r="N554" s="30" t="s">
        <v>28</v>
      </c>
      <c r="O554" s="30" t="s">
        <v>1542</v>
      </c>
      <c r="P554" s="30" t="s">
        <v>1542</v>
      </c>
      <c r="Q554" s="30" t="str">
        <f t="shared" si="40"/>
        <v>SE</v>
      </c>
      <c r="R554" s="30" t="str">
        <f t="shared" si="41"/>
        <v>AM</v>
      </c>
      <c r="S554" s="30" t="str">
        <f>VLOOKUP(M554,'Data - Employee Rights Master'!$C$3:$D$32,2,0)</f>
        <v>SE</v>
      </c>
      <c r="T554" s="30" t="str">
        <f>VLOOKUP(N554,'Data - Employee Rights Master'!$C$3:$D$32,2,0)</f>
        <v>AM</v>
      </c>
      <c r="U554" s="41" t="str">
        <f t="shared" si="42"/>
        <v>PASS</v>
      </c>
      <c r="V554" s="41" t="str">
        <f t="shared" si="43"/>
        <v>NA</v>
      </c>
      <c r="W554" s="30" t="str">
        <f t="shared" si="44"/>
        <v>2122</v>
      </c>
      <c r="X554" s="30" t="str">
        <f>VLOOKUP(MONTH(G554),Key!$F$3:$G$14,2,0)</f>
        <v>Jan</v>
      </c>
      <c r="Y554" s="30" t="str">
        <f>IFERROR(IF(MATCH(F554,'Test 6'!C$5:C$9,0)&gt;0,"RP"),"NON-RP")</f>
        <v>NON-RP</v>
      </c>
    </row>
    <row r="555" spans="2:25" x14ac:dyDescent="0.5">
      <c r="B555" s="30">
        <v>551</v>
      </c>
      <c r="C555" s="30" t="s">
        <v>1199</v>
      </c>
      <c r="D555" s="31">
        <v>2122292</v>
      </c>
      <c r="E555" s="30" t="s">
        <v>1200</v>
      </c>
      <c r="F555" s="53" t="s">
        <v>35</v>
      </c>
      <c r="G555" s="32">
        <v>44588</v>
      </c>
      <c r="H555" s="33">
        <v>0.63665095368759261</v>
      </c>
      <c r="I555" s="30" t="s">
        <v>502</v>
      </c>
      <c r="J555" s="34">
        <v>375630</v>
      </c>
      <c r="K555" s="35" t="s">
        <v>17</v>
      </c>
      <c r="L555" s="36">
        <v>67613.399999999994</v>
      </c>
      <c r="M555" s="30" t="s">
        <v>32</v>
      </c>
      <c r="N555" s="30" t="s">
        <v>68</v>
      </c>
      <c r="O555" s="30" t="s">
        <v>1542</v>
      </c>
      <c r="P555" s="30" t="s">
        <v>1542</v>
      </c>
      <c r="Q555" s="30" t="str">
        <f t="shared" si="40"/>
        <v>AM</v>
      </c>
      <c r="R555" s="30" t="str">
        <f t="shared" si="41"/>
        <v>DM</v>
      </c>
      <c r="S555" s="30" t="str">
        <f>VLOOKUP(M555,'Data - Employee Rights Master'!$C$3:$D$32,2,0)</f>
        <v>AM</v>
      </c>
      <c r="T555" s="30" t="str">
        <f>VLOOKUP(N555,'Data - Employee Rights Master'!$C$3:$D$32,2,0)</f>
        <v>DM</v>
      </c>
      <c r="U555" s="41" t="str">
        <f t="shared" si="42"/>
        <v>PASS</v>
      </c>
      <c r="V555" s="41" t="str">
        <f t="shared" si="43"/>
        <v>NA</v>
      </c>
      <c r="W555" s="30" t="str">
        <f t="shared" si="44"/>
        <v>2122</v>
      </c>
      <c r="X555" s="30" t="str">
        <f>VLOOKUP(MONTH(G555),Key!$F$3:$G$14,2,0)</f>
        <v>Jan</v>
      </c>
      <c r="Y555" s="30" t="str">
        <f>IFERROR(IF(MATCH(F555,'Test 6'!C$5:C$9,0)&gt;0,"RP"),"NON-RP")</f>
        <v>NON-RP</v>
      </c>
    </row>
    <row r="556" spans="2:25" x14ac:dyDescent="0.5">
      <c r="B556" s="30">
        <v>552</v>
      </c>
      <c r="C556" s="30" t="s">
        <v>1201</v>
      </c>
      <c r="D556" s="31">
        <v>2122293</v>
      </c>
      <c r="E556" s="30" t="s">
        <v>1202</v>
      </c>
      <c r="F556" s="53" t="s">
        <v>64</v>
      </c>
      <c r="G556" s="32">
        <v>44589</v>
      </c>
      <c r="H556" s="33">
        <v>0.50704257927687513</v>
      </c>
      <c r="I556" s="30" t="s">
        <v>502</v>
      </c>
      <c r="J556" s="34">
        <v>258730</v>
      </c>
      <c r="K556" s="35" t="s">
        <v>17</v>
      </c>
      <c r="L556" s="36">
        <v>46571.4</v>
      </c>
      <c r="M556" s="30" t="s">
        <v>32</v>
      </c>
      <c r="N556" s="30" t="s">
        <v>68</v>
      </c>
      <c r="O556" s="30" t="s">
        <v>1542</v>
      </c>
      <c r="P556" s="30" t="s">
        <v>1542</v>
      </c>
      <c r="Q556" s="30" t="str">
        <f t="shared" si="40"/>
        <v>AM</v>
      </c>
      <c r="R556" s="30" t="str">
        <f t="shared" si="41"/>
        <v>DM</v>
      </c>
      <c r="S556" s="30" t="str">
        <f>VLOOKUP(M556,'Data - Employee Rights Master'!$C$3:$D$32,2,0)</f>
        <v>AM</v>
      </c>
      <c r="T556" s="30" t="str">
        <f>VLOOKUP(N556,'Data - Employee Rights Master'!$C$3:$D$32,2,0)</f>
        <v>DM</v>
      </c>
      <c r="U556" s="41" t="str">
        <f t="shared" si="42"/>
        <v>PASS</v>
      </c>
      <c r="V556" s="41" t="str">
        <f t="shared" si="43"/>
        <v>NA</v>
      </c>
      <c r="W556" s="30" t="str">
        <f t="shared" si="44"/>
        <v>2122</v>
      </c>
      <c r="X556" s="30" t="str">
        <f>VLOOKUP(MONTH(G556),Key!$F$3:$G$14,2,0)</f>
        <v>Jan</v>
      </c>
      <c r="Y556" s="30" t="str">
        <f>IFERROR(IF(MATCH(F556,'Test 6'!C$5:C$9,0)&gt;0,"RP"),"NON-RP")</f>
        <v>NON-RP</v>
      </c>
    </row>
    <row r="557" spans="2:25" x14ac:dyDescent="0.5">
      <c r="B557" s="30">
        <v>553</v>
      </c>
      <c r="C557" s="30" t="s">
        <v>1203</v>
      </c>
      <c r="D557" s="31">
        <v>2122294</v>
      </c>
      <c r="E557" s="30" t="s">
        <v>1204</v>
      </c>
      <c r="F557" s="53" t="s">
        <v>238</v>
      </c>
      <c r="G557" s="32">
        <v>44590</v>
      </c>
      <c r="H557" s="33">
        <v>0.73743649942233924</v>
      </c>
      <c r="I557" s="30" t="s">
        <v>502</v>
      </c>
      <c r="J557" s="34">
        <v>474250</v>
      </c>
      <c r="K557" s="35" t="s">
        <v>17</v>
      </c>
      <c r="L557" s="36">
        <v>85365</v>
      </c>
      <c r="M557" s="30" t="s">
        <v>23</v>
      </c>
      <c r="N557" s="30" t="s">
        <v>47</v>
      </c>
      <c r="O557" s="30" t="s">
        <v>1542</v>
      </c>
      <c r="P557" s="30" t="s">
        <v>1542</v>
      </c>
      <c r="Q557" s="30" t="str">
        <f t="shared" si="40"/>
        <v>AM</v>
      </c>
      <c r="R557" s="30" t="str">
        <f t="shared" si="41"/>
        <v>DM</v>
      </c>
      <c r="S557" s="30" t="str">
        <f>VLOOKUP(M557,'Data - Employee Rights Master'!$C$3:$D$32,2,0)</f>
        <v>AM</v>
      </c>
      <c r="T557" s="30" t="str">
        <f>VLOOKUP(N557,'Data - Employee Rights Master'!$C$3:$D$32,2,0)</f>
        <v>DM</v>
      </c>
      <c r="U557" s="41" t="str">
        <f t="shared" si="42"/>
        <v>PASS</v>
      </c>
      <c r="V557" s="41" t="str">
        <f t="shared" si="43"/>
        <v>NA</v>
      </c>
      <c r="W557" s="30" t="str">
        <f t="shared" si="44"/>
        <v>2122</v>
      </c>
      <c r="X557" s="30" t="str">
        <f>VLOOKUP(MONTH(G557),Key!$F$3:$G$14,2,0)</f>
        <v>Jan</v>
      </c>
      <c r="Y557" s="30" t="str">
        <f>IFERROR(IF(MATCH(F557,'Test 6'!C$5:C$9,0)&gt;0,"RP"),"NON-RP")</f>
        <v>NON-RP</v>
      </c>
    </row>
    <row r="558" spans="2:25" x14ac:dyDescent="0.5">
      <c r="B558" s="30">
        <v>554</v>
      </c>
      <c r="C558" s="30" t="s">
        <v>1205</v>
      </c>
      <c r="D558" s="31">
        <v>2122295</v>
      </c>
      <c r="E558" s="30" t="s">
        <v>1206</v>
      </c>
      <c r="F558" s="53" t="s">
        <v>27</v>
      </c>
      <c r="G558" s="32">
        <v>44592</v>
      </c>
      <c r="H558" s="33">
        <v>0.53106952824774156</v>
      </c>
      <c r="I558" s="30" t="s">
        <v>502</v>
      </c>
      <c r="J558" s="34">
        <v>469070</v>
      </c>
      <c r="K558" s="35" t="s">
        <v>17</v>
      </c>
      <c r="L558" s="36">
        <v>84432.599999999991</v>
      </c>
      <c r="M558" s="30" t="s">
        <v>46</v>
      </c>
      <c r="N558" s="30" t="s">
        <v>47</v>
      </c>
      <c r="O558" s="30" t="s">
        <v>1542</v>
      </c>
      <c r="P558" s="30" t="s">
        <v>1542</v>
      </c>
      <c r="Q558" s="30" t="str">
        <f t="shared" si="40"/>
        <v>AM</v>
      </c>
      <c r="R558" s="30" t="str">
        <f t="shared" si="41"/>
        <v>DM</v>
      </c>
      <c r="S558" s="30" t="str">
        <f>VLOOKUP(M558,'Data - Employee Rights Master'!$C$3:$D$32,2,0)</f>
        <v>AM</v>
      </c>
      <c r="T558" s="30" t="str">
        <f>VLOOKUP(N558,'Data - Employee Rights Master'!$C$3:$D$32,2,0)</f>
        <v>DM</v>
      </c>
      <c r="U558" s="41" t="str">
        <f t="shared" si="42"/>
        <v>PASS</v>
      </c>
      <c r="V558" s="41" t="str">
        <f t="shared" si="43"/>
        <v>NA</v>
      </c>
      <c r="W558" s="30" t="str">
        <f t="shared" si="44"/>
        <v>2122</v>
      </c>
      <c r="X558" s="30" t="str">
        <f>VLOOKUP(MONTH(G558),Key!$F$3:$G$14,2,0)</f>
        <v>Jan</v>
      </c>
      <c r="Y558" s="30" t="str">
        <f>IFERROR(IF(MATCH(F558,'Test 6'!C$5:C$9,0)&gt;0,"RP"),"NON-RP")</f>
        <v>NON-RP</v>
      </c>
    </row>
    <row r="559" spans="2:25" x14ac:dyDescent="0.5">
      <c r="B559" s="30">
        <v>555</v>
      </c>
      <c r="C559" s="30" t="s">
        <v>1207</v>
      </c>
      <c r="D559" s="31">
        <v>2122296</v>
      </c>
      <c r="E559" s="30" t="s">
        <v>1208</v>
      </c>
      <c r="F559" s="53" t="s">
        <v>60</v>
      </c>
      <c r="G559" s="32">
        <v>44592</v>
      </c>
      <c r="H559" s="33">
        <v>0.4346866079075169</v>
      </c>
      <c r="I559" s="30" t="s">
        <v>502</v>
      </c>
      <c r="J559" s="34">
        <v>374000</v>
      </c>
      <c r="K559" s="35" t="s">
        <v>17</v>
      </c>
      <c r="L559" s="36">
        <v>67320</v>
      </c>
      <c r="M559" s="30" t="s">
        <v>32</v>
      </c>
      <c r="N559" s="30" t="s">
        <v>68</v>
      </c>
      <c r="O559" s="30" t="s">
        <v>1542</v>
      </c>
      <c r="P559" s="30" t="s">
        <v>1542</v>
      </c>
      <c r="Q559" s="30" t="str">
        <f t="shared" si="40"/>
        <v>AM</v>
      </c>
      <c r="R559" s="30" t="str">
        <f t="shared" si="41"/>
        <v>DM</v>
      </c>
      <c r="S559" s="30" t="str">
        <f>VLOOKUP(M559,'Data - Employee Rights Master'!$C$3:$D$32,2,0)</f>
        <v>AM</v>
      </c>
      <c r="T559" s="30" t="str">
        <f>VLOOKUP(N559,'Data - Employee Rights Master'!$C$3:$D$32,2,0)</f>
        <v>DM</v>
      </c>
      <c r="U559" s="41" t="str">
        <f t="shared" si="42"/>
        <v>PASS</v>
      </c>
      <c r="V559" s="41" t="str">
        <f t="shared" si="43"/>
        <v>NA</v>
      </c>
      <c r="W559" s="30" t="str">
        <f t="shared" si="44"/>
        <v>2122</v>
      </c>
      <c r="X559" s="30" t="str">
        <f>VLOOKUP(MONTH(G559),Key!$F$3:$G$14,2,0)</f>
        <v>Jan</v>
      </c>
      <c r="Y559" s="30" t="str">
        <f>IFERROR(IF(MATCH(F559,'Test 6'!C$5:C$9,0)&gt;0,"RP"),"NON-RP")</f>
        <v>NON-RP</v>
      </c>
    </row>
    <row r="560" spans="2:25" x14ac:dyDescent="0.5">
      <c r="B560" s="30">
        <v>556</v>
      </c>
      <c r="C560" s="30" t="s">
        <v>1209</v>
      </c>
      <c r="D560" s="31">
        <v>2122297</v>
      </c>
      <c r="E560" s="30" t="s">
        <v>1210</v>
      </c>
      <c r="F560" s="53" t="s">
        <v>195</v>
      </c>
      <c r="G560" s="32">
        <v>44594</v>
      </c>
      <c r="H560" s="33">
        <v>0.51210587935776353</v>
      </c>
      <c r="I560" s="30" t="s">
        <v>535</v>
      </c>
      <c r="J560" s="34">
        <v>309640</v>
      </c>
      <c r="K560" s="35" t="s">
        <v>17</v>
      </c>
      <c r="L560" s="36">
        <v>55735.199999999997</v>
      </c>
      <c r="M560" s="30" t="s">
        <v>32</v>
      </c>
      <c r="N560" s="30" t="s">
        <v>24</v>
      </c>
      <c r="O560" s="30" t="s">
        <v>1542</v>
      </c>
      <c r="P560" s="30" t="s">
        <v>1542</v>
      </c>
      <c r="Q560" s="30" t="str">
        <f t="shared" si="40"/>
        <v>AM</v>
      </c>
      <c r="R560" s="30" t="str">
        <f t="shared" si="41"/>
        <v>DM</v>
      </c>
      <c r="S560" s="30" t="str">
        <f>VLOOKUP(M560,'Data - Employee Rights Master'!$C$3:$D$32,2,0)</f>
        <v>AM</v>
      </c>
      <c r="T560" s="30" t="str">
        <f>VLOOKUP(N560,'Data - Employee Rights Master'!$C$3:$D$32,2,0)</f>
        <v>DM</v>
      </c>
      <c r="U560" s="41" t="str">
        <f t="shared" si="42"/>
        <v>PASS</v>
      </c>
      <c r="V560" s="41" t="str">
        <f t="shared" si="43"/>
        <v>NA</v>
      </c>
      <c r="W560" s="30" t="str">
        <f t="shared" si="44"/>
        <v>2122</v>
      </c>
      <c r="X560" s="30" t="str">
        <f>VLOOKUP(MONTH(G560),Key!$F$3:$G$14,2,0)</f>
        <v>Feb</v>
      </c>
      <c r="Y560" s="30" t="str">
        <f>IFERROR(IF(MATCH(F560,'Test 6'!C$5:C$9,0)&gt;0,"RP"),"NON-RP")</f>
        <v>NON-RP</v>
      </c>
    </row>
    <row r="561" spans="2:25" x14ac:dyDescent="0.5">
      <c r="B561" s="30">
        <v>557</v>
      </c>
      <c r="C561" s="30" t="s">
        <v>1211</v>
      </c>
      <c r="D561" s="31">
        <v>2122298</v>
      </c>
      <c r="E561" s="30" t="s">
        <v>1212</v>
      </c>
      <c r="F561" s="53" t="s">
        <v>125</v>
      </c>
      <c r="G561" s="32">
        <v>44594</v>
      </c>
      <c r="H561" s="33">
        <v>0.68510061482512774</v>
      </c>
      <c r="I561" s="30" t="s">
        <v>535</v>
      </c>
      <c r="J561" s="34">
        <v>334090</v>
      </c>
      <c r="K561" s="35" t="s">
        <v>17</v>
      </c>
      <c r="L561" s="36">
        <v>60136.2</v>
      </c>
      <c r="M561" s="30" t="s">
        <v>23</v>
      </c>
      <c r="N561" s="30" t="s">
        <v>47</v>
      </c>
      <c r="O561" s="30" t="s">
        <v>1542</v>
      </c>
      <c r="P561" s="30" t="s">
        <v>1542</v>
      </c>
      <c r="Q561" s="30" t="str">
        <f t="shared" si="40"/>
        <v>AM</v>
      </c>
      <c r="R561" s="30" t="str">
        <f t="shared" si="41"/>
        <v>DM</v>
      </c>
      <c r="S561" s="30" t="str">
        <f>VLOOKUP(M561,'Data - Employee Rights Master'!$C$3:$D$32,2,0)</f>
        <v>AM</v>
      </c>
      <c r="T561" s="30" t="str">
        <f>VLOOKUP(N561,'Data - Employee Rights Master'!$C$3:$D$32,2,0)</f>
        <v>DM</v>
      </c>
      <c r="U561" s="41" t="str">
        <f t="shared" si="42"/>
        <v>PASS</v>
      </c>
      <c r="V561" s="41" t="str">
        <f t="shared" si="43"/>
        <v>NA</v>
      </c>
      <c r="W561" s="30" t="str">
        <f t="shared" si="44"/>
        <v>2122</v>
      </c>
      <c r="X561" s="30" t="str">
        <f>VLOOKUP(MONTH(G561),Key!$F$3:$G$14,2,0)</f>
        <v>Feb</v>
      </c>
      <c r="Y561" s="30" t="str">
        <f>IFERROR(IF(MATCH(F561,'Test 6'!C$5:C$9,0)&gt;0,"RP"),"NON-RP")</f>
        <v>NON-RP</v>
      </c>
    </row>
    <row r="562" spans="2:25" x14ac:dyDescent="0.5">
      <c r="B562" s="30">
        <v>558</v>
      </c>
      <c r="C562" s="30" t="s">
        <v>1213</v>
      </c>
      <c r="D562" s="31">
        <v>2122299</v>
      </c>
      <c r="E562" s="30" t="s">
        <v>1214</v>
      </c>
      <c r="F562" s="53" t="s">
        <v>203</v>
      </c>
      <c r="G562" s="32">
        <v>44595</v>
      </c>
      <c r="H562" s="33">
        <v>0.6600104438449903</v>
      </c>
      <c r="I562" s="30" t="s">
        <v>535</v>
      </c>
      <c r="J562" s="34">
        <v>390070</v>
      </c>
      <c r="K562" s="35" t="s">
        <v>17</v>
      </c>
      <c r="L562" s="36">
        <v>70212.599999999991</v>
      </c>
      <c r="M562" s="30" t="s">
        <v>23</v>
      </c>
      <c r="N562" s="30" t="s">
        <v>68</v>
      </c>
      <c r="O562" s="30" t="s">
        <v>1542</v>
      </c>
      <c r="P562" s="30" t="s">
        <v>1542</v>
      </c>
      <c r="Q562" s="30" t="str">
        <f t="shared" si="40"/>
        <v>AM</v>
      </c>
      <c r="R562" s="30" t="str">
        <f t="shared" si="41"/>
        <v>DM</v>
      </c>
      <c r="S562" s="30" t="str">
        <f>VLOOKUP(M562,'Data - Employee Rights Master'!$C$3:$D$32,2,0)</f>
        <v>AM</v>
      </c>
      <c r="T562" s="30" t="str">
        <f>VLOOKUP(N562,'Data - Employee Rights Master'!$C$3:$D$32,2,0)</f>
        <v>DM</v>
      </c>
      <c r="U562" s="41" t="str">
        <f t="shared" si="42"/>
        <v>PASS</v>
      </c>
      <c r="V562" s="41" t="str">
        <f t="shared" si="43"/>
        <v>NA</v>
      </c>
      <c r="W562" s="30" t="str">
        <f t="shared" si="44"/>
        <v>2122</v>
      </c>
      <c r="X562" s="30" t="str">
        <f>VLOOKUP(MONTH(G562),Key!$F$3:$G$14,2,0)</f>
        <v>Feb</v>
      </c>
      <c r="Y562" s="30" t="str">
        <f>IFERROR(IF(MATCH(F562,'Test 6'!C$5:C$9,0)&gt;0,"RP"),"NON-RP")</f>
        <v>NON-RP</v>
      </c>
    </row>
    <row r="563" spans="2:25" x14ac:dyDescent="0.5">
      <c r="B563" s="30">
        <v>559</v>
      </c>
      <c r="C563" s="30" t="s">
        <v>1215</v>
      </c>
      <c r="D563" s="31">
        <v>2122300</v>
      </c>
      <c r="E563" s="30" t="s">
        <v>1216</v>
      </c>
      <c r="F563" s="53" t="s">
        <v>378</v>
      </c>
      <c r="G563" s="32">
        <v>44596</v>
      </c>
      <c r="H563" s="33">
        <v>0.73956960462760035</v>
      </c>
      <c r="I563" s="30" t="s">
        <v>535</v>
      </c>
      <c r="J563" s="34">
        <v>493930</v>
      </c>
      <c r="K563" s="35" t="s">
        <v>17</v>
      </c>
      <c r="L563" s="36">
        <v>88907.4</v>
      </c>
      <c r="M563" s="30" t="s">
        <v>46</v>
      </c>
      <c r="N563" s="30" t="s">
        <v>51</v>
      </c>
      <c r="O563" s="30" t="s">
        <v>1542</v>
      </c>
      <c r="P563" s="30" t="s">
        <v>1542</v>
      </c>
      <c r="Q563" s="30" t="str">
        <f t="shared" si="40"/>
        <v>AM</v>
      </c>
      <c r="R563" s="30" t="str">
        <f t="shared" si="41"/>
        <v>DM</v>
      </c>
      <c r="S563" s="30" t="str">
        <f>VLOOKUP(M563,'Data - Employee Rights Master'!$C$3:$D$32,2,0)</f>
        <v>AM</v>
      </c>
      <c r="T563" s="30" t="str">
        <f>VLOOKUP(N563,'Data - Employee Rights Master'!$C$3:$D$32,2,0)</f>
        <v>DM</v>
      </c>
      <c r="U563" s="41" t="str">
        <f t="shared" si="42"/>
        <v>PASS</v>
      </c>
      <c r="V563" s="41" t="str">
        <f t="shared" si="43"/>
        <v>NA</v>
      </c>
      <c r="W563" s="30" t="str">
        <f t="shared" si="44"/>
        <v>2122</v>
      </c>
      <c r="X563" s="30" t="str">
        <f>VLOOKUP(MONTH(G563),Key!$F$3:$G$14,2,0)</f>
        <v>Feb</v>
      </c>
      <c r="Y563" s="30" t="str">
        <f>IFERROR(IF(MATCH(F563,'Test 6'!C$5:C$9,0)&gt;0,"RP"),"NON-RP")</f>
        <v>RP</v>
      </c>
    </row>
    <row r="564" spans="2:25" x14ac:dyDescent="0.5">
      <c r="B564" s="30">
        <v>560</v>
      </c>
      <c r="C564" s="30" t="s">
        <v>1217</v>
      </c>
      <c r="D564" s="31">
        <v>2122301</v>
      </c>
      <c r="E564" s="30" t="s">
        <v>1218</v>
      </c>
      <c r="F564" s="53" t="s">
        <v>95</v>
      </c>
      <c r="G564" s="32">
        <v>44596</v>
      </c>
      <c r="H564" s="33">
        <v>0.58712967333499433</v>
      </c>
      <c r="I564" s="30" t="s">
        <v>535</v>
      </c>
      <c r="J564" s="34">
        <v>331430</v>
      </c>
      <c r="K564" s="35" t="s">
        <v>17</v>
      </c>
      <c r="L564" s="36">
        <v>59657.399999999994</v>
      </c>
      <c r="M564" s="30" t="s">
        <v>37</v>
      </c>
      <c r="N564" s="30" t="s">
        <v>47</v>
      </c>
      <c r="O564" s="30" t="s">
        <v>1542</v>
      </c>
      <c r="P564" s="30" t="s">
        <v>1542</v>
      </c>
      <c r="Q564" s="30" t="str">
        <f t="shared" si="40"/>
        <v>AM</v>
      </c>
      <c r="R564" s="30" t="str">
        <f t="shared" si="41"/>
        <v>DM</v>
      </c>
      <c r="S564" s="30" t="str">
        <f>VLOOKUP(M564,'Data - Employee Rights Master'!$C$3:$D$32,2,0)</f>
        <v>AM</v>
      </c>
      <c r="T564" s="30" t="str">
        <f>VLOOKUP(N564,'Data - Employee Rights Master'!$C$3:$D$32,2,0)</f>
        <v>DM</v>
      </c>
      <c r="U564" s="41" t="str">
        <f t="shared" si="42"/>
        <v>PASS</v>
      </c>
      <c r="V564" s="41" t="str">
        <f t="shared" si="43"/>
        <v>NA</v>
      </c>
      <c r="W564" s="30" t="str">
        <f t="shared" si="44"/>
        <v>2122</v>
      </c>
      <c r="X564" s="30" t="str">
        <f>VLOOKUP(MONTH(G564),Key!$F$3:$G$14,2,0)</f>
        <v>Feb</v>
      </c>
      <c r="Y564" s="30" t="str">
        <f>IFERROR(IF(MATCH(F564,'Test 6'!C$5:C$9,0)&gt;0,"RP"),"NON-RP")</f>
        <v>NON-RP</v>
      </c>
    </row>
    <row r="565" spans="2:25" x14ac:dyDescent="0.5">
      <c r="B565" s="30">
        <v>561</v>
      </c>
      <c r="C565" s="30" t="s">
        <v>1219</v>
      </c>
      <c r="D565" s="31">
        <v>2122302</v>
      </c>
      <c r="E565" s="30" t="s">
        <v>1220</v>
      </c>
      <c r="F565" s="53" t="s">
        <v>27</v>
      </c>
      <c r="G565" s="32">
        <v>44599</v>
      </c>
      <c r="H565" s="33">
        <v>0.62607209728287139</v>
      </c>
      <c r="I565" s="30" t="s">
        <v>535</v>
      </c>
      <c r="J565" s="34">
        <v>214780</v>
      </c>
      <c r="K565" s="35" t="s">
        <v>17</v>
      </c>
      <c r="L565" s="36">
        <v>38660.400000000001</v>
      </c>
      <c r="M565" s="30" t="s">
        <v>46</v>
      </c>
      <c r="N565" s="30" t="s">
        <v>68</v>
      </c>
      <c r="O565" s="30" t="s">
        <v>1542</v>
      </c>
      <c r="P565" s="30" t="s">
        <v>1542</v>
      </c>
      <c r="Q565" s="30" t="str">
        <f t="shared" si="40"/>
        <v>AM</v>
      </c>
      <c r="R565" s="30" t="str">
        <f t="shared" si="41"/>
        <v>DM</v>
      </c>
      <c r="S565" s="30" t="str">
        <f>VLOOKUP(M565,'Data - Employee Rights Master'!$C$3:$D$32,2,0)</f>
        <v>AM</v>
      </c>
      <c r="T565" s="30" t="str">
        <f>VLOOKUP(N565,'Data - Employee Rights Master'!$C$3:$D$32,2,0)</f>
        <v>DM</v>
      </c>
      <c r="U565" s="41" t="str">
        <f t="shared" si="42"/>
        <v>PASS</v>
      </c>
      <c r="V565" s="41" t="str">
        <f t="shared" si="43"/>
        <v>NA</v>
      </c>
      <c r="W565" s="30" t="str">
        <f t="shared" si="44"/>
        <v>2122</v>
      </c>
      <c r="X565" s="30" t="str">
        <f>VLOOKUP(MONTH(G565),Key!$F$3:$G$14,2,0)</f>
        <v>Feb</v>
      </c>
      <c r="Y565" s="30" t="str">
        <f>IFERROR(IF(MATCH(F565,'Test 6'!C$5:C$9,0)&gt;0,"RP"),"NON-RP")</f>
        <v>NON-RP</v>
      </c>
    </row>
    <row r="566" spans="2:25" x14ac:dyDescent="0.5">
      <c r="B566" s="30">
        <v>562</v>
      </c>
      <c r="C566" s="30" t="s">
        <v>1221</v>
      </c>
      <c r="D566" s="31">
        <v>2122303</v>
      </c>
      <c r="E566" s="30" t="s">
        <v>1222</v>
      </c>
      <c r="F566" s="53" t="s">
        <v>54</v>
      </c>
      <c r="G566" s="32">
        <v>44599</v>
      </c>
      <c r="H566" s="33">
        <v>0.627361958711109</v>
      </c>
      <c r="I566" s="30" t="s">
        <v>535</v>
      </c>
      <c r="J566" s="34">
        <v>391210</v>
      </c>
      <c r="K566" s="35" t="s">
        <v>17</v>
      </c>
      <c r="L566" s="36">
        <v>70417.8</v>
      </c>
      <c r="M566" s="30" t="s">
        <v>18</v>
      </c>
      <c r="N566" s="30" t="s">
        <v>68</v>
      </c>
      <c r="O566" s="30" t="s">
        <v>1542</v>
      </c>
      <c r="P566" s="30" t="s">
        <v>1542</v>
      </c>
      <c r="Q566" s="30" t="str">
        <f t="shared" si="40"/>
        <v>AM</v>
      </c>
      <c r="R566" s="30" t="str">
        <f t="shared" si="41"/>
        <v>DM</v>
      </c>
      <c r="S566" s="30" t="str">
        <f>VLOOKUP(M566,'Data - Employee Rights Master'!$C$3:$D$32,2,0)</f>
        <v>AM</v>
      </c>
      <c r="T566" s="30" t="str">
        <f>VLOOKUP(N566,'Data - Employee Rights Master'!$C$3:$D$32,2,0)</f>
        <v>DM</v>
      </c>
      <c r="U566" s="41" t="str">
        <f t="shared" si="42"/>
        <v>PASS</v>
      </c>
      <c r="V566" s="41" t="str">
        <f t="shared" si="43"/>
        <v>NA</v>
      </c>
      <c r="W566" s="30" t="str">
        <f t="shared" si="44"/>
        <v>2122</v>
      </c>
      <c r="X566" s="30" t="str">
        <f>VLOOKUP(MONTH(G566),Key!$F$3:$G$14,2,0)</f>
        <v>Feb</v>
      </c>
      <c r="Y566" s="30" t="str">
        <f>IFERROR(IF(MATCH(F566,'Test 6'!C$5:C$9,0)&gt;0,"RP"),"NON-RP")</f>
        <v>NON-RP</v>
      </c>
    </row>
    <row r="567" spans="2:25" x14ac:dyDescent="0.5">
      <c r="B567" s="30">
        <v>563</v>
      </c>
      <c r="C567" s="30" t="s">
        <v>1223</v>
      </c>
      <c r="D567" s="31">
        <v>2122304</v>
      </c>
      <c r="E567" s="30" t="s">
        <v>1224</v>
      </c>
      <c r="F567" s="53" t="s">
        <v>184</v>
      </c>
      <c r="G567" s="32">
        <v>44600</v>
      </c>
      <c r="H567" s="33">
        <v>0.6154989078828641</v>
      </c>
      <c r="I567" s="30" t="s">
        <v>535</v>
      </c>
      <c r="J567" s="34">
        <v>375580</v>
      </c>
      <c r="K567" s="35" t="s">
        <v>17</v>
      </c>
      <c r="L567" s="36">
        <v>67604.399999999994</v>
      </c>
      <c r="M567" s="30" t="s">
        <v>23</v>
      </c>
      <c r="N567" s="30" t="s">
        <v>19</v>
      </c>
      <c r="O567" s="30" t="s">
        <v>1542</v>
      </c>
      <c r="P567" s="30" t="s">
        <v>1542</v>
      </c>
      <c r="Q567" s="30" t="str">
        <f t="shared" si="40"/>
        <v>AM</v>
      </c>
      <c r="R567" s="30" t="str">
        <f t="shared" si="41"/>
        <v>DM</v>
      </c>
      <c r="S567" s="30" t="str">
        <f>VLOOKUP(M567,'Data - Employee Rights Master'!$C$3:$D$32,2,0)</f>
        <v>AM</v>
      </c>
      <c r="T567" s="30" t="str">
        <f>VLOOKUP(N567,'Data - Employee Rights Master'!$C$3:$D$32,2,0)</f>
        <v>DM</v>
      </c>
      <c r="U567" s="41" t="str">
        <f t="shared" si="42"/>
        <v>PASS</v>
      </c>
      <c r="V567" s="41" t="str">
        <f t="shared" si="43"/>
        <v>NA</v>
      </c>
      <c r="W567" s="30" t="str">
        <f t="shared" si="44"/>
        <v>2122</v>
      </c>
      <c r="X567" s="30" t="str">
        <f>VLOOKUP(MONTH(G567),Key!$F$3:$G$14,2,0)</f>
        <v>Feb</v>
      </c>
      <c r="Y567" s="30" t="str">
        <f>IFERROR(IF(MATCH(F567,'Test 6'!C$5:C$9,0)&gt;0,"RP"),"NON-RP")</f>
        <v>NON-RP</v>
      </c>
    </row>
    <row r="568" spans="2:25" x14ac:dyDescent="0.5">
      <c r="B568" s="30">
        <v>564</v>
      </c>
      <c r="C568" s="30" t="s">
        <v>1225</v>
      </c>
      <c r="D568" s="31">
        <v>2122305</v>
      </c>
      <c r="E568" s="30" t="s">
        <v>1226</v>
      </c>
      <c r="F568" s="53" t="s">
        <v>308</v>
      </c>
      <c r="G568" s="32">
        <v>44602</v>
      </c>
      <c r="H568" s="33">
        <v>0.4529505430896128</v>
      </c>
      <c r="I568" s="30" t="s">
        <v>535</v>
      </c>
      <c r="J568" s="34">
        <v>42400</v>
      </c>
      <c r="K568" s="35" t="s">
        <v>17</v>
      </c>
      <c r="L568" s="36">
        <v>7632</v>
      </c>
      <c r="M568" s="30" t="s">
        <v>31</v>
      </c>
      <c r="N568" s="30" t="s">
        <v>18</v>
      </c>
      <c r="O568" s="30" t="s">
        <v>1542</v>
      </c>
      <c r="P568" s="30" t="s">
        <v>1542</v>
      </c>
      <c r="Q568" s="30" t="str">
        <f t="shared" si="40"/>
        <v>SE</v>
      </c>
      <c r="R568" s="30" t="str">
        <f t="shared" si="41"/>
        <v>AM</v>
      </c>
      <c r="S568" s="30" t="str">
        <f>VLOOKUP(M568,'Data - Employee Rights Master'!$C$3:$D$32,2,0)</f>
        <v>SE</v>
      </c>
      <c r="T568" s="30" t="str">
        <f>VLOOKUP(N568,'Data - Employee Rights Master'!$C$3:$D$32,2,0)</f>
        <v>AM</v>
      </c>
      <c r="U568" s="41" t="str">
        <f t="shared" si="42"/>
        <v>PASS</v>
      </c>
      <c r="V568" s="41" t="str">
        <f t="shared" si="43"/>
        <v>NA</v>
      </c>
      <c r="W568" s="30" t="str">
        <f t="shared" si="44"/>
        <v>2122</v>
      </c>
      <c r="X568" s="30" t="str">
        <f>VLOOKUP(MONTH(G568),Key!$F$3:$G$14,2,0)</f>
        <v>Feb</v>
      </c>
      <c r="Y568" s="30" t="str">
        <f>IFERROR(IF(MATCH(F568,'Test 6'!C$5:C$9,0)&gt;0,"RP"),"NON-RP")</f>
        <v>RP</v>
      </c>
    </row>
    <row r="569" spans="2:25" x14ac:dyDescent="0.5">
      <c r="B569" s="30">
        <v>565</v>
      </c>
      <c r="C569" s="30" t="s">
        <v>1227</v>
      </c>
      <c r="D569" s="31">
        <v>2122306</v>
      </c>
      <c r="E569" s="30" t="s">
        <v>1228</v>
      </c>
      <c r="F569" s="53" t="s">
        <v>262</v>
      </c>
      <c r="G569" s="32">
        <v>44604</v>
      </c>
      <c r="H569" s="33">
        <v>0.62843185273349733</v>
      </c>
      <c r="I569" s="30" t="s">
        <v>535</v>
      </c>
      <c r="J569" s="34">
        <v>36250</v>
      </c>
      <c r="K569" s="35" t="s">
        <v>17</v>
      </c>
      <c r="L569" s="36">
        <v>6525</v>
      </c>
      <c r="M569" s="30" t="s">
        <v>704</v>
      </c>
      <c r="N569" s="30" t="s">
        <v>28</v>
      </c>
      <c r="O569" s="30" t="s">
        <v>1542</v>
      </c>
      <c r="P569" s="30" t="s">
        <v>1542</v>
      </c>
      <c r="Q569" s="30" t="str">
        <f t="shared" si="40"/>
        <v>SE</v>
      </c>
      <c r="R569" s="30" t="str">
        <f t="shared" si="41"/>
        <v>AM</v>
      </c>
      <c r="S569" s="30" t="str">
        <f>VLOOKUP(M569,'Data - Employee Rights Master'!$C$3:$D$32,2,0)</f>
        <v>SE</v>
      </c>
      <c r="T569" s="30" t="str">
        <f>VLOOKUP(N569,'Data - Employee Rights Master'!$C$3:$D$32,2,0)</f>
        <v>AM</v>
      </c>
      <c r="U569" s="41" t="str">
        <f t="shared" si="42"/>
        <v>PASS</v>
      </c>
      <c r="V569" s="41" t="str">
        <f t="shared" si="43"/>
        <v>NA</v>
      </c>
      <c r="W569" s="30" t="str">
        <f t="shared" si="44"/>
        <v>2122</v>
      </c>
      <c r="X569" s="30" t="str">
        <f>VLOOKUP(MONTH(G569),Key!$F$3:$G$14,2,0)</f>
        <v>Feb</v>
      </c>
      <c r="Y569" s="30" t="str">
        <f>IFERROR(IF(MATCH(F569,'Test 6'!C$5:C$9,0)&gt;0,"RP"),"NON-RP")</f>
        <v>NON-RP</v>
      </c>
    </row>
    <row r="570" spans="2:25" x14ac:dyDescent="0.5">
      <c r="B570" s="30">
        <v>566</v>
      </c>
      <c r="C570" s="30" t="s">
        <v>1229</v>
      </c>
      <c r="D570" s="31">
        <v>2122307</v>
      </c>
      <c r="E570" s="30" t="s">
        <v>1230</v>
      </c>
      <c r="F570" s="53" t="s">
        <v>143</v>
      </c>
      <c r="G570" s="32">
        <v>44604</v>
      </c>
      <c r="H570" s="33">
        <v>0.58943940501908054</v>
      </c>
      <c r="I570" s="30" t="s">
        <v>535</v>
      </c>
      <c r="J570" s="34">
        <v>36140</v>
      </c>
      <c r="K570" s="35" t="s">
        <v>17</v>
      </c>
      <c r="L570" s="36">
        <v>6505.2</v>
      </c>
      <c r="M570" s="30" t="s">
        <v>78</v>
      </c>
      <c r="N570" s="30" t="s">
        <v>61</v>
      </c>
      <c r="O570" s="30" t="s">
        <v>1542</v>
      </c>
      <c r="P570" s="30" t="s">
        <v>1542</v>
      </c>
      <c r="Q570" s="30" t="str">
        <f t="shared" si="40"/>
        <v>SE</v>
      </c>
      <c r="R570" s="30" t="str">
        <f t="shared" si="41"/>
        <v>AM</v>
      </c>
      <c r="S570" s="30" t="str">
        <f>VLOOKUP(M570,'Data - Employee Rights Master'!$C$3:$D$32,2,0)</f>
        <v>SE</v>
      </c>
      <c r="T570" s="30" t="str">
        <f>VLOOKUP(N570,'Data - Employee Rights Master'!$C$3:$D$32,2,0)</f>
        <v>AM</v>
      </c>
      <c r="U570" s="41" t="str">
        <f t="shared" si="42"/>
        <v>PASS</v>
      </c>
      <c r="V570" s="41" t="str">
        <f t="shared" si="43"/>
        <v>NA</v>
      </c>
      <c r="W570" s="30" t="str">
        <f t="shared" si="44"/>
        <v>2122</v>
      </c>
      <c r="X570" s="30" t="str">
        <f>VLOOKUP(MONTH(G570),Key!$F$3:$G$14,2,0)</f>
        <v>Feb</v>
      </c>
      <c r="Y570" s="30" t="str">
        <f>IFERROR(IF(MATCH(F570,'Test 6'!C$5:C$9,0)&gt;0,"RP"),"NON-RP")</f>
        <v>NON-RP</v>
      </c>
    </row>
    <row r="571" spans="2:25" x14ac:dyDescent="0.5">
      <c r="B571" s="30">
        <v>567</v>
      </c>
      <c r="C571" s="30" t="s">
        <v>1231</v>
      </c>
      <c r="D571" s="31">
        <v>2122308</v>
      </c>
      <c r="E571" s="30" t="s">
        <v>1232</v>
      </c>
      <c r="F571" s="53" t="s">
        <v>577</v>
      </c>
      <c r="G571" s="32">
        <v>44606</v>
      </c>
      <c r="H571" s="33">
        <v>0.72684281516332139</v>
      </c>
      <c r="I571" s="30" t="s">
        <v>535</v>
      </c>
      <c r="J571" s="34">
        <v>49630</v>
      </c>
      <c r="K571" s="35" t="s">
        <v>17</v>
      </c>
      <c r="L571" s="36">
        <v>8933.4</v>
      </c>
      <c r="M571" s="30" t="s">
        <v>168</v>
      </c>
      <c r="N571" s="30" t="s">
        <v>61</v>
      </c>
      <c r="O571" s="30" t="s">
        <v>1542</v>
      </c>
      <c r="P571" s="30" t="s">
        <v>1542</v>
      </c>
      <c r="Q571" s="30" t="str">
        <f t="shared" si="40"/>
        <v>SE</v>
      </c>
      <c r="R571" s="30" t="str">
        <f t="shared" si="41"/>
        <v>AM</v>
      </c>
      <c r="S571" s="30" t="str">
        <f>VLOOKUP(M571,'Data - Employee Rights Master'!$C$3:$D$32,2,0)</f>
        <v>SE</v>
      </c>
      <c r="T571" s="30" t="str">
        <f>VLOOKUP(N571,'Data - Employee Rights Master'!$C$3:$D$32,2,0)</f>
        <v>AM</v>
      </c>
      <c r="U571" s="41" t="str">
        <f t="shared" si="42"/>
        <v>PASS</v>
      </c>
      <c r="V571" s="41" t="str">
        <f t="shared" si="43"/>
        <v>NA</v>
      </c>
      <c r="W571" s="30" t="str">
        <f t="shared" si="44"/>
        <v>2122</v>
      </c>
      <c r="X571" s="30" t="str">
        <f>VLOOKUP(MONTH(G571),Key!$F$3:$G$14,2,0)</f>
        <v>Feb</v>
      </c>
      <c r="Y571" s="30" t="str">
        <f>IFERROR(IF(MATCH(F571,'Test 6'!C$5:C$9,0)&gt;0,"RP"),"NON-RP")</f>
        <v>RP</v>
      </c>
    </row>
    <row r="572" spans="2:25" x14ac:dyDescent="0.5">
      <c r="B572" s="30">
        <v>568</v>
      </c>
      <c r="C572" s="30" t="s">
        <v>1233</v>
      </c>
      <c r="D572" s="31">
        <v>2122309</v>
      </c>
      <c r="E572" s="30" t="s">
        <v>1234</v>
      </c>
      <c r="F572" s="53" t="s">
        <v>122</v>
      </c>
      <c r="G572" s="32">
        <v>44607</v>
      </c>
      <c r="H572" s="33">
        <v>0.73515066413788266</v>
      </c>
      <c r="I572" s="30" t="s">
        <v>502</v>
      </c>
      <c r="J572" s="34">
        <v>37690</v>
      </c>
      <c r="K572" s="35" t="s">
        <v>17</v>
      </c>
      <c r="L572" s="36">
        <v>6784.2</v>
      </c>
      <c r="M572" s="30" t="s">
        <v>31</v>
      </c>
      <c r="N572" s="30" t="s">
        <v>32</v>
      </c>
      <c r="O572" s="30" t="s">
        <v>1542</v>
      </c>
      <c r="P572" s="30" t="s">
        <v>1542</v>
      </c>
      <c r="Q572" s="30" t="str">
        <f t="shared" si="40"/>
        <v>SE</v>
      </c>
      <c r="R572" s="30" t="str">
        <f t="shared" si="41"/>
        <v>AM</v>
      </c>
      <c r="S572" s="30" t="str">
        <f>VLOOKUP(M572,'Data - Employee Rights Master'!$C$3:$D$32,2,0)</f>
        <v>SE</v>
      </c>
      <c r="T572" s="30" t="str">
        <f>VLOOKUP(N572,'Data - Employee Rights Master'!$C$3:$D$32,2,0)</f>
        <v>AM</v>
      </c>
      <c r="U572" s="41" t="str">
        <f t="shared" si="42"/>
        <v>PASS</v>
      </c>
      <c r="V572" s="41" t="str">
        <f t="shared" si="43"/>
        <v>NA</v>
      </c>
      <c r="W572" s="30" t="str">
        <f t="shared" si="44"/>
        <v>2122</v>
      </c>
      <c r="X572" s="30" t="str">
        <f>VLOOKUP(MONTH(G572),Key!$F$3:$G$14,2,0)</f>
        <v>Feb</v>
      </c>
      <c r="Y572" s="30" t="str">
        <f>IFERROR(IF(MATCH(F572,'Test 6'!C$5:C$9,0)&gt;0,"RP"),"NON-RP")</f>
        <v>NON-RP</v>
      </c>
    </row>
    <row r="573" spans="2:25" x14ac:dyDescent="0.5">
      <c r="B573" s="30">
        <v>569</v>
      </c>
      <c r="C573" s="30" t="s">
        <v>1235</v>
      </c>
      <c r="D573" s="31">
        <v>2122310</v>
      </c>
      <c r="E573" s="30" t="s">
        <v>1236</v>
      </c>
      <c r="F573" s="53" t="s">
        <v>332</v>
      </c>
      <c r="G573" s="32">
        <v>44607</v>
      </c>
      <c r="H573" s="33">
        <v>0.51823131798215993</v>
      </c>
      <c r="I573" s="30" t="s">
        <v>535</v>
      </c>
      <c r="J573" s="34">
        <v>28720</v>
      </c>
      <c r="K573" s="35" t="s">
        <v>17</v>
      </c>
      <c r="L573" s="36">
        <v>5169.5999999999995</v>
      </c>
      <c r="M573" s="30" t="s">
        <v>737</v>
      </c>
      <c r="N573" s="30" t="s">
        <v>28</v>
      </c>
      <c r="O573" s="30" t="s">
        <v>1542</v>
      </c>
      <c r="P573" s="30" t="s">
        <v>1542</v>
      </c>
      <c r="Q573" s="30" t="str">
        <f t="shared" si="40"/>
        <v>SE</v>
      </c>
      <c r="R573" s="30" t="str">
        <f t="shared" si="41"/>
        <v>AM</v>
      </c>
      <c r="S573" s="30" t="str">
        <f>VLOOKUP(M573,'Data - Employee Rights Master'!$C$3:$D$32,2,0)</f>
        <v>SE</v>
      </c>
      <c r="T573" s="30" t="str">
        <f>VLOOKUP(N573,'Data - Employee Rights Master'!$C$3:$D$32,2,0)</f>
        <v>AM</v>
      </c>
      <c r="U573" s="41" t="str">
        <f t="shared" si="42"/>
        <v>PASS</v>
      </c>
      <c r="V573" s="41" t="str">
        <f t="shared" si="43"/>
        <v>NA</v>
      </c>
      <c r="W573" s="30" t="str">
        <f t="shared" si="44"/>
        <v>2122</v>
      </c>
      <c r="X573" s="30" t="str">
        <f>VLOOKUP(MONTH(G573),Key!$F$3:$G$14,2,0)</f>
        <v>Feb</v>
      </c>
      <c r="Y573" s="30" t="str">
        <f>IFERROR(IF(MATCH(F573,'Test 6'!C$5:C$9,0)&gt;0,"RP"),"NON-RP")</f>
        <v>NON-RP</v>
      </c>
    </row>
    <row r="574" spans="2:25" x14ac:dyDescent="0.5">
      <c r="B574" s="30">
        <v>570</v>
      </c>
      <c r="C574" s="30" t="s">
        <v>1237</v>
      </c>
      <c r="D574" s="31">
        <v>2122311</v>
      </c>
      <c r="E574" s="30" t="s">
        <v>1238</v>
      </c>
      <c r="F574" s="53" t="s">
        <v>131</v>
      </c>
      <c r="G574" s="32">
        <v>44608</v>
      </c>
      <c r="H574" s="33">
        <v>0.5711793805172426</v>
      </c>
      <c r="I574" s="30" t="s">
        <v>535</v>
      </c>
      <c r="J574" s="34">
        <v>28380</v>
      </c>
      <c r="K574" s="35" t="s">
        <v>17</v>
      </c>
      <c r="L574" s="36">
        <v>5108.3999999999996</v>
      </c>
      <c r="M574" s="30" t="s">
        <v>200</v>
      </c>
      <c r="N574" s="30" t="s">
        <v>28</v>
      </c>
      <c r="O574" s="30" t="s">
        <v>1542</v>
      </c>
      <c r="P574" s="30" t="s">
        <v>1542</v>
      </c>
      <c r="Q574" s="30" t="str">
        <f t="shared" si="40"/>
        <v>SE</v>
      </c>
      <c r="R574" s="30" t="str">
        <f t="shared" si="41"/>
        <v>AM</v>
      </c>
      <c r="S574" s="30" t="str">
        <f>VLOOKUP(M574,'Data - Employee Rights Master'!$C$3:$D$32,2,0)</f>
        <v>SE</v>
      </c>
      <c r="T574" s="30" t="str">
        <f>VLOOKUP(N574,'Data - Employee Rights Master'!$C$3:$D$32,2,0)</f>
        <v>AM</v>
      </c>
      <c r="U574" s="41" t="str">
        <f t="shared" si="42"/>
        <v>PASS</v>
      </c>
      <c r="V574" s="41" t="str">
        <f t="shared" si="43"/>
        <v>NA</v>
      </c>
      <c r="W574" s="30" t="str">
        <f t="shared" si="44"/>
        <v>2122</v>
      </c>
      <c r="X574" s="30" t="str">
        <f>VLOOKUP(MONTH(G574),Key!$F$3:$G$14,2,0)</f>
        <v>Feb</v>
      </c>
      <c r="Y574" s="30" t="str">
        <f>IFERROR(IF(MATCH(F574,'Test 6'!C$5:C$9,0)&gt;0,"RP"),"NON-RP")</f>
        <v>NON-RP</v>
      </c>
    </row>
    <row r="575" spans="2:25" x14ac:dyDescent="0.5">
      <c r="B575" s="30">
        <v>571</v>
      </c>
      <c r="C575" s="30" t="s">
        <v>1239</v>
      </c>
      <c r="D575" s="31">
        <v>2122312</v>
      </c>
      <c r="E575" s="30" t="s">
        <v>1240</v>
      </c>
      <c r="F575" s="53" t="s">
        <v>608</v>
      </c>
      <c r="G575" s="32">
        <v>44610</v>
      </c>
      <c r="H575" s="33">
        <v>0.48658567348083093</v>
      </c>
      <c r="I575" s="30" t="s">
        <v>535</v>
      </c>
      <c r="J575" s="34">
        <v>25650</v>
      </c>
      <c r="K575" s="35" t="s">
        <v>17</v>
      </c>
      <c r="L575" s="36">
        <v>4617</v>
      </c>
      <c r="M575" s="30" t="s">
        <v>31</v>
      </c>
      <c r="N575" s="30" t="s">
        <v>46</v>
      </c>
      <c r="O575" s="30" t="s">
        <v>1542</v>
      </c>
      <c r="P575" s="30" t="s">
        <v>1542</v>
      </c>
      <c r="Q575" s="30" t="str">
        <f t="shared" si="40"/>
        <v>SE</v>
      </c>
      <c r="R575" s="30" t="str">
        <f t="shared" si="41"/>
        <v>AM</v>
      </c>
      <c r="S575" s="30" t="str">
        <f>VLOOKUP(M575,'Data - Employee Rights Master'!$C$3:$D$32,2,0)</f>
        <v>SE</v>
      </c>
      <c r="T575" s="30" t="str">
        <f>VLOOKUP(N575,'Data - Employee Rights Master'!$C$3:$D$32,2,0)</f>
        <v>AM</v>
      </c>
      <c r="U575" s="41" t="str">
        <f t="shared" si="42"/>
        <v>PASS</v>
      </c>
      <c r="V575" s="41" t="str">
        <f t="shared" si="43"/>
        <v>NA</v>
      </c>
      <c r="W575" s="30" t="str">
        <f t="shared" si="44"/>
        <v>2122</v>
      </c>
      <c r="X575" s="30" t="str">
        <f>VLOOKUP(MONTH(G575),Key!$F$3:$G$14,2,0)</f>
        <v>Feb</v>
      </c>
      <c r="Y575" s="30" t="str">
        <f>IFERROR(IF(MATCH(F575,'Test 6'!C$5:C$9,0)&gt;0,"RP"),"NON-RP")</f>
        <v>NON-RP</v>
      </c>
    </row>
    <row r="576" spans="2:25" x14ac:dyDescent="0.5">
      <c r="B576" s="30">
        <v>572</v>
      </c>
      <c r="C576" s="30" t="s">
        <v>1241</v>
      </c>
      <c r="D576" s="31">
        <v>2122313</v>
      </c>
      <c r="E576" s="30" t="s">
        <v>1242</v>
      </c>
      <c r="F576" s="53" t="s">
        <v>290</v>
      </c>
      <c r="G576" s="32">
        <v>44610</v>
      </c>
      <c r="H576" s="33">
        <v>0.59470368813959984</v>
      </c>
      <c r="I576" s="30" t="s">
        <v>535</v>
      </c>
      <c r="J576" s="34">
        <v>40930</v>
      </c>
      <c r="K576" s="35" t="s">
        <v>17</v>
      </c>
      <c r="L576" s="36">
        <v>7367.4</v>
      </c>
      <c r="M576" s="30" t="s">
        <v>134</v>
      </c>
      <c r="N576" s="30" t="s">
        <v>37</v>
      </c>
      <c r="O576" s="30" t="s">
        <v>1542</v>
      </c>
      <c r="P576" s="30" t="s">
        <v>1542</v>
      </c>
      <c r="Q576" s="30" t="str">
        <f t="shared" si="40"/>
        <v>SE</v>
      </c>
      <c r="R576" s="30" t="str">
        <f t="shared" si="41"/>
        <v>AM</v>
      </c>
      <c r="S576" s="30" t="str">
        <f>VLOOKUP(M576,'Data - Employee Rights Master'!$C$3:$D$32,2,0)</f>
        <v>SE</v>
      </c>
      <c r="T576" s="30" t="str">
        <f>VLOOKUP(N576,'Data - Employee Rights Master'!$C$3:$D$32,2,0)</f>
        <v>AM</v>
      </c>
      <c r="U576" s="41" t="str">
        <f t="shared" si="42"/>
        <v>PASS</v>
      </c>
      <c r="V576" s="41" t="str">
        <f t="shared" si="43"/>
        <v>NA</v>
      </c>
      <c r="W576" s="30" t="str">
        <f t="shared" si="44"/>
        <v>2122</v>
      </c>
      <c r="X576" s="30" t="str">
        <f>VLOOKUP(MONTH(G576),Key!$F$3:$G$14,2,0)</f>
        <v>Feb</v>
      </c>
      <c r="Y576" s="30" t="str">
        <f>IFERROR(IF(MATCH(F576,'Test 6'!C$5:C$9,0)&gt;0,"RP"),"NON-RP")</f>
        <v>NON-RP</v>
      </c>
    </row>
    <row r="577" spans="2:25" x14ac:dyDescent="0.5">
      <c r="B577" s="30">
        <v>573</v>
      </c>
      <c r="C577" s="30" t="s">
        <v>1243</v>
      </c>
      <c r="D577" s="31">
        <v>2122314</v>
      </c>
      <c r="E577" s="30" t="s">
        <v>1244</v>
      </c>
      <c r="F577" s="53" t="s">
        <v>238</v>
      </c>
      <c r="G577" s="32">
        <v>44611</v>
      </c>
      <c r="H577" s="33">
        <v>0.44245526930848494</v>
      </c>
      <c r="I577" s="30" t="s">
        <v>502</v>
      </c>
      <c r="J577" s="34">
        <v>29840</v>
      </c>
      <c r="K577" s="35" t="s">
        <v>17</v>
      </c>
      <c r="L577" s="36">
        <v>5371.2</v>
      </c>
      <c r="M577" s="30" t="s">
        <v>78</v>
      </c>
      <c r="N577" s="30" t="s">
        <v>37</v>
      </c>
      <c r="O577" s="30" t="s">
        <v>1542</v>
      </c>
      <c r="P577" s="30" t="s">
        <v>1542</v>
      </c>
      <c r="Q577" s="30" t="str">
        <f t="shared" si="40"/>
        <v>SE</v>
      </c>
      <c r="R577" s="30" t="str">
        <f t="shared" si="41"/>
        <v>AM</v>
      </c>
      <c r="S577" s="30" t="str">
        <f>VLOOKUP(M577,'Data - Employee Rights Master'!$C$3:$D$32,2,0)</f>
        <v>SE</v>
      </c>
      <c r="T577" s="30" t="str">
        <f>VLOOKUP(N577,'Data - Employee Rights Master'!$C$3:$D$32,2,0)</f>
        <v>AM</v>
      </c>
      <c r="U577" s="41" t="str">
        <f t="shared" si="42"/>
        <v>PASS</v>
      </c>
      <c r="V577" s="41" t="str">
        <f t="shared" si="43"/>
        <v>NA</v>
      </c>
      <c r="W577" s="30" t="str">
        <f t="shared" si="44"/>
        <v>2122</v>
      </c>
      <c r="X577" s="30" t="str">
        <f>VLOOKUP(MONTH(G577),Key!$F$3:$G$14,2,0)</f>
        <v>Feb</v>
      </c>
      <c r="Y577" s="30" t="str">
        <f>IFERROR(IF(MATCH(F577,'Test 6'!C$5:C$9,0)&gt;0,"RP"),"NON-RP")</f>
        <v>NON-RP</v>
      </c>
    </row>
    <row r="578" spans="2:25" x14ac:dyDescent="0.5">
      <c r="B578" s="30">
        <v>574</v>
      </c>
      <c r="C578" s="30" t="s">
        <v>1245</v>
      </c>
      <c r="D578" s="31">
        <v>2122315</v>
      </c>
      <c r="E578" s="30" t="s">
        <v>1246</v>
      </c>
      <c r="F578" s="53" t="s">
        <v>293</v>
      </c>
      <c r="G578" s="32">
        <v>44613</v>
      </c>
      <c r="H578" s="33">
        <v>0.59943210747032893</v>
      </c>
      <c r="I578" s="30" t="s">
        <v>535</v>
      </c>
      <c r="J578" s="34">
        <v>328880</v>
      </c>
      <c r="K578" s="35" t="s">
        <v>17</v>
      </c>
      <c r="L578" s="36">
        <v>59198.399999999994</v>
      </c>
      <c r="M578" s="30" t="s">
        <v>32</v>
      </c>
      <c r="N578" s="30" t="s">
        <v>51</v>
      </c>
      <c r="O578" s="30" t="s">
        <v>1542</v>
      </c>
      <c r="P578" s="30" t="s">
        <v>1542</v>
      </c>
      <c r="Q578" s="30" t="str">
        <f t="shared" si="40"/>
        <v>AM</v>
      </c>
      <c r="R578" s="30" t="str">
        <f t="shared" si="41"/>
        <v>DM</v>
      </c>
      <c r="S578" s="30" t="str">
        <f>VLOOKUP(M578,'Data - Employee Rights Master'!$C$3:$D$32,2,0)</f>
        <v>AM</v>
      </c>
      <c r="T578" s="30" t="str">
        <f>VLOOKUP(N578,'Data - Employee Rights Master'!$C$3:$D$32,2,0)</f>
        <v>DM</v>
      </c>
      <c r="U578" s="41" t="str">
        <f t="shared" si="42"/>
        <v>PASS</v>
      </c>
      <c r="V578" s="41" t="str">
        <f t="shared" si="43"/>
        <v>NA</v>
      </c>
      <c r="W578" s="30" t="str">
        <f t="shared" si="44"/>
        <v>2122</v>
      </c>
      <c r="X578" s="30" t="str">
        <f>VLOOKUP(MONTH(G578),Key!$F$3:$G$14,2,0)</f>
        <v>Feb</v>
      </c>
      <c r="Y578" s="30" t="str">
        <f>IFERROR(IF(MATCH(F578,'Test 6'!C$5:C$9,0)&gt;0,"RP"),"NON-RP")</f>
        <v>NON-RP</v>
      </c>
    </row>
    <row r="579" spans="2:25" x14ac:dyDescent="0.5">
      <c r="B579" s="30">
        <v>575</v>
      </c>
      <c r="C579" s="30" t="s">
        <v>1247</v>
      </c>
      <c r="D579" s="31">
        <v>2122316</v>
      </c>
      <c r="E579" s="30" t="s">
        <v>1248</v>
      </c>
      <c r="F579" s="53" t="s">
        <v>92</v>
      </c>
      <c r="G579" s="32">
        <v>44613</v>
      </c>
      <c r="H579" s="33">
        <v>0.41706375658300154</v>
      </c>
      <c r="I579" s="30" t="s">
        <v>535</v>
      </c>
      <c r="J579" s="34">
        <v>4474800</v>
      </c>
      <c r="K579" s="35" t="s">
        <v>17</v>
      </c>
      <c r="L579" s="36">
        <v>805464</v>
      </c>
      <c r="M579" s="30" t="s">
        <v>1078</v>
      </c>
      <c r="N579" s="30" t="s">
        <v>41</v>
      </c>
      <c r="O579" s="30" t="s">
        <v>1542</v>
      </c>
      <c r="P579" s="30" t="s">
        <v>1542</v>
      </c>
      <c r="Q579" s="30" t="str">
        <f t="shared" si="40"/>
        <v>SM</v>
      </c>
      <c r="R579" s="30" t="str">
        <f t="shared" si="41"/>
        <v>CM</v>
      </c>
      <c r="S579" s="30" t="str">
        <f>VLOOKUP(M579,'Data - Employee Rights Master'!$C$3:$D$32,2,0)</f>
        <v>SM</v>
      </c>
      <c r="T579" s="30" t="str">
        <f>VLOOKUP(N579,'Data - Employee Rights Master'!$C$3:$D$32,2,0)</f>
        <v>CM</v>
      </c>
      <c r="U579" s="41" t="str">
        <f t="shared" si="42"/>
        <v>PASS</v>
      </c>
      <c r="V579" s="41" t="str">
        <f t="shared" si="43"/>
        <v>NA</v>
      </c>
      <c r="W579" s="30" t="str">
        <f t="shared" si="44"/>
        <v>2122</v>
      </c>
      <c r="X579" s="30" t="str">
        <f>VLOOKUP(MONTH(G579),Key!$F$3:$G$14,2,0)</f>
        <v>Feb</v>
      </c>
      <c r="Y579" s="30" t="str">
        <f>IFERROR(IF(MATCH(F579,'Test 6'!C$5:C$9,0)&gt;0,"RP"),"NON-RP")</f>
        <v>NON-RP</v>
      </c>
    </row>
    <row r="580" spans="2:25" x14ac:dyDescent="0.5">
      <c r="B580" s="30">
        <v>576</v>
      </c>
      <c r="C580" s="30" t="s">
        <v>1249</v>
      </c>
      <c r="D580" s="31">
        <v>2122317</v>
      </c>
      <c r="E580" s="30" t="s">
        <v>1250</v>
      </c>
      <c r="F580" s="53" t="s">
        <v>119</v>
      </c>
      <c r="G580" s="32">
        <v>44616</v>
      </c>
      <c r="H580" s="33">
        <v>0.74976455426263466</v>
      </c>
      <c r="I580" s="30" t="s">
        <v>535</v>
      </c>
      <c r="J580" s="34">
        <v>226040</v>
      </c>
      <c r="K580" s="35" t="s">
        <v>17</v>
      </c>
      <c r="L580" s="36">
        <v>40687.199999999997</v>
      </c>
      <c r="M580" s="30" t="s">
        <v>32</v>
      </c>
      <c r="N580" s="30" t="s">
        <v>68</v>
      </c>
      <c r="O580" s="30" t="s">
        <v>1542</v>
      </c>
      <c r="P580" s="30" t="s">
        <v>1542</v>
      </c>
      <c r="Q580" s="30" t="str">
        <f t="shared" si="40"/>
        <v>AM</v>
      </c>
      <c r="R580" s="30" t="str">
        <f t="shared" si="41"/>
        <v>DM</v>
      </c>
      <c r="S580" s="30" t="str">
        <f>VLOOKUP(M580,'Data - Employee Rights Master'!$C$3:$D$32,2,0)</f>
        <v>AM</v>
      </c>
      <c r="T580" s="30" t="str">
        <f>VLOOKUP(N580,'Data - Employee Rights Master'!$C$3:$D$32,2,0)</f>
        <v>DM</v>
      </c>
      <c r="U580" s="41" t="str">
        <f t="shared" si="42"/>
        <v>PASS</v>
      </c>
      <c r="V580" s="41" t="str">
        <f t="shared" si="43"/>
        <v>NA</v>
      </c>
      <c r="W580" s="30" t="str">
        <f t="shared" si="44"/>
        <v>2122</v>
      </c>
      <c r="X580" s="30" t="str">
        <f>VLOOKUP(MONTH(G580),Key!$F$3:$G$14,2,0)</f>
        <v>Feb</v>
      </c>
      <c r="Y580" s="30" t="str">
        <f>IFERROR(IF(MATCH(F580,'Test 6'!C$5:C$9,0)&gt;0,"RP"),"NON-RP")</f>
        <v>NON-RP</v>
      </c>
    </row>
    <row r="581" spans="2:25" x14ac:dyDescent="0.5">
      <c r="B581" s="30">
        <v>577</v>
      </c>
      <c r="C581" s="30" t="s">
        <v>1251</v>
      </c>
      <c r="D581" s="31">
        <v>2122318</v>
      </c>
      <c r="E581" s="30" t="s">
        <v>1252</v>
      </c>
      <c r="F581" s="53" t="s">
        <v>195</v>
      </c>
      <c r="G581" s="32">
        <v>44616</v>
      </c>
      <c r="H581" s="33">
        <v>0.49452222214671043</v>
      </c>
      <c r="I581" s="30" t="s">
        <v>535</v>
      </c>
      <c r="J581" s="34">
        <v>287210</v>
      </c>
      <c r="K581" s="35" t="s">
        <v>17</v>
      </c>
      <c r="L581" s="36">
        <v>51697.799999999996</v>
      </c>
      <c r="M581" s="30" t="s">
        <v>61</v>
      </c>
      <c r="N581" s="30" t="s">
        <v>51</v>
      </c>
      <c r="O581" s="30" t="s">
        <v>1542</v>
      </c>
      <c r="P581" s="30" t="s">
        <v>1542</v>
      </c>
      <c r="Q581" s="30" t="str">
        <f t="shared" si="40"/>
        <v>AM</v>
      </c>
      <c r="R581" s="30" t="str">
        <f t="shared" si="41"/>
        <v>DM</v>
      </c>
      <c r="S581" s="30" t="str">
        <f>VLOOKUP(M581,'Data - Employee Rights Master'!$C$3:$D$32,2,0)</f>
        <v>AM</v>
      </c>
      <c r="T581" s="30" t="str">
        <f>VLOOKUP(N581,'Data - Employee Rights Master'!$C$3:$D$32,2,0)</f>
        <v>DM</v>
      </c>
      <c r="U581" s="41" t="str">
        <f t="shared" si="42"/>
        <v>PASS</v>
      </c>
      <c r="V581" s="41" t="str">
        <f t="shared" si="43"/>
        <v>NA</v>
      </c>
      <c r="W581" s="30" t="str">
        <f t="shared" si="44"/>
        <v>2122</v>
      </c>
      <c r="X581" s="30" t="str">
        <f>VLOOKUP(MONTH(G581),Key!$F$3:$G$14,2,0)</f>
        <v>Feb</v>
      </c>
      <c r="Y581" s="30" t="str">
        <f>IFERROR(IF(MATCH(F581,'Test 6'!C$5:C$9,0)&gt;0,"RP"),"NON-RP")</f>
        <v>NON-RP</v>
      </c>
    </row>
    <row r="582" spans="2:25" x14ac:dyDescent="0.5">
      <c r="B582" s="30">
        <v>578</v>
      </c>
      <c r="C582" s="30" t="s">
        <v>1253</v>
      </c>
      <c r="D582" s="31">
        <v>2122319</v>
      </c>
      <c r="E582" s="30" t="s">
        <v>1254</v>
      </c>
      <c r="F582" s="53" t="s">
        <v>103</v>
      </c>
      <c r="G582" s="32">
        <v>44618</v>
      </c>
      <c r="H582" s="33">
        <v>0.67965913437570735</v>
      </c>
      <c r="I582" s="30" t="s">
        <v>535</v>
      </c>
      <c r="J582" s="34">
        <v>44400</v>
      </c>
      <c r="K582" s="35" t="s">
        <v>17</v>
      </c>
      <c r="L582" s="36">
        <v>7992</v>
      </c>
      <c r="M582" s="30" t="s">
        <v>168</v>
      </c>
      <c r="N582" s="30" t="s">
        <v>32</v>
      </c>
      <c r="O582" s="30" t="s">
        <v>1542</v>
      </c>
      <c r="P582" s="30" t="s">
        <v>1542</v>
      </c>
      <c r="Q582" s="30" t="str">
        <f t="shared" ref="Q582:Q604" si="45">IF(J582&lt;200000,"SE",IF(J582&lt;500000,"AM",IF(J582&lt;1000000,"DM",IF(J582&lt;4500000,"SM",IF(J582&gt;=4500000,"CM")))))</f>
        <v>SE</v>
      </c>
      <c r="R582" s="30" t="str">
        <f t="shared" ref="R582:R604" si="46">IF(Q582="SE","AM",IF(Q582="AM","DM",IF(Q582="DM","SM",IF(Q582="SM","CM",IF(Q582="CM","CFO")))))</f>
        <v>AM</v>
      </c>
      <c r="S582" s="30" t="str">
        <f>VLOOKUP(M582,'Data - Employee Rights Master'!$C$3:$D$32,2,0)</f>
        <v>SE</v>
      </c>
      <c r="T582" s="30" t="str">
        <f>VLOOKUP(N582,'Data - Employee Rights Master'!$C$3:$D$32,2,0)</f>
        <v>AM</v>
      </c>
      <c r="U582" s="41" t="str">
        <f t="shared" ref="U582:U604" si="47">IF(AND(S582=Q582,T582=R582),"PASS","DEVIATION")</f>
        <v>PASS</v>
      </c>
      <c r="V582" s="41" t="str">
        <f t="shared" ref="V582:V604" si="48">IF(J582&gt;5000000,IF(AND(O582="Approved",P582&lt;&gt;"NA"),"PASS","FLAG"),"NA")</f>
        <v>NA</v>
      </c>
      <c r="W582" s="30" t="str">
        <f t="shared" ref="W582:W604" si="49">LEFT(C582,4)</f>
        <v>2122</v>
      </c>
      <c r="X582" s="30" t="str">
        <f>VLOOKUP(MONTH(G582),Key!$F$3:$G$14,2,0)</f>
        <v>Feb</v>
      </c>
      <c r="Y582" s="30" t="str">
        <f>IFERROR(IF(MATCH(F582,'Test 6'!C$5:C$9,0)&gt;0,"RP"),"NON-RP")</f>
        <v>NON-RP</v>
      </c>
    </row>
    <row r="583" spans="2:25" x14ac:dyDescent="0.5">
      <c r="B583" s="30">
        <v>579</v>
      </c>
      <c r="C583" s="30" t="s">
        <v>1255</v>
      </c>
      <c r="D583" s="31">
        <v>2122320</v>
      </c>
      <c r="E583" s="30" t="s">
        <v>1256</v>
      </c>
      <c r="F583" s="53" t="s">
        <v>378</v>
      </c>
      <c r="G583" s="32">
        <v>44620</v>
      </c>
      <c r="H583" s="33">
        <v>0.50438303529454331</v>
      </c>
      <c r="I583" s="30" t="s">
        <v>502</v>
      </c>
      <c r="J583" s="34">
        <v>364910</v>
      </c>
      <c r="K583" s="35" t="s">
        <v>17</v>
      </c>
      <c r="L583" s="36">
        <v>65683.8</v>
      </c>
      <c r="M583" s="30" t="s">
        <v>61</v>
      </c>
      <c r="N583" s="30" t="s">
        <v>24</v>
      </c>
      <c r="O583" s="30" t="s">
        <v>1542</v>
      </c>
      <c r="P583" s="30" t="s">
        <v>1542</v>
      </c>
      <c r="Q583" s="30" t="str">
        <f t="shared" si="45"/>
        <v>AM</v>
      </c>
      <c r="R583" s="30" t="str">
        <f t="shared" si="46"/>
        <v>DM</v>
      </c>
      <c r="S583" s="30" t="str">
        <f>VLOOKUP(M583,'Data - Employee Rights Master'!$C$3:$D$32,2,0)</f>
        <v>AM</v>
      </c>
      <c r="T583" s="30" t="str">
        <f>VLOOKUP(N583,'Data - Employee Rights Master'!$C$3:$D$32,2,0)</f>
        <v>DM</v>
      </c>
      <c r="U583" s="41" t="str">
        <f t="shared" si="47"/>
        <v>PASS</v>
      </c>
      <c r="V583" s="41" t="str">
        <f t="shared" si="48"/>
        <v>NA</v>
      </c>
      <c r="W583" s="30" t="str">
        <f t="shared" si="49"/>
        <v>2122</v>
      </c>
      <c r="X583" s="30" t="str">
        <f>VLOOKUP(MONTH(G583),Key!$F$3:$G$14,2,0)</f>
        <v>Feb</v>
      </c>
      <c r="Y583" s="30" t="str">
        <f>IFERROR(IF(MATCH(F583,'Test 6'!C$5:C$9,0)&gt;0,"RP"),"NON-RP")</f>
        <v>RP</v>
      </c>
    </row>
    <row r="584" spans="2:25" x14ac:dyDescent="0.5">
      <c r="B584" s="30">
        <v>580</v>
      </c>
      <c r="C584" s="30" t="s">
        <v>1257</v>
      </c>
      <c r="D584" s="31">
        <v>2122321</v>
      </c>
      <c r="E584" s="30" t="s">
        <v>1258</v>
      </c>
      <c r="F584" s="53" t="s">
        <v>35</v>
      </c>
      <c r="G584" s="32">
        <v>44620</v>
      </c>
      <c r="H584" s="33">
        <v>0.73683019109141878</v>
      </c>
      <c r="I584" s="30" t="s">
        <v>535</v>
      </c>
      <c r="J584" s="34">
        <v>372850</v>
      </c>
      <c r="K584" s="35" t="s">
        <v>17</v>
      </c>
      <c r="L584" s="36">
        <v>67113</v>
      </c>
      <c r="M584" s="30" t="s">
        <v>32</v>
      </c>
      <c r="N584" s="30" t="s">
        <v>19</v>
      </c>
      <c r="O584" s="30" t="s">
        <v>1542</v>
      </c>
      <c r="P584" s="30" t="s">
        <v>1542</v>
      </c>
      <c r="Q584" s="30" t="str">
        <f t="shared" si="45"/>
        <v>AM</v>
      </c>
      <c r="R584" s="30" t="str">
        <f t="shared" si="46"/>
        <v>DM</v>
      </c>
      <c r="S584" s="30" t="str">
        <f>VLOOKUP(M584,'Data - Employee Rights Master'!$C$3:$D$32,2,0)</f>
        <v>AM</v>
      </c>
      <c r="T584" s="30" t="str">
        <f>VLOOKUP(N584,'Data - Employee Rights Master'!$C$3:$D$32,2,0)</f>
        <v>DM</v>
      </c>
      <c r="U584" s="41" t="str">
        <f t="shared" si="47"/>
        <v>PASS</v>
      </c>
      <c r="V584" s="41" t="str">
        <f t="shared" si="48"/>
        <v>NA</v>
      </c>
      <c r="W584" s="30" t="str">
        <f t="shared" si="49"/>
        <v>2122</v>
      </c>
      <c r="X584" s="30" t="str">
        <f>VLOOKUP(MONTH(G584),Key!$F$3:$G$14,2,0)</f>
        <v>Feb</v>
      </c>
      <c r="Y584" s="30" t="str">
        <f>IFERROR(IF(MATCH(F584,'Test 6'!C$5:C$9,0)&gt;0,"RP"),"NON-RP")</f>
        <v>NON-RP</v>
      </c>
    </row>
    <row r="585" spans="2:25" x14ac:dyDescent="0.5">
      <c r="B585" s="30">
        <v>581</v>
      </c>
      <c r="C585" s="30" t="s">
        <v>1259</v>
      </c>
      <c r="D585" s="31">
        <v>2122322</v>
      </c>
      <c r="E585" s="30" t="s">
        <v>1260</v>
      </c>
      <c r="F585" s="53" t="s">
        <v>92</v>
      </c>
      <c r="G585" s="32">
        <v>44620</v>
      </c>
      <c r="H585" s="33">
        <v>0.5251770942009768</v>
      </c>
      <c r="I585" s="30" t="s">
        <v>535</v>
      </c>
      <c r="J585" s="34">
        <v>2734330</v>
      </c>
      <c r="K585" s="35" t="s">
        <v>17</v>
      </c>
      <c r="L585" s="36">
        <v>492179.39999999997</v>
      </c>
      <c r="M585" s="30" t="s">
        <v>701</v>
      </c>
      <c r="N585" s="30" t="s">
        <v>41</v>
      </c>
      <c r="O585" s="30" t="s">
        <v>1542</v>
      </c>
      <c r="P585" s="30" t="s">
        <v>1542</v>
      </c>
      <c r="Q585" s="30" t="str">
        <f t="shared" si="45"/>
        <v>SM</v>
      </c>
      <c r="R585" s="30" t="str">
        <f t="shared" si="46"/>
        <v>CM</v>
      </c>
      <c r="S585" s="30" t="str">
        <f>VLOOKUP(M585,'Data - Employee Rights Master'!$C$3:$D$32,2,0)</f>
        <v>SM</v>
      </c>
      <c r="T585" s="30" t="str">
        <f>VLOOKUP(N585,'Data - Employee Rights Master'!$C$3:$D$32,2,0)</f>
        <v>CM</v>
      </c>
      <c r="U585" s="41" t="str">
        <f t="shared" si="47"/>
        <v>PASS</v>
      </c>
      <c r="V585" s="41" t="str">
        <f t="shared" si="48"/>
        <v>NA</v>
      </c>
      <c r="W585" s="30" t="str">
        <f t="shared" si="49"/>
        <v>2122</v>
      </c>
      <c r="X585" s="30" t="str">
        <f>VLOOKUP(MONTH(G585),Key!$F$3:$G$14,2,0)</f>
        <v>Feb</v>
      </c>
      <c r="Y585" s="30" t="str">
        <f>IFERROR(IF(MATCH(F585,'Test 6'!C$5:C$9,0)&gt;0,"RP"),"NON-RP")</f>
        <v>NON-RP</v>
      </c>
    </row>
    <row r="586" spans="2:25" x14ac:dyDescent="0.5">
      <c r="B586" s="30">
        <v>582</v>
      </c>
      <c r="C586" s="30" t="s">
        <v>1261</v>
      </c>
      <c r="D586" s="31">
        <v>2122323</v>
      </c>
      <c r="E586" s="30" t="s">
        <v>1262</v>
      </c>
      <c r="F586" s="53" t="s">
        <v>92</v>
      </c>
      <c r="G586" s="32">
        <v>44620</v>
      </c>
      <c r="H586" s="33">
        <v>0.53340786475213986</v>
      </c>
      <c r="I586" s="30" t="s">
        <v>535</v>
      </c>
      <c r="J586" s="34">
        <v>252560</v>
      </c>
      <c r="K586" s="35" t="s">
        <v>17</v>
      </c>
      <c r="L586" s="36">
        <v>45460.799999999996</v>
      </c>
      <c r="M586" s="30" t="s">
        <v>23</v>
      </c>
      <c r="N586" s="30" t="s">
        <v>51</v>
      </c>
      <c r="O586" s="30" t="s">
        <v>1542</v>
      </c>
      <c r="P586" s="30" t="s">
        <v>1542</v>
      </c>
      <c r="Q586" s="30" t="str">
        <f t="shared" si="45"/>
        <v>AM</v>
      </c>
      <c r="R586" s="30" t="str">
        <f t="shared" si="46"/>
        <v>DM</v>
      </c>
      <c r="S586" s="30" t="str">
        <f>VLOOKUP(M586,'Data - Employee Rights Master'!$C$3:$D$32,2,0)</f>
        <v>AM</v>
      </c>
      <c r="T586" s="30" t="str">
        <f>VLOOKUP(N586,'Data - Employee Rights Master'!$C$3:$D$32,2,0)</f>
        <v>DM</v>
      </c>
      <c r="U586" s="41" t="str">
        <f t="shared" si="47"/>
        <v>PASS</v>
      </c>
      <c r="V586" s="41" t="str">
        <f t="shared" si="48"/>
        <v>NA</v>
      </c>
      <c r="W586" s="30" t="str">
        <f t="shared" si="49"/>
        <v>2122</v>
      </c>
      <c r="X586" s="30" t="str">
        <f>VLOOKUP(MONTH(G586),Key!$F$3:$G$14,2,0)</f>
        <v>Feb</v>
      </c>
      <c r="Y586" s="30" t="str">
        <f>IFERROR(IF(MATCH(F586,'Test 6'!C$5:C$9,0)&gt;0,"RP"),"NON-RP")</f>
        <v>NON-RP</v>
      </c>
    </row>
    <row r="587" spans="2:25" x14ac:dyDescent="0.5">
      <c r="B587" s="30">
        <v>583</v>
      </c>
      <c r="C587" s="30" t="s">
        <v>1263</v>
      </c>
      <c r="D587" s="31">
        <v>2122324</v>
      </c>
      <c r="E587" s="30" t="s">
        <v>1264</v>
      </c>
      <c r="F587" s="53" t="s">
        <v>119</v>
      </c>
      <c r="G587" s="32">
        <v>44620</v>
      </c>
      <c r="H587" s="33">
        <v>0.51865946911116834</v>
      </c>
      <c r="I587" s="30" t="s">
        <v>535</v>
      </c>
      <c r="J587" s="34">
        <v>464250</v>
      </c>
      <c r="K587" s="35" t="s">
        <v>17</v>
      </c>
      <c r="L587" s="36">
        <v>83565</v>
      </c>
      <c r="M587" s="30" t="s">
        <v>28</v>
      </c>
      <c r="N587" s="30" t="s">
        <v>24</v>
      </c>
      <c r="O587" s="30" t="s">
        <v>1542</v>
      </c>
      <c r="P587" s="30" t="s">
        <v>1542</v>
      </c>
      <c r="Q587" s="30" t="str">
        <f t="shared" si="45"/>
        <v>AM</v>
      </c>
      <c r="R587" s="30" t="str">
        <f t="shared" si="46"/>
        <v>DM</v>
      </c>
      <c r="S587" s="30" t="str">
        <f>VLOOKUP(M587,'Data - Employee Rights Master'!$C$3:$D$32,2,0)</f>
        <v>AM</v>
      </c>
      <c r="T587" s="30" t="str">
        <f>VLOOKUP(N587,'Data - Employee Rights Master'!$C$3:$D$32,2,0)</f>
        <v>DM</v>
      </c>
      <c r="U587" s="41" t="str">
        <f t="shared" si="47"/>
        <v>PASS</v>
      </c>
      <c r="V587" s="41" t="str">
        <f t="shared" si="48"/>
        <v>NA</v>
      </c>
      <c r="W587" s="30" t="str">
        <f t="shared" si="49"/>
        <v>2122</v>
      </c>
      <c r="X587" s="30" t="str">
        <f>VLOOKUP(MONTH(G587),Key!$F$3:$G$14,2,0)</f>
        <v>Feb</v>
      </c>
      <c r="Y587" s="30" t="str">
        <f>IFERROR(IF(MATCH(F587,'Test 6'!C$5:C$9,0)&gt;0,"RP"),"NON-RP")</f>
        <v>NON-RP</v>
      </c>
    </row>
    <row r="588" spans="2:25" x14ac:dyDescent="0.5">
      <c r="B588" s="30">
        <v>584</v>
      </c>
      <c r="C588" s="30" t="s">
        <v>1265</v>
      </c>
      <c r="D588" s="31">
        <v>2122325</v>
      </c>
      <c r="E588" s="30" t="s">
        <v>1266</v>
      </c>
      <c r="F588" s="53" t="s">
        <v>290</v>
      </c>
      <c r="G588" s="32">
        <v>44622</v>
      </c>
      <c r="H588" s="33">
        <v>0.49408497185995032</v>
      </c>
      <c r="I588" s="30" t="s">
        <v>574</v>
      </c>
      <c r="J588" s="34">
        <v>314240</v>
      </c>
      <c r="K588" s="35" t="s">
        <v>17</v>
      </c>
      <c r="L588" s="36">
        <v>56563.199999999997</v>
      </c>
      <c r="M588" s="30" t="s">
        <v>28</v>
      </c>
      <c r="N588" s="30" t="s">
        <v>68</v>
      </c>
      <c r="O588" s="30" t="s">
        <v>1542</v>
      </c>
      <c r="P588" s="30" t="s">
        <v>1542</v>
      </c>
      <c r="Q588" s="30" t="str">
        <f t="shared" si="45"/>
        <v>AM</v>
      </c>
      <c r="R588" s="30" t="str">
        <f t="shared" si="46"/>
        <v>DM</v>
      </c>
      <c r="S588" s="30" t="str">
        <f>VLOOKUP(M588,'Data - Employee Rights Master'!$C$3:$D$32,2,0)</f>
        <v>AM</v>
      </c>
      <c r="T588" s="30" t="str">
        <f>VLOOKUP(N588,'Data - Employee Rights Master'!$C$3:$D$32,2,0)</f>
        <v>DM</v>
      </c>
      <c r="U588" s="41" t="str">
        <f t="shared" si="47"/>
        <v>PASS</v>
      </c>
      <c r="V588" s="41" t="str">
        <f t="shared" si="48"/>
        <v>NA</v>
      </c>
      <c r="W588" s="30" t="str">
        <f t="shared" si="49"/>
        <v>2122</v>
      </c>
      <c r="X588" s="30" t="str">
        <f>VLOOKUP(MONTH(G588),Key!$F$3:$G$14,2,0)</f>
        <v>Mar</v>
      </c>
      <c r="Y588" s="30" t="str">
        <f>IFERROR(IF(MATCH(F588,'Test 6'!C$5:C$9,0)&gt;0,"RP"),"NON-RP")</f>
        <v>NON-RP</v>
      </c>
    </row>
    <row r="589" spans="2:25" x14ac:dyDescent="0.5">
      <c r="B589" s="30">
        <v>585</v>
      </c>
      <c r="C589" s="30" t="s">
        <v>1267</v>
      </c>
      <c r="D589" s="31">
        <v>2122326</v>
      </c>
      <c r="E589" s="30" t="s">
        <v>1268</v>
      </c>
      <c r="F589" s="53" t="s">
        <v>293</v>
      </c>
      <c r="G589" s="32">
        <v>44623</v>
      </c>
      <c r="H589" s="33">
        <v>0.62754299768092736</v>
      </c>
      <c r="I589" s="30" t="s">
        <v>574</v>
      </c>
      <c r="J589" s="34">
        <v>400060</v>
      </c>
      <c r="K589" s="35" t="s">
        <v>17</v>
      </c>
      <c r="L589" s="36">
        <v>72010.8</v>
      </c>
      <c r="M589" s="30" t="s">
        <v>18</v>
      </c>
      <c r="N589" s="30" t="s">
        <v>19</v>
      </c>
      <c r="O589" s="30" t="s">
        <v>1542</v>
      </c>
      <c r="P589" s="30" t="s">
        <v>1542</v>
      </c>
      <c r="Q589" s="30" t="str">
        <f t="shared" si="45"/>
        <v>AM</v>
      </c>
      <c r="R589" s="30" t="str">
        <f t="shared" si="46"/>
        <v>DM</v>
      </c>
      <c r="S589" s="30" t="str">
        <f>VLOOKUP(M589,'Data - Employee Rights Master'!$C$3:$D$32,2,0)</f>
        <v>AM</v>
      </c>
      <c r="T589" s="30" t="str">
        <f>VLOOKUP(N589,'Data - Employee Rights Master'!$C$3:$D$32,2,0)</f>
        <v>DM</v>
      </c>
      <c r="U589" s="41" t="str">
        <f t="shared" si="47"/>
        <v>PASS</v>
      </c>
      <c r="V589" s="41" t="str">
        <f t="shared" si="48"/>
        <v>NA</v>
      </c>
      <c r="W589" s="30" t="str">
        <f t="shared" si="49"/>
        <v>2122</v>
      </c>
      <c r="X589" s="30" t="str">
        <f>VLOOKUP(MONTH(G589),Key!$F$3:$G$14,2,0)</f>
        <v>Mar</v>
      </c>
      <c r="Y589" s="30" t="str">
        <f>IFERROR(IF(MATCH(F589,'Test 6'!C$5:C$9,0)&gt;0,"RP"),"NON-RP")</f>
        <v>NON-RP</v>
      </c>
    </row>
    <row r="590" spans="2:25" x14ac:dyDescent="0.5">
      <c r="B590" s="30">
        <v>586</v>
      </c>
      <c r="C590" s="30" t="s">
        <v>1269</v>
      </c>
      <c r="D590" s="31">
        <v>2122327</v>
      </c>
      <c r="E590" s="30" t="s">
        <v>1270</v>
      </c>
      <c r="F590" s="53" t="s">
        <v>184</v>
      </c>
      <c r="G590" s="32">
        <v>44624</v>
      </c>
      <c r="H590" s="33">
        <v>0.52431694691468222</v>
      </c>
      <c r="I590" s="30" t="s">
        <v>574</v>
      </c>
      <c r="J590" s="34">
        <v>353670</v>
      </c>
      <c r="K590" s="35" t="s">
        <v>17</v>
      </c>
      <c r="L590" s="36">
        <v>63660.6</v>
      </c>
      <c r="M590" s="30" t="s">
        <v>61</v>
      </c>
      <c r="N590" s="30" t="s">
        <v>24</v>
      </c>
      <c r="O590" s="30" t="s">
        <v>1542</v>
      </c>
      <c r="P590" s="30" t="s">
        <v>1542</v>
      </c>
      <c r="Q590" s="30" t="str">
        <f t="shared" si="45"/>
        <v>AM</v>
      </c>
      <c r="R590" s="30" t="str">
        <f t="shared" si="46"/>
        <v>DM</v>
      </c>
      <c r="S590" s="30" t="str">
        <f>VLOOKUP(M590,'Data - Employee Rights Master'!$C$3:$D$32,2,0)</f>
        <v>AM</v>
      </c>
      <c r="T590" s="30" t="str">
        <f>VLOOKUP(N590,'Data - Employee Rights Master'!$C$3:$D$32,2,0)</f>
        <v>DM</v>
      </c>
      <c r="U590" s="41" t="str">
        <f t="shared" si="47"/>
        <v>PASS</v>
      </c>
      <c r="V590" s="41" t="str">
        <f t="shared" si="48"/>
        <v>NA</v>
      </c>
      <c r="W590" s="30" t="str">
        <f t="shared" si="49"/>
        <v>2122</v>
      </c>
      <c r="X590" s="30" t="str">
        <f>VLOOKUP(MONTH(G590),Key!$F$3:$G$14,2,0)</f>
        <v>Mar</v>
      </c>
      <c r="Y590" s="30" t="str">
        <f>IFERROR(IF(MATCH(F590,'Test 6'!C$5:C$9,0)&gt;0,"RP"),"NON-RP")</f>
        <v>NON-RP</v>
      </c>
    </row>
    <row r="591" spans="2:25" x14ac:dyDescent="0.5">
      <c r="B591" s="30">
        <v>587</v>
      </c>
      <c r="C591" s="30" t="s">
        <v>1271</v>
      </c>
      <c r="D591" s="31">
        <v>2122328</v>
      </c>
      <c r="E591" s="30" t="s">
        <v>1272</v>
      </c>
      <c r="F591" s="53" t="s">
        <v>40</v>
      </c>
      <c r="G591" s="32">
        <v>44631</v>
      </c>
      <c r="H591" s="33">
        <v>0.66169801025929198</v>
      </c>
      <c r="I591" s="30" t="s">
        <v>574</v>
      </c>
      <c r="J591" s="34">
        <v>333210</v>
      </c>
      <c r="K591" s="35" t="s">
        <v>17</v>
      </c>
      <c r="L591" s="36">
        <v>59977.799999999996</v>
      </c>
      <c r="M591" s="30" t="s">
        <v>32</v>
      </c>
      <c r="N591" s="30" t="s">
        <v>51</v>
      </c>
      <c r="O591" s="30" t="s">
        <v>1542</v>
      </c>
      <c r="P591" s="30" t="s">
        <v>1542</v>
      </c>
      <c r="Q591" s="30" t="str">
        <f t="shared" si="45"/>
        <v>AM</v>
      </c>
      <c r="R591" s="30" t="str">
        <f t="shared" si="46"/>
        <v>DM</v>
      </c>
      <c r="S591" s="30" t="str">
        <f>VLOOKUP(M591,'Data - Employee Rights Master'!$C$3:$D$32,2,0)</f>
        <v>AM</v>
      </c>
      <c r="T591" s="30" t="str">
        <f>VLOOKUP(N591,'Data - Employee Rights Master'!$C$3:$D$32,2,0)</f>
        <v>DM</v>
      </c>
      <c r="U591" s="41" t="str">
        <f t="shared" si="47"/>
        <v>PASS</v>
      </c>
      <c r="V591" s="41" t="str">
        <f t="shared" si="48"/>
        <v>NA</v>
      </c>
      <c r="W591" s="30" t="str">
        <f t="shared" si="49"/>
        <v>2122</v>
      </c>
      <c r="X591" s="30" t="str">
        <f>VLOOKUP(MONTH(G591),Key!$F$3:$G$14,2,0)</f>
        <v>Mar</v>
      </c>
      <c r="Y591" s="30" t="str">
        <f>IFERROR(IF(MATCH(F591,'Test 6'!C$5:C$9,0)&gt;0,"RP"),"NON-RP")</f>
        <v>NON-RP</v>
      </c>
    </row>
    <row r="592" spans="2:25" x14ac:dyDescent="0.5">
      <c r="B592" s="30">
        <v>588</v>
      </c>
      <c r="C592" s="30" t="s">
        <v>1273</v>
      </c>
      <c r="D592" s="31">
        <v>2122329</v>
      </c>
      <c r="E592" s="30" t="s">
        <v>1274</v>
      </c>
      <c r="F592" s="53" t="s">
        <v>103</v>
      </c>
      <c r="G592" s="32">
        <v>44632</v>
      </c>
      <c r="H592" s="33">
        <v>0.74679892374848333</v>
      </c>
      <c r="I592" s="30" t="s">
        <v>574</v>
      </c>
      <c r="J592" s="34">
        <v>319140</v>
      </c>
      <c r="K592" s="35" t="s">
        <v>17</v>
      </c>
      <c r="L592" s="36">
        <v>57445.2</v>
      </c>
      <c r="M592" s="30" t="s">
        <v>37</v>
      </c>
      <c r="N592" s="30" t="s">
        <v>51</v>
      </c>
      <c r="O592" s="30" t="s">
        <v>1542</v>
      </c>
      <c r="P592" s="30" t="s">
        <v>1542</v>
      </c>
      <c r="Q592" s="30" t="str">
        <f t="shared" si="45"/>
        <v>AM</v>
      </c>
      <c r="R592" s="30" t="str">
        <f t="shared" si="46"/>
        <v>DM</v>
      </c>
      <c r="S592" s="30" t="str">
        <f>VLOOKUP(M592,'Data - Employee Rights Master'!$C$3:$D$32,2,0)</f>
        <v>AM</v>
      </c>
      <c r="T592" s="30" t="str">
        <f>VLOOKUP(N592,'Data - Employee Rights Master'!$C$3:$D$32,2,0)</f>
        <v>DM</v>
      </c>
      <c r="U592" s="41" t="str">
        <f t="shared" si="47"/>
        <v>PASS</v>
      </c>
      <c r="V592" s="41" t="str">
        <f t="shared" si="48"/>
        <v>NA</v>
      </c>
      <c r="W592" s="30" t="str">
        <f t="shared" si="49"/>
        <v>2122</v>
      </c>
      <c r="X592" s="30" t="str">
        <f>VLOOKUP(MONTH(G592),Key!$F$3:$G$14,2,0)</f>
        <v>Mar</v>
      </c>
      <c r="Y592" s="30" t="str">
        <f>IFERROR(IF(MATCH(F592,'Test 6'!C$5:C$9,0)&gt;0,"RP"),"NON-RP")</f>
        <v>NON-RP</v>
      </c>
    </row>
    <row r="593" spans="2:25" x14ac:dyDescent="0.5">
      <c r="B593" s="30">
        <v>589</v>
      </c>
      <c r="C593" s="30" t="s">
        <v>1275</v>
      </c>
      <c r="D593" s="31">
        <v>2122330</v>
      </c>
      <c r="E593" s="30" t="s">
        <v>1276</v>
      </c>
      <c r="F593" s="53" t="s">
        <v>92</v>
      </c>
      <c r="G593" s="32">
        <v>44632</v>
      </c>
      <c r="H593" s="33">
        <v>0.51139381973352649</v>
      </c>
      <c r="I593" s="30" t="s">
        <v>574</v>
      </c>
      <c r="J593" s="34">
        <v>242190</v>
      </c>
      <c r="K593" s="35" t="s">
        <v>17</v>
      </c>
      <c r="L593" s="36">
        <v>43594.2</v>
      </c>
      <c r="M593" s="30" t="s">
        <v>37</v>
      </c>
      <c r="N593" s="30" t="s">
        <v>68</v>
      </c>
      <c r="O593" s="30" t="s">
        <v>1542</v>
      </c>
      <c r="P593" s="30" t="s">
        <v>1542</v>
      </c>
      <c r="Q593" s="30" t="str">
        <f t="shared" si="45"/>
        <v>AM</v>
      </c>
      <c r="R593" s="30" t="str">
        <f t="shared" si="46"/>
        <v>DM</v>
      </c>
      <c r="S593" s="30" t="str">
        <f>VLOOKUP(M593,'Data - Employee Rights Master'!$C$3:$D$32,2,0)</f>
        <v>AM</v>
      </c>
      <c r="T593" s="30" t="str">
        <f>VLOOKUP(N593,'Data - Employee Rights Master'!$C$3:$D$32,2,0)</f>
        <v>DM</v>
      </c>
      <c r="U593" s="41" t="str">
        <f t="shared" si="47"/>
        <v>PASS</v>
      </c>
      <c r="V593" s="41" t="str">
        <f t="shared" si="48"/>
        <v>NA</v>
      </c>
      <c r="W593" s="30" t="str">
        <f t="shared" si="49"/>
        <v>2122</v>
      </c>
      <c r="X593" s="30" t="str">
        <f>VLOOKUP(MONTH(G593),Key!$F$3:$G$14,2,0)</f>
        <v>Mar</v>
      </c>
      <c r="Y593" s="30" t="str">
        <f>IFERROR(IF(MATCH(F593,'Test 6'!C$5:C$9,0)&gt;0,"RP"),"NON-RP")</f>
        <v>NON-RP</v>
      </c>
    </row>
    <row r="594" spans="2:25" x14ac:dyDescent="0.5">
      <c r="B594" s="30">
        <v>590</v>
      </c>
      <c r="C594" s="30" t="s">
        <v>1277</v>
      </c>
      <c r="D594" s="31">
        <v>2122331</v>
      </c>
      <c r="E594" s="30" t="s">
        <v>1278</v>
      </c>
      <c r="F594" s="53" t="s">
        <v>203</v>
      </c>
      <c r="G594" s="32">
        <v>44634</v>
      </c>
      <c r="H594" s="33">
        <v>0.69918855968898963</v>
      </c>
      <c r="I594" s="30" t="s">
        <v>574</v>
      </c>
      <c r="J594" s="34">
        <v>213860</v>
      </c>
      <c r="K594" s="35" t="s">
        <v>17</v>
      </c>
      <c r="L594" s="36">
        <v>38494.799999999996</v>
      </c>
      <c r="M594" s="30" t="s">
        <v>18</v>
      </c>
      <c r="N594" s="30" t="s">
        <v>51</v>
      </c>
      <c r="O594" s="30" t="s">
        <v>1542</v>
      </c>
      <c r="P594" s="30" t="s">
        <v>1542</v>
      </c>
      <c r="Q594" s="30" t="str">
        <f t="shared" si="45"/>
        <v>AM</v>
      </c>
      <c r="R594" s="30" t="str">
        <f t="shared" si="46"/>
        <v>DM</v>
      </c>
      <c r="S594" s="30" t="str">
        <f>VLOOKUP(M594,'Data - Employee Rights Master'!$C$3:$D$32,2,0)</f>
        <v>AM</v>
      </c>
      <c r="T594" s="30" t="str">
        <f>VLOOKUP(N594,'Data - Employee Rights Master'!$C$3:$D$32,2,0)</f>
        <v>DM</v>
      </c>
      <c r="U594" s="41" t="str">
        <f t="shared" si="47"/>
        <v>PASS</v>
      </c>
      <c r="V594" s="41" t="str">
        <f t="shared" si="48"/>
        <v>NA</v>
      </c>
      <c r="W594" s="30" t="str">
        <f t="shared" si="49"/>
        <v>2122</v>
      </c>
      <c r="X594" s="30" t="str">
        <f>VLOOKUP(MONTH(G594),Key!$F$3:$G$14,2,0)</f>
        <v>Mar</v>
      </c>
      <c r="Y594" s="30" t="str">
        <f>IFERROR(IF(MATCH(F594,'Test 6'!C$5:C$9,0)&gt;0,"RP"),"NON-RP")</f>
        <v>NON-RP</v>
      </c>
    </row>
    <row r="595" spans="2:25" x14ac:dyDescent="0.5">
      <c r="B595" s="30">
        <v>591</v>
      </c>
      <c r="C595" s="30" t="s">
        <v>1279</v>
      </c>
      <c r="D595" s="31">
        <v>2122332</v>
      </c>
      <c r="E595" s="30" t="s">
        <v>1280</v>
      </c>
      <c r="F595" s="53" t="s">
        <v>40</v>
      </c>
      <c r="G595" s="32">
        <v>44634</v>
      </c>
      <c r="H595" s="33">
        <v>0.62673303683333292</v>
      </c>
      <c r="I595" s="30" t="s">
        <v>574</v>
      </c>
      <c r="J595" s="34">
        <v>371640</v>
      </c>
      <c r="K595" s="35" t="s">
        <v>17</v>
      </c>
      <c r="L595" s="36">
        <v>66895.199999999997</v>
      </c>
      <c r="M595" s="30" t="s">
        <v>28</v>
      </c>
      <c r="N595" s="30" t="s">
        <v>51</v>
      </c>
      <c r="O595" s="30" t="s">
        <v>1542</v>
      </c>
      <c r="P595" s="30" t="s">
        <v>1542</v>
      </c>
      <c r="Q595" s="30" t="str">
        <f t="shared" si="45"/>
        <v>AM</v>
      </c>
      <c r="R595" s="30" t="str">
        <f t="shared" si="46"/>
        <v>DM</v>
      </c>
      <c r="S595" s="30" t="str">
        <f>VLOOKUP(M595,'Data - Employee Rights Master'!$C$3:$D$32,2,0)</f>
        <v>AM</v>
      </c>
      <c r="T595" s="30" t="str">
        <f>VLOOKUP(N595,'Data - Employee Rights Master'!$C$3:$D$32,2,0)</f>
        <v>DM</v>
      </c>
      <c r="U595" s="41" t="str">
        <f t="shared" si="47"/>
        <v>PASS</v>
      </c>
      <c r="V595" s="41" t="str">
        <f t="shared" si="48"/>
        <v>NA</v>
      </c>
      <c r="W595" s="30" t="str">
        <f t="shared" si="49"/>
        <v>2122</v>
      </c>
      <c r="X595" s="30" t="str">
        <f>VLOOKUP(MONTH(G595),Key!$F$3:$G$14,2,0)</f>
        <v>Mar</v>
      </c>
      <c r="Y595" s="30" t="str">
        <f>IFERROR(IF(MATCH(F595,'Test 6'!C$5:C$9,0)&gt;0,"RP"),"NON-RP")</f>
        <v>NON-RP</v>
      </c>
    </row>
    <row r="596" spans="2:25" x14ac:dyDescent="0.5">
      <c r="B596" s="30">
        <v>592</v>
      </c>
      <c r="C596" s="30" t="s">
        <v>1281</v>
      </c>
      <c r="D596" s="31">
        <v>2122333</v>
      </c>
      <c r="E596" s="30" t="s">
        <v>1282</v>
      </c>
      <c r="F596" s="53" t="s">
        <v>238</v>
      </c>
      <c r="G596" s="32">
        <v>44634</v>
      </c>
      <c r="H596" s="33">
        <v>0.59782846658335065</v>
      </c>
      <c r="I596" s="30" t="s">
        <v>574</v>
      </c>
      <c r="J596" s="34">
        <v>340200</v>
      </c>
      <c r="K596" s="35" t="s">
        <v>17</v>
      </c>
      <c r="L596" s="36">
        <v>61236</v>
      </c>
      <c r="M596" s="30" t="s">
        <v>46</v>
      </c>
      <c r="N596" s="30" t="s">
        <v>24</v>
      </c>
      <c r="O596" s="30" t="s">
        <v>1542</v>
      </c>
      <c r="P596" s="30" t="s">
        <v>1542</v>
      </c>
      <c r="Q596" s="30" t="str">
        <f t="shared" si="45"/>
        <v>AM</v>
      </c>
      <c r="R596" s="30" t="str">
        <f t="shared" si="46"/>
        <v>DM</v>
      </c>
      <c r="S596" s="30" t="str">
        <f>VLOOKUP(M596,'Data - Employee Rights Master'!$C$3:$D$32,2,0)</f>
        <v>AM</v>
      </c>
      <c r="T596" s="30" t="str">
        <f>VLOOKUP(N596,'Data - Employee Rights Master'!$C$3:$D$32,2,0)</f>
        <v>DM</v>
      </c>
      <c r="U596" s="41" t="str">
        <f t="shared" si="47"/>
        <v>PASS</v>
      </c>
      <c r="V596" s="41" t="str">
        <f t="shared" si="48"/>
        <v>NA</v>
      </c>
      <c r="W596" s="30" t="str">
        <f t="shared" si="49"/>
        <v>2122</v>
      </c>
      <c r="X596" s="30" t="str">
        <f>VLOOKUP(MONTH(G596),Key!$F$3:$G$14,2,0)</f>
        <v>Mar</v>
      </c>
      <c r="Y596" s="30" t="str">
        <f>IFERROR(IF(MATCH(F596,'Test 6'!C$5:C$9,0)&gt;0,"RP"),"NON-RP")</f>
        <v>NON-RP</v>
      </c>
    </row>
    <row r="597" spans="2:25" x14ac:dyDescent="0.5">
      <c r="B597" s="30">
        <v>593</v>
      </c>
      <c r="C597" s="30" t="s">
        <v>1283</v>
      </c>
      <c r="D597" s="31">
        <v>2122334</v>
      </c>
      <c r="E597" s="30" t="s">
        <v>1284</v>
      </c>
      <c r="F597" s="53" t="s">
        <v>187</v>
      </c>
      <c r="G597" s="32">
        <v>44634</v>
      </c>
      <c r="H597" s="33">
        <v>0.64663052046126568</v>
      </c>
      <c r="I597" s="30" t="s">
        <v>574</v>
      </c>
      <c r="J597" s="34">
        <v>28400</v>
      </c>
      <c r="K597" s="35" t="s">
        <v>17</v>
      </c>
      <c r="L597" s="36">
        <v>5112</v>
      </c>
      <c r="M597" s="30" t="s">
        <v>704</v>
      </c>
      <c r="N597" s="30" t="s">
        <v>61</v>
      </c>
      <c r="O597" s="30" t="s">
        <v>1542</v>
      </c>
      <c r="P597" s="30" t="s">
        <v>1542</v>
      </c>
      <c r="Q597" s="30" t="str">
        <f t="shared" si="45"/>
        <v>SE</v>
      </c>
      <c r="R597" s="30" t="str">
        <f t="shared" si="46"/>
        <v>AM</v>
      </c>
      <c r="S597" s="30" t="str">
        <f>VLOOKUP(M597,'Data - Employee Rights Master'!$C$3:$D$32,2,0)</f>
        <v>SE</v>
      </c>
      <c r="T597" s="30" t="str">
        <f>VLOOKUP(N597,'Data - Employee Rights Master'!$C$3:$D$32,2,0)</f>
        <v>AM</v>
      </c>
      <c r="U597" s="41" t="str">
        <f t="shared" si="47"/>
        <v>PASS</v>
      </c>
      <c r="V597" s="41" t="str">
        <f t="shared" si="48"/>
        <v>NA</v>
      </c>
      <c r="W597" s="30" t="str">
        <f t="shared" si="49"/>
        <v>2122</v>
      </c>
      <c r="X597" s="30" t="str">
        <f>VLOOKUP(MONTH(G597),Key!$F$3:$G$14,2,0)</f>
        <v>Mar</v>
      </c>
      <c r="Y597" s="30" t="str">
        <f>IFERROR(IF(MATCH(F597,'Test 6'!C$5:C$9,0)&gt;0,"RP"),"NON-RP")</f>
        <v>NON-RP</v>
      </c>
    </row>
    <row r="598" spans="2:25" x14ac:dyDescent="0.5">
      <c r="B598" s="30">
        <v>594</v>
      </c>
      <c r="C598" s="30" t="s">
        <v>1285</v>
      </c>
      <c r="D598" s="31">
        <v>2122335</v>
      </c>
      <c r="E598" s="30" t="s">
        <v>1286</v>
      </c>
      <c r="F598" s="53" t="s">
        <v>92</v>
      </c>
      <c r="G598" s="32">
        <v>44634</v>
      </c>
      <c r="H598" s="33">
        <v>0.56812426627990442</v>
      </c>
      <c r="I598" s="30" t="s">
        <v>574</v>
      </c>
      <c r="J598" s="34">
        <v>339620</v>
      </c>
      <c r="K598" s="35" t="s">
        <v>17</v>
      </c>
      <c r="L598" s="36">
        <v>61131.6</v>
      </c>
      <c r="M598" s="30" t="s">
        <v>23</v>
      </c>
      <c r="N598" s="30" t="s">
        <v>51</v>
      </c>
      <c r="O598" s="30" t="s">
        <v>1542</v>
      </c>
      <c r="P598" s="30" t="s">
        <v>1542</v>
      </c>
      <c r="Q598" s="30" t="str">
        <f t="shared" si="45"/>
        <v>AM</v>
      </c>
      <c r="R598" s="30" t="str">
        <f t="shared" si="46"/>
        <v>DM</v>
      </c>
      <c r="S598" s="30" t="str">
        <f>VLOOKUP(M598,'Data - Employee Rights Master'!$C$3:$D$32,2,0)</f>
        <v>AM</v>
      </c>
      <c r="T598" s="30" t="str">
        <f>VLOOKUP(N598,'Data - Employee Rights Master'!$C$3:$D$32,2,0)</f>
        <v>DM</v>
      </c>
      <c r="U598" s="41" t="str">
        <f t="shared" si="47"/>
        <v>PASS</v>
      </c>
      <c r="V598" s="41" t="str">
        <f t="shared" si="48"/>
        <v>NA</v>
      </c>
      <c r="W598" s="30" t="str">
        <f t="shared" si="49"/>
        <v>2122</v>
      </c>
      <c r="X598" s="30" t="str">
        <f>VLOOKUP(MONTH(G598),Key!$F$3:$G$14,2,0)</f>
        <v>Mar</v>
      </c>
      <c r="Y598" s="30" t="str">
        <f>IFERROR(IF(MATCH(F598,'Test 6'!C$5:C$9,0)&gt;0,"RP"),"NON-RP")</f>
        <v>NON-RP</v>
      </c>
    </row>
    <row r="599" spans="2:25" x14ac:dyDescent="0.5">
      <c r="B599" s="30">
        <v>595</v>
      </c>
      <c r="C599" s="30" t="s">
        <v>1287</v>
      </c>
      <c r="D599" s="31">
        <v>2122336</v>
      </c>
      <c r="E599" s="30" t="s">
        <v>1288</v>
      </c>
      <c r="F599" s="53" t="s">
        <v>103</v>
      </c>
      <c r="G599" s="32">
        <v>44637</v>
      </c>
      <c r="H599" s="33">
        <v>0.68827959230393698</v>
      </c>
      <c r="I599" s="30" t="s">
        <v>574</v>
      </c>
      <c r="J599" s="34">
        <v>323830</v>
      </c>
      <c r="K599" s="35" t="s">
        <v>17</v>
      </c>
      <c r="L599" s="36">
        <v>58289.4</v>
      </c>
      <c r="M599" s="30" t="s">
        <v>28</v>
      </c>
      <c r="N599" s="30" t="s">
        <v>24</v>
      </c>
      <c r="O599" s="30" t="s">
        <v>1542</v>
      </c>
      <c r="P599" s="30" t="s">
        <v>1542</v>
      </c>
      <c r="Q599" s="30" t="str">
        <f t="shared" si="45"/>
        <v>AM</v>
      </c>
      <c r="R599" s="30" t="str">
        <f t="shared" si="46"/>
        <v>DM</v>
      </c>
      <c r="S599" s="30" t="str">
        <f>VLOOKUP(M599,'Data - Employee Rights Master'!$C$3:$D$32,2,0)</f>
        <v>AM</v>
      </c>
      <c r="T599" s="30" t="str">
        <f>VLOOKUP(N599,'Data - Employee Rights Master'!$C$3:$D$32,2,0)</f>
        <v>DM</v>
      </c>
      <c r="U599" s="41" t="str">
        <f t="shared" si="47"/>
        <v>PASS</v>
      </c>
      <c r="V599" s="41" t="str">
        <f t="shared" si="48"/>
        <v>NA</v>
      </c>
      <c r="W599" s="30" t="str">
        <f t="shared" si="49"/>
        <v>2122</v>
      </c>
      <c r="X599" s="30" t="str">
        <f>VLOOKUP(MONTH(G599),Key!$F$3:$G$14,2,0)</f>
        <v>Mar</v>
      </c>
      <c r="Y599" s="30" t="str">
        <f>IFERROR(IF(MATCH(F599,'Test 6'!C$5:C$9,0)&gt;0,"RP"),"NON-RP")</f>
        <v>NON-RP</v>
      </c>
    </row>
    <row r="600" spans="2:25" x14ac:dyDescent="0.5">
      <c r="B600" s="30">
        <v>596</v>
      </c>
      <c r="C600" s="30" t="s">
        <v>1289</v>
      </c>
      <c r="D600" s="31">
        <v>2122337</v>
      </c>
      <c r="E600" s="30" t="s">
        <v>1290</v>
      </c>
      <c r="F600" s="53" t="s">
        <v>92</v>
      </c>
      <c r="G600" s="32">
        <v>44638</v>
      </c>
      <c r="H600" s="33">
        <v>0.65542406404873199</v>
      </c>
      <c r="I600" s="30" t="s">
        <v>574</v>
      </c>
      <c r="J600" s="34">
        <v>37950</v>
      </c>
      <c r="K600" s="35" t="s">
        <v>17</v>
      </c>
      <c r="L600" s="36">
        <v>6831</v>
      </c>
      <c r="M600" s="30" t="s">
        <v>78</v>
      </c>
      <c r="N600" s="30" t="s">
        <v>46</v>
      </c>
      <c r="O600" s="30" t="s">
        <v>1542</v>
      </c>
      <c r="P600" s="30" t="s">
        <v>1542</v>
      </c>
      <c r="Q600" s="30" t="str">
        <f t="shared" si="45"/>
        <v>SE</v>
      </c>
      <c r="R600" s="30" t="str">
        <f t="shared" si="46"/>
        <v>AM</v>
      </c>
      <c r="S600" s="30" t="str">
        <f>VLOOKUP(M600,'Data - Employee Rights Master'!$C$3:$D$32,2,0)</f>
        <v>SE</v>
      </c>
      <c r="T600" s="30" t="str">
        <f>VLOOKUP(N600,'Data - Employee Rights Master'!$C$3:$D$32,2,0)</f>
        <v>AM</v>
      </c>
      <c r="U600" s="41" t="str">
        <f t="shared" si="47"/>
        <v>PASS</v>
      </c>
      <c r="V600" s="41" t="str">
        <f t="shared" si="48"/>
        <v>NA</v>
      </c>
      <c r="W600" s="30" t="str">
        <f t="shared" si="49"/>
        <v>2122</v>
      </c>
      <c r="X600" s="30" t="str">
        <f>VLOOKUP(MONTH(G600),Key!$F$3:$G$14,2,0)</f>
        <v>Mar</v>
      </c>
      <c r="Y600" s="30" t="str">
        <f>IFERROR(IF(MATCH(F600,'Test 6'!C$5:C$9,0)&gt;0,"RP"),"NON-RP")</f>
        <v>NON-RP</v>
      </c>
    </row>
    <row r="601" spans="2:25" x14ac:dyDescent="0.5">
      <c r="B601" s="30">
        <v>597</v>
      </c>
      <c r="C601" s="30" t="s">
        <v>1291</v>
      </c>
      <c r="D601" s="31">
        <v>2122338</v>
      </c>
      <c r="E601" s="30" t="s">
        <v>1292</v>
      </c>
      <c r="F601" s="53" t="s">
        <v>114</v>
      </c>
      <c r="G601" s="32">
        <v>44639</v>
      </c>
      <c r="H601" s="33">
        <v>0.68474527510812755</v>
      </c>
      <c r="I601" s="30" t="s">
        <v>574</v>
      </c>
      <c r="J601" s="34">
        <v>316680</v>
      </c>
      <c r="K601" s="35" t="s">
        <v>17</v>
      </c>
      <c r="L601" s="36">
        <v>57002.400000000001</v>
      </c>
      <c r="M601" s="30" t="s">
        <v>46</v>
      </c>
      <c r="N601" s="30" t="s">
        <v>19</v>
      </c>
      <c r="O601" s="30" t="s">
        <v>1542</v>
      </c>
      <c r="P601" s="30" t="s">
        <v>1542</v>
      </c>
      <c r="Q601" s="30" t="str">
        <f t="shared" si="45"/>
        <v>AM</v>
      </c>
      <c r="R601" s="30" t="str">
        <f t="shared" si="46"/>
        <v>DM</v>
      </c>
      <c r="S601" s="30" t="str">
        <f>VLOOKUP(M601,'Data - Employee Rights Master'!$C$3:$D$32,2,0)</f>
        <v>AM</v>
      </c>
      <c r="T601" s="30" t="str">
        <f>VLOOKUP(N601,'Data - Employee Rights Master'!$C$3:$D$32,2,0)</f>
        <v>DM</v>
      </c>
      <c r="U601" s="41" t="str">
        <f t="shared" si="47"/>
        <v>PASS</v>
      </c>
      <c r="V601" s="41" t="str">
        <f t="shared" si="48"/>
        <v>NA</v>
      </c>
      <c r="W601" s="30" t="str">
        <f t="shared" si="49"/>
        <v>2122</v>
      </c>
      <c r="X601" s="30" t="str">
        <f>VLOOKUP(MONTH(G601),Key!$F$3:$G$14,2,0)</f>
        <v>Mar</v>
      </c>
      <c r="Y601" s="30" t="str">
        <f>IFERROR(IF(MATCH(F601,'Test 6'!C$5:C$9,0)&gt;0,"RP"),"NON-RP")</f>
        <v>NON-RP</v>
      </c>
    </row>
    <row r="602" spans="2:25" x14ac:dyDescent="0.5">
      <c r="B602" s="30">
        <v>598</v>
      </c>
      <c r="C602" s="30" t="s">
        <v>1293</v>
      </c>
      <c r="D602" s="31">
        <v>2122339</v>
      </c>
      <c r="E602" s="30" t="s">
        <v>1294</v>
      </c>
      <c r="F602" s="53" t="s">
        <v>378</v>
      </c>
      <c r="G602" s="32">
        <v>44641</v>
      </c>
      <c r="H602" s="33">
        <v>0.50128654169179343</v>
      </c>
      <c r="I602" s="30" t="s">
        <v>574</v>
      </c>
      <c r="J602" s="34">
        <v>455120</v>
      </c>
      <c r="K602" s="35" t="s">
        <v>17</v>
      </c>
      <c r="L602" s="36">
        <v>81921.599999999991</v>
      </c>
      <c r="M602" s="30" t="s">
        <v>18</v>
      </c>
      <c r="N602" s="30" t="s">
        <v>19</v>
      </c>
      <c r="O602" s="30" t="s">
        <v>1542</v>
      </c>
      <c r="P602" s="30" t="s">
        <v>1542</v>
      </c>
      <c r="Q602" s="30" t="str">
        <f t="shared" si="45"/>
        <v>AM</v>
      </c>
      <c r="R602" s="30" t="str">
        <f t="shared" si="46"/>
        <v>DM</v>
      </c>
      <c r="S602" s="30" t="str">
        <f>VLOOKUP(M602,'Data - Employee Rights Master'!$C$3:$D$32,2,0)</f>
        <v>AM</v>
      </c>
      <c r="T602" s="30" t="str">
        <f>VLOOKUP(N602,'Data - Employee Rights Master'!$C$3:$D$32,2,0)</f>
        <v>DM</v>
      </c>
      <c r="U602" s="41" t="str">
        <f t="shared" si="47"/>
        <v>PASS</v>
      </c>
      <c r="V602" s="41" t="str">
        <f t="shared" si="48"/>
        <v>NA</v>
      </c>
      <c r="W602" s="30" t="str">
        <f t="shared" si="49"/>
        <v>2122</v>
      </c>
      <c r="X602" s="30" t="str">
        <f>VLOOKUP(MONTH(G602),Key!$F$3:$G$14,2,0)</f>
        <v>Mar</v>
      </c>
      <c r="Y602" s="30" t="str">
        <f>IFERROR(IF(MATCH(F602,'Test 6'!C$5:C$9,0)&gt;0,"RP"),"NON-RP")</f>
        <v>RP</v>
      </c>
    </row>
    <row r="603" spans="2:25" x14ac:dyDescent="0.5">
      <c r="B603" s="30">
        <v>599</v>
      </c>
      <c r="C603" s="30" t="s">
        <v>1295</v>
      </c>
      <c r="D603" s="31">
        <v>2122340</v>
      </c>
      <c r="E603" s="30" t="s">
        <v>1296</v>
      </c>
      <c r="F603" s="53" t="s">
        <v>153</v>
      </c>
      <c r="G603" s="32">
        <v>44641</v>
      </c>
      <c r="H603" s="33">
        <v>0.49720386974315411</v>
      </c>
      <c r="I603" s="30" t="s">
        <v>574</v>
      </c>
      <c r="J603" s="34">
        <v>34770</v>
      </c>
      <c r="K603" s="35" t="s">
        <v>17</v>
      </c>
      <c r="L603" s="36">
        <v>6258.5999999999995</v>
      </c>
      <c r="M603" s="30" t="s">
        <v>78</v>
      </c>
      <c r="N603" s="30" t="s">
        <v>46</v>
      </c>
      <c r="O603" s="30" t="s">
        <v>1542</v>
      </c>
      <c r="P603" s="30" t="s">
        <v>1542</v>
      </c>
      <c r="Q603" s="30" t="str">
        <f t="shared" si="45"/>
        <v>SE</v>
      </c>
      <c r="R603" s="30" t="str">
        <f t="shared" si="46"/>
        <v>AM</v>
      </c>
      <c r="S603" s="30" t="str">
        <f>VLOOKUP(M603,'Data - Employee Rights Master'!$C$3:$D$32,2,0)</f>
        <v>SE</v>
      </c>
      <c r="T603" s="30" t="str">
        <f>VLOOKUP(N603,'Data - Employee Rights Master'!$C$3:$D$32,2,0)</f>
        <v>AM</v>
      </c>
      <c r="U603" s="41" t="str">
        <f t="shared" si="47"/>
        <v>PASS</v>
      </c>
      <c r="V603" s="41" t="str">
        <f t="shared" si="48"/>
        <v>NA</v>
      </c>
      <c r="W603" s="30" t="str">
        <f t="shared" si="49"/>
        <v>2122</v>
      </c>
      <c r="X603" s="30" t="str">
        <f>VLOOKUP(MONTH(G603),Key!$F$3:$G$14,2,0)</f>
        <v>Mar</v>
      </c>
      <c r="Y603" s="30" t="str">
        <f>IFERROR(IF(MATCH(F603,'Test 6'!C$5:C$9,0)&gt;0,"RP"),"NON-RP")</f>
        <v>NON-RP</v>
      </c>
    </row>
    <row r="604" spans="2:25" x14ac:dyDescent="0.5">
      <c r="B604" s="30">
        <v>600</v>
      </c>
      <c r="C604" s="30" t="s">
        <v>1297</v>
      </c>
      <c r="D604" s="31">
        <v>2122341</v>
      </c>
      <c r="E604" s="30" t="s">
        <v>1298</v>
      </c>
      <c r="F604" s="53" t="s">
        <v>190</v>
      </c>
      <c r="G604" s="32">
        <v>44641</v>
      </c>
      <c r="H604" s="33">
        <v>0.45001945864444026</v>
      </c>
      <c r="I604" s="30" t="s">
        <v>574</v>
      </c>
      <c r="J604" s="34">
        <v>496440</v>
      </c>
      <c r="K604" s="35" t="s">
        <v>17</v>
      </c>
      <c r="L604" s="36">
        <v>89359.2</v>
      </c>
      <c r="M604" s="30" t="s">
        <v>37</v>
      </c>
      <c r="N604" s="30" t="s">
        <v>24</v>
      </c>
      <c r="O604" s="30" t="s">
        <v>1542</v>
      </c>
      <c r="P604" s="30" t="s">
        <v>1542</v>
      </c>
      <c r="Q604" s="30" t="str">
        <f t="shared" si="45"/>
        <v>AM</v>
      </c>
      <c r="R604" s="30" t="str">
        <f t="shared" si="46"/>
        <v>DM</v>
      </c>
      <c r="S604" s="30" t="str">
        <f>VLOOKUP(M604,'Data - Employee Rights Master'!$C$3:$D$32,2,0)</f>
        <v>AM</v>
      </c>
      <c r="T604" s="30" t="str">
        <f>VLOOKUP(N604,'Data - Employee Rights Master'!$C$3:$D$32,2,0)</f>
        <v>DM</v>
      </c>
      <c r="U604" s="41" t="str">
        <f t="shared" si="47"/>
        <v>PASS</v>
      </c>
      <c r="V604" s="41" t="str">
        <f t="shared" si="48"/>
        <v>NA</v>
      </c>
      <c r="W604" s="30" t="str">
        <f t="shared" si="49"/>
        <v>2122</v>
      </c>
      <c r="X604" s="30" t="str">
        <f>VLOOKUP(MONTH(G604),Key!$F$3:$G$14,2,0)</f>
        <v>Mar</v>
      </c>
      <c r="Y604" s="30" t="str">
        <f>IFERROR(IF(MATCH(F604,'Test 6'!C$5:C$9,0)&gt;0,"RP"),"NON-RP")</f>
        <v>NON-RP</v>
      </c>
    </row>
    <row r="606" spans="2:25" x14ac:dyDescent="0.5">
      <c r="J606" s="56">
        <f>SUM(J5:J605)</f>
        <v>480843420</v>
      </c>
      <c r="K606" s="4"/>
      <c r="L606" s="56">
        <f>SUM(L5:L605)</f>
        <v>86551815.600000009</v>
      </c>
    </row>
  </sheetData>
  <conditionalFormatting sqref="D5:E604">
    <cfRule type="duplicateValues" dxfId="8" priority="4"/>
  </conditionalFormatting>
  <conditionalFormatting sqref="J5:J604">
    <cfRule type="duplicateValues" dxfId="7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636"/>
  <sheetViews>
    <sheetView zoomScale="90" zoomScaleNormal="90" workbookViewId="0">
      <selection activeCell="B4" sqref="B4"/>
    </sheetView>
  </sheetViews>
  <sheetFormatPr defaultRowHeight="17.5" x14ac:dyDescent="0.5"/>
  <cols>
    <col min="1" max="2" width="8.7265625" style="2"/>
    <col min="3" max="3" width="13.81640625" style="2" bestFit="1" customWidth="1"/>
    <col min="4" max="4" width="16.1796875" style="2" bestFit="1" customWidth="1"/>
    <col min="5" max="5" width="19.08984375" style="2" customWidth="1"/>
    <col min="6" max="6" width="12.6328125" style="2" bestFit="1" customWidth="1"/>
    <col min="7" max="7" width="29.90625" style="2" bestFit="1" customWidth="1"/>
    <col min="8" max="8" width="19.81640625" style="2" bestFit="1" customWidth="1"/>
    <col min="9" max="9" width="14.54296875" style="2" bestFit="1" customWidth="1"/>
    <col min="10" max="10" width="18.81640625" style="2" bestFit="1" customWidth="1"/>
    <col min="11" max="11" width="18.7265625" style="2" bestFit="1" customWidth="1"/>
    <col min="12" max="12" width="12.54296875" style="2" bestFit="1" customWidth="1"/>
    <col min="13" max="13" width="10.54296875" style="2" bestFit="1" customWidth="1"/>
    <col min="14" max="14" width="12.36328125" style="2" bestFit="1" customWidth="1"/>
    <col min="15" max="15" width="20.26953125" style="2" customWidth="1"/>
    <col min="16" max="16" width="23.81640625" style="2" bestFit="1" customWidth="1"/>
    <col min="17" max="17" width="26.54296875" style="2" customWidth="1"/>
    <col min="18" max="18" width="28.1796875" style="2" customWidth="1"/>
    <col min="19" max="19" width="34.08984375" style="2" bestFit="1" customWidth="1"/>
    <col min="20" max="20" width="28.1796875" style="2" customWidth="1"/>
    <col min="21" max="21" width="22.7265625" style="2" customWidth="1"/>
    <col min="22" max="22" width="20.6328125" style="2" customWidth="1"/>
    <col min="23" max="23" width="25.26953125" style="2" customWidth="1"/>
    <col min="24" max="26" width="20.6328125" style="2" customWidth="1"/>
    <col min="27" max="27" width="18.36328125" style="2" bestFit="1" customWidth="1"/>
    <col min="28" max="16384" width="8.7265625" style="2"/>
  </cols>
  <sheetData>
    <row r="1" spans="2:23" x14ac:dyDescent="0.5">
      <c r="S1" s="37"/>
    </row>
    <row r="2" spans="2:23" x14ac:dyDescent="0.5">
      <c r="B2" s="8" t="s">
        <v>1593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S2" s="38" t="s">
        <v>1556</v>
      </c>
    </row>
    <row r="3" spans="2:23" x14ac:dyDescent="0.5">
      <c r="S3" s="37"/>
    </row>
    <row r="4" spans="2:23" x14ac:dyDescent="0.5">
      <c r="B4" s="29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1590</v>
      </c>
      <c r="H4" s="29" t="s">
        <v>6</v>
      </c>
      <c r="I4" s="29" t="s">
        <v>7</v>
      </c>
      <c r="J4" s="29" t="s">
        <v>8</v>
      </c>
      <c r="K4" s="29" t="s">
        <v>9</v>
      </c>
      <c r="L4" s="29" t="s">
        <v>10</v>
      </c>
      <c r="M4" s="29" t="s">
        <v>11</v>
      </c>
      <c r="N4" s="29" t="s">
        <v>12</v>
      </c>
      <c r="O4" s="57" t="s">
        <v>1573</v>
      </c>
      <c r="P4" s="57" t="s">
        <v>1574</v>
      </c>
      <c r="Q4" s="39" t="s">
        <v>1306</v>
      </c>
      <c r="R4" s="39" t="s">
        <v>1334</v>
      </c>
      <c r="S4" s="40" t="s">
        <v>1597</v>
      </c>
      <c r="T4" s="39" t="s">
        <v>1338</v>
      </c>
      <c r="U4" s="39" t="s">
        <v>1343</v>
      </c>
      <c r="V4" s="39" t="s">
        <v>1563</v>
      </c>
      <c r="W4" s="4"/>
    </row>
    <row r="5" spans="2:23" x14ac:dyDescent="0.5">
      <c r="B5" s="30">
        <v>1</v>
      </c>
      <c r="C5" s="30" t="s">
        <v>13</v>
      </c>
      <c r="D5" s="31">
        <v>20211</v>
      </c>
      <c r="E5" s="30" t="s">
        <v>14</v>
      </c>
      <c r="F5" s="53" t="s">
        <v>15</v>
      </c>
      <c r="G5" s="32">
        <v>43922</v>
      </c>
      <c r="H5" s="33">
        <v>0.43784987760840444</v>
      </c>
      <c r="I5" s="30" t="s">
        <v>16</v>
      </c>
      <c r="J5" s="34">
        <v>483830</v>
      </c>
      <c r="K5" s="35" t="s">
        <v>17</v>
      </c>
      <c r="L5" s="36">
        <v>87089.4</v>
      </c>
      <c r="M5" s="30" t="s">
        <v>18</v>
      </c>
      <c r="N5" s="30" t="s">
        <v>19</v>
      </c>
      <c r="O5" s="30" t="s">
        <v>1542</v>
      </c>
      <c r="P5" s="30" t="s">
        <v>1542</v>
      </c>
      <c r="Q5" s="30" t="str">
        <f>VLOOKUP(WEEKDAY(G5),Key!$B$3:$C$9,2,0)</f>
        <v>Wednesday</v>
      </c>
      <c r="R5" s="42" t="str">
        <f t="shared" ref="R5:R68" si="0">IF(AND(H5&lt;TIME(18,0,0),H5&gt;TIME(10,0,0)),"Within","Outside")</f>
        <v>Within</v>
      </c>
      <c r="S5" s="41" t="str">
        <f>IF(OR(Q5="Sunday",R5="outside"),"Red Flag","Pass")</f>
        <v>Pass</v>
      </c>
      <c r="T5" s="30" t="str">
        <f>IF(AND(DATE(2021,4,1)&lt;=G5,G5&lt;=DATE(2022,3,31)),"FY 21-22","FY 20-21")</f>
        <v>FY 20-21</v>
      </c>
      <c r="U5" s="30" t="str">
        <f>VLOOKUP(MONTH(G5),Key!$F$3:$G$14,2,0)</f>
        <v>Apr</v>
      </c>
      <c r="V5" s="30" t="str">
        <f>IFERROR(IF(MATCH(F5,'Test 6'!C$5:C$9,0)&gt;0,"RP"),"NON-RP")</f>
        <v>NON-RP</v>
      </c>
    </row>
    <row r="6" spans="2:23" x14ac:dyDescent="0.5">
      <c r="B6" s="30">
        <v>2</v>
      </c>
      <c r="C6" s="30" t="s">
        <v>20</v>
      </c>
      <c r="D6" s="31">
        <v>20212</v>
      </c>
      <c r="E6" s="30" t="s">
        <v>21</v>
      </c>
      <c r="F6" s="53" t="s">
        <v>22</v>
      </c>
      <c r="G6" s="32">
        <v>43924</v>
      </c>
      <c r="H6" s="33">
        <v>0.42139180324640757</v>
      </c>
      <c r="I6" s="30" t="s">
        <v>16</v>
      </c>
      <c r="J6" s="34">
        <v>462100</v>
      </c>
      <c r="K6" s="35" t="s">
        <v>17</v>
      </c>
      <c r="L6" s="36">
        <v>83178</v>
      </c>
      <c r="M6" s="30" t="s">
        <v>23</v>
      </c>
      <c r="N6" s="30" t="s">
        <v>24</v>
      </c>
      <c r="O6" s="30" t="s">
        <v>1542</v>
      </c>
      <c r="P6" s="30" t="s">
        <v>1542</v>
      </c>
      <c r="Q6" s="30" t="str">
        <f>VLOOKUP(WEEKDAY(G6),Key!$B$3:$C$9,2,0)</f>
        <v>Friday</v>
      </c>
      <c r="R6" s="42" t="str">
        <f t="shared" si="0"/>
        <v>Within</v>
      </c>
      <c r="S6" s="41" t="str">
        <f t="shared" ref="S6:S69" si="1">IF(OR(Q6="Sunday",R6="outside"),"Red Flag","Pass")</f>
        <v>Pass</v>
      </c>
      <c r="T6" s="30" t="str">
        <f t="shared" ref="T6:T69" si="2">IF(AND(DATE(2021,4,1)&lt;=G6,G6&lt;=DATE(2022,3,31)),"FY 21-22","FY 20-21")</f>
        <v>FY 20-21</v>
      </c>
      <c r="U6" s="30" t="str">
        <f>VLOOKUP(MONTH(G6),Key!$F$3:$G$14,2,0)</f>
        <v>Apr</v>
      </c>
      <c r="V6" s="30" t="str">
        <f>IFERROR(IF(MATCH(F6,'Test 6'!C$5:C$9,0)&gt;0,"RP"),"NON-RP")</f>
        <v>NON-RP</v>
      </c>
    </row>
    <row r="7" spans="2:23" x14ac:dyDescent="0.5">
      <c r="B7" s="30">
        <v>3</v>
      </c>
      <c r="C7" s="30" t="s">
        <v>25</v>
      </c>
      <c r="D7" s="31">
        <v>20213</v>
      </c>
      <c r="E7" s="30" t="s">
        <v>26</v>
      </c>
      <c r="F7" s="53" t="s">
        <v>27</v>
      </c>
      <c r="G7" s="32">
        <v>43924</v>
      </c>
      <c r="H7" s="33">
        <v>0.49380763471607986</v>
      </c>
      <c r="I7" s="30" t="s">
        <v>16</v>
      </c>
      <c r="J7" s="34">
        <v>372600</v>
      </c>
      <c r="K7" s="35" t="s">
        <v>17</v>
      </c>
      <c r="L7" s="36">
        <v>67068</v>
      </c>
      <c r="M7" s="30" t="s">
        <v>28</v>
      </c>
      <c r="N7" s="30" t="s">
        <v>24</v>
      </c>
      <c r="O7" s="30" t="s">
        <v>1542</v>
      </c>
      <c r="P7" s="30" t="s">
        <v>1542</v>
      </c>
      <c r="Q7" s="30" t="str">
        <f>VLOOKUP(WEEKDAY(G7),Key!$B$3:$C$9,2,0)</f>
        <v>Friday</v>
      </c>
      <c r="R7" s="42" t="str">
        <f t="shared" si="0"/>
        <v>Within</v>
      </c>
      <c r="S7" s="41" t="str">
        <f t="shared" si="1"/>
        <v>Pass</v>
      </c>
      <c r="T7" s="30" t="str">
        <f t="shared" si="2"/>
        <v>FY 20-21</v>
      </c>
      <c r="U7" s="30" t="str">
        <f>VLOOKUP(MONTH(G7),Key!$F$3:$G$14,2,0)</f>
        <v>Apr</v>
      </c>
      <c r="V7" s="30" t="str">
        <f>IFERROR(IF(MATCH(F7,'Test 6'!C$5:C$9,0)&gt;0,"RP"),"NON-RP")</f>
        <v>NON-RP</v>
      </c>
    </row>
    <row r="8" spans="2:23" x14ac:dyDescent="0.5">
      <c r="B8" s="30">
        <v>4</v>
      </c>
      <c r="C8" s="30" t="s">
        <v>29</v>
      </c>
      <c r="D8" s="31">
        <v>20214</v>
      </c>
      <c r="E8" s="30" t="s">
        <v>30</v>
      </c>
      <c r="F8" s="53" t="s">
        <v>27</v>
      </c>
      <c r="G8" s="32">
        <v>43925</v>
      </c>
      <c r="H8" s="33">
        <v>0.74319213476193235</v>
      </c>
      <c r="I8" s="30" t="s">
        <v>16</v>
      </c>
      <c r="J8" s="34">
        <v>34370</v>
      </c>
      <c r="K8" s="35" t="s">
        <v>17</v>
      </c>
      <c r="L8" s="36">
        <v>6186.5999999999995</v>
      </c>
      <c r="M8" s="30" t="s">
        <v>31</v>
      </c>
      <c r="N8" s="30" t="s">
        <v>32</v>
      </c>
      <c r="O8" s="30" t="s">
        <v>1542</v>
      </c>
      <c r="P8" s="30" t="s">
        <v>1542</v>
      </c>
      <c r="Q8" s="30" t="str">
        <f>VLOOKUP(WEEKDAY(G8),Key!$B$3:$C$9,2,0)</f>
        <v>Saturday</v>
      </c>
      <c r="R8" s="42" t="str">
        <f t="shared" si="0"/>
        <v>Within</v>
      </c>
      <c r="S8" s="41" t="str">
        <f t="shared" si="1"/>
        <v>Pass</v>
      </c>
      <c r="T8" s="30" t="str">
        <f t="shared" si="2"/>
        <v>FY 20-21</v>
      </c>
      <c r="U8" s="30" t="str">
        <f>VLOOKUP(MONTH(G8),Key!$F$3:$G$14,2,0)</f>
        <v>Apr</v>
      </c>
      <c r="V8" s="30" t="str">
        <f>IFERROR(IF(MATCH(F8,'Test 6'!C$5:C$9,0)&gt;0,"RP"),"NON-RP")</f>
        <v>NON-RP</v>
      </c>
    </row>
    <row r="9" spans="2:23" x14ac:dyDescent="0.5">
      <c r="B9" s="30">
        <v>5</v>
      </c>
      <c r="C9" s="30" t="s">
        <v>33</v>
      </c>
      <c r="D9" s="31">
        <v>20215</v>
      </c>
      <c r="E9" s="30" t="s">
        <v>34</v>
      </c>
      <c r="F9" s="53" t="s">
        <v>35</v>
      </c>
      <c r="G9" s="32">
        <v>43925</v>
      </c>
      <c r="H9" s="33">
        <v>0.55947833391149038</v>
      </c>
      <c r="I9" s="30" t="s">
        <v>16</v>
      </c>
      <c r="J9" s="34">
        <v>24190</v>
      </c>
      <c r="K9" s="35" t="s">
        <v>17</v>
      </c>
      <c r="L9" s="36">
        <v>4354.2</v>
      </c>
      <c r="M9" s="30" t="s">
        <v>36</v>
      </c>
      <c r="N9" s="30" t="s">
        <v>37</v>
      </c>
      <c r="O9" s="30" t="s">
        <v>1542</v>
      </c>
      <c r="P9" s="30" t="s">
        <v>1542</v>
      </c>
      <c r="Q9" s="30" t="str">
        <f>VLOOKUP(WEEKDAY(G9),Key!$B$3:$C$9,2,0)</f>
        <v>Saturday</v>
      </c>
      <c r="R9" s="42" t="str">
        <f t="shared" si="0"/>
        <v>Within</v>
      </c>
      <c r="S9" s="41" t="str">
        <f t="shared" si="1"/>
        <v>Pass</v>
      </c>
      <c r="T9" s="30" t="str">
        <f t="shared" si="2"/>
        <v>FY 20-21</v>
      </c>
      <c r="U9" s="30" t="str">
        <f>VLOOKUP(MONTH(G9),Key!$F$3:$G$14,2,0)</f>
        <v>Apr</v>
      </c>
      <c r="V9" s="30" t="str">
        <f>IFERROR(IF(MATCH(F9,'Test 6'!C$5:C$9,0)&gt;0,"RP"),"NON-RP")</f>
        <v>NON-RP</v>
      </c>
    </row>
    <row r="10" spans="2:23" x14ac:dyDescent="0.5">
      <c r="B10" s="30">
        <v>6</v>
      </c>
      <c r="C10" s="30" t="s">
        <v>38</v>
      </c>
      <c r="D10" s="31">
        <v>20216</v>
      </c>
      <c r="E10" s="30" t="s">
        <v>39</v>
      </c>
      <c r="F10" s="53" t="s">
        <v>40</v>
      </c>
      <c r="G10" s="32">
        <v>43925</v>
      </c>
      <c r="H10" s="33">
        <v>0.5591579128187314</v>
      </c>
      <c r="I10" s="30" t="s">
        <v>16</v>
      </c>
      <c r="J10" s="34">
        <v>4841510</v>
      </c>
      <c r="K10" s="35" t="s">
        <v>17</v>
      </c>
      <c r="L10" s="36">
        <v>871471.79999999993</v>
      </c>
      <c r="M10" s="30" t="s">
        <v>41</v>
      </c>
      <c r="N10" s="30" t="s">
        <v>42</v>
      </c>
      <c r="O10" s="30" t="s">
        <v>1542</v>
      </c>
      <c r="P10" s="30" t="s">
        <v>1542</v>
      </c>
      <c r="Q10" s="30" t="str">
        <f>VLOOKUP(WEEKDAY(G10),Key!$B$3:$C$9,2,0)</f>
        <v>Saturday</v>
      </c>
      <c r="R10" s="42" t="str">
        <f t="shared" si="0"/>
        <v>Within</v>
      </c>
      <c r="S10" s="41" t="str">
        <f t="shared" si="1"/>
        <v>Pass</v>
      </c>
      <c r="T10" s="30" t="str">
        <f t="shared" si="2"/>
        <v>FY 20-21</v>
      </c>
      <c r="U10" s="30" t="str">
        <f>VLOOKUP(MONTH(G10),Key!$F$3:$G$14,2,0)</f>
        <v>Apr</v>
      </c>
      <c r="V10" s="30" t="str">
        <f>IFERROR(IF(MATCH(F10,'Test 6'!C$5:C$9,0)&gt;0,"RP"),"NON-RP")</f>
        <v>NON-RP</v>
      </c>
    </row>
    <row r="11" spans="2:23" x14ac:dyDescent="0.5">
      <c r="B11" s="30">
        <v>7</v>
      </c>
      <c r="C11" s="30" t="s">
        <v>43</v>
      </c>
      <c r="D11" s="31">
        <v>20217</v>
      </c>
      <c r="E11" s="30" t="s">
        <v>44</v>
      </c>
      <c r="F11" s="53" t="s">
        <v>45</v>
      </c>
      <c r="G11" s="32">
        <v>43925</v>
      </c>
      <c r="H11" s="33">
        <v>0.67164676470994822</v>
      </c>
      <c r="I11" s="30" t="s">
        <v>16</v>
      </c>
      <c r="J11" s="34">
        <v>469180</v>
      </c>
      <c r="K11" s="35" t="s">
        <v>17</v>
      </c>
      <c r="L11" s="36">
        <v>84452.4</v>
      </c>
      <c r="M11" s="30" t="s">
        <v>46</v>
      </c>
      <c r="N11" s="30" t="s">
        <v>47</v>
      </c>
      <c r="O11" s="30" t="s">
        <v>1542</v>
      </c>
      <c r="P11" s="30" t="s">
        <v>1542</v>
      </c>
      <c r="Q11" s="30" t="str">
        <f>VLOOKUP(WEEKDAY(G11),Key!$B$3:$C$9,2,0)</f>
        <v>Saturday</v>
      </c>
      <c r="R11" s="42" t="str">
        <f t="shared" si="0"/>
        <v>Within</v>
      </c>
      <c r="S11" s="41" t="str">
        <f t="shared" si="1"/>
        <v>Pass</v>
      </c>
      <c r="T11" s="30" t="str">
        <f t="shared" si="2"/>
        <v>FY 20-21</v>
      </c>
      <c r="U11" s="30" t="str">
        <f>VLOOKUP(MONTH(G11),Key!$F$3:$G$14,2,0)</f>
        <v>Apr</v>
      </c>
      <c r="V11" s="30" t="str">
        <f>IFERROR(IF(MATCH(F11,'Test 6'!C$5:C$9,0)&gt;0,"RP"),"NON-RP")</f>
        <v>NON-RP</v>
      </c>
    </row>
    <row r="12" spans="2:23" x14ac:dyDescent="0.5">
      <c r="B12" s="30">
        <v>8</v>
      </c>
      <c r="C12" s="30" t="s">
        <v>48</v>
      </c>
      <c r="D12" s="31">
        <v>20218</v>
      </c>
      <c r="E12" s="30" t="s">
        <v>49</v>
      </c>
      <c r="F12" s="53" t="s">
        <v>50</v>
      </c>
      <c r="G12" s="32">
        <v>43928</v>
      </c>
      <c r="H12" s="33">
        <v>0.43585195848297453</v>
      </c>
      <c r="I12" s="30" t="s">
        <v>16</v>
      </c>
      <c r="J12" s="34">
        <v>480710</v>
      </c>
      <c r="K12" s="35" t="s">
        <v>17</v>
      </c>
      <c r="L12" s="36">
        <v>86527.8</v>
      </c>
      <c r="M12" s="30" t="s">
        <v>37</v>
      </c>
      <c r="N12" s="30" t="s">
        <v>51</v>
      </c>
      <c r="O12" s="30" t="s">
        <v>1542</v>
      </c>
      <c r="P12" s="30" t="s">
        <v>1542</v>
      </c>
      <c r="Q12" s="30" t="str">
        <f>VLOOKUP(WEEKDAY(G12),Key!$B$3:$C$9,2,0)</f>
        <v>Tuesday</v>
      </c>
      <c r="R12" s="42" t="str">
        <f t="shared" si="0"/>
        <v>Within</v>
      </c>
      <c r="S12" s="41" t="str">
        <f t="shared" si="1"/>
        <v>Pass</v>
      </c>
      <c r="T12" s="30" t="str">
        <f t="shared" si="2"/>
        <v>FY 20-21</v>
      </c>
      <c r="U12" s="30" t="str">
        <f>VLOOKUP(MONTH(G12),Key!$F$3:$G$14,2,0)</f>
        <v>Apr</v>
      </c>
      <c r="V12" s="30" t="str">
        <f>IFERROR(IF(MATCH(F12,'Test 6'!C$5:C$9,0)&gt;0,"RP"),"NON-RP")</f>
        <v>NON-RP</v>
      </c>
    </row>
    <row r="13" spans="2:23" x14ac:dyDescent="0.5">
      <c r="B13" s="30">
        <v>9</v>
      </c>
      <c r="C13" s="30" t="s">
        <v>52</v>
      </c>
      <c r="D13" s="31">
        <v>20219</v>
      </c>
      <c r="E13" s="30" t="s">
        <v>53</v>
      </c>
      <c r="F13" s="53" t="s">
        <v>54</v>
      </c>
      <c r="G13" s="32">
        <v>43929</v>
      </c>
      <c r="H13" s="33">
        <v>0.56513168121543078</v>
      </c>
      <c r="I13" s="30" t="s">
        <v>16</v>
      </c>
      <c r="J13" s="34">
        <v>343170</v>
      </c>
      <c r="K13" s="35" t="s">
        <v>17</v>
      </c>
      <c r="L13" s="36">
        <v>61770.6</v>
      </c>
      <c r="M13" s="30" t="s">
        <v>18</v>
      </c>
      <c r="N13" s="30" t="s">
        <v>24</v>
      </c>
      <c r="O13" s="30" t="s">
        <v>1542</v>
      </c>
      <c r="P13" s="30" t="s">
        <v>1542</v>
      </c>
      <c r="Q13" s="30" t="str">
        <f>VLOOKUP(WEEKDAY(G13),Key!$B$3:$C$9,2,0)</f>
        <v>Wednesday</v>
      </c>
      <c r="R13" s="42" t="str">
        <f t="shared" si="0"/>
        <v>Within</v>
      </c>
      <c r="S13" s="41" t="str">
        <f t="shared" si="1"/>
        <v>Pass</v>
      </c>
      <c r="T13" s="30" t="str">
        <f t="shared" si="2"/>
        <v>FY 20-21</v>
      </c>
      <c r="U13" s="30" t="str">
        <f>VLOOKUP(MONTH(G13),Key!$F$3:$G$14,2,0)</f>
        <v>Apr</v>
      </c>
      <c r="V13" s="30" t="str">
        <f>IFERROR(IF(MATCH(F13,'Test 6'!C$5:C$9,0)&gt;0,"RP"),"NON-RP")</f>
        <v>NON-RP</v>
      </c>
    </row>
    <row r="14" spans="2:23" x14ac:dyDescent="0.5">
      <c r="B14" s="30">
        <v>10</v>
      </c>
      <c r="C14" s="30" t="s">
        <v>55</v>
      </c>
      <c r="D14" s="31">
        <v>202110</v>
      </c>
      <c r="E14" s="30" t="s">
        <v>56</v>
      </c>
      <c r="F14" s="53" t="s">
        <v>57</v>
      </c>
      <c r="G14" s="32">
        <v>43930</v>
      </c>
      <c r="H14" s="33">
        <v>0.51491880777751875</v>
      </c>
      <c r="I14" s="30" t="s">
        <v>16</v>
      </c>
      <c r="J14" s="34">
        <v>474940</v>
      </c>
      <c r="K14" s="35" t="s">
        <v>17</v>
      </c>
      <c r="L14" s="36">
        <v>85489.2</v>
      </c>
      <c r="M14" s="30" t="s">
        <v>32</v>
      </c>
      <c r="N14" s="30" t="s">
        <v>24</v>
      </c>
      <c r="O14" s="30" t="s">
        <v>1542</v>
      </c>
      <c r="P14" s="30" t="s">
        <v>1542</v>
      </c>
      <c r="Q14" s="30" t="str">
        <f>VLOOKUP(WEEKDAY(G14),Key!$B$3:$C$9,2,0)</f>
        <v>Thursday</v>
      </c>
      <c r="R14" s="42" t="str">
        <f t="shared" si="0"/>
        <v>Within</v>
      </c>
      <c r="S14" s="41" t="str">
        <f t="shared" si="1"/>
        <v>Pass</v>
      </c>
      <c r="T14" s="30" t="str">
        <f t="shared" si="2"/>
        <v>FY 20-21</v>
      </c>
      <c r="U14" s="30" t="str">
        <f>VLOOKUP(MONTH(G14),Key!$F$3:$G$14,2,0)</f>
        <v>Apr</v>
      </c>
      <c r="V14" s="30" t="str">
        <f>IFERROR(IF(MATCH(F14,'Test 6'!C$5:C$9,0)&gt;0,"RP"),"NON-RP")</f>
        <v>NON-RP</v>
      </c>
    </row>
    <row r="15" spans="2:23" x14ac:dyDescent="0.5">
      <c r="B15" s="30">
        <v>11</v>
      </c>
      <c r="C15" s="30" t="s">
        <v>58</v>
      </c>
      <c r="D15" s="31">
        <v>202111</v>
      </c>
      <c r="E15" s="30" t="s">
        <v>59</v>
      </c>
      <c r="F15" s="53" t="s">
        <v>60</v>
      </c>
      <c r="G15" s="32">
        <v>43932</v>
      </c>
      <c r="H15" s="33">
        <v>0.64874842307225877</v>
      </c>
      <c r="I15" s="30" t="s">
        <v>16</v>
      </c>
      <c r="J15" s="34">
        <v>50900</v>
      </c>
      <c r="K15" s="35" t="s">
        <v>17</v>
      </c>
      <c r="L15" s="36">
        <v>9162</v>
      </c>
      <c r="M15" s="30" t="s">
        <v>36</v>
      </c>
      <c r="N15" s="30" t="s">
        <v>61</v>
      </c>
      <c r="O15" s="30" t="s">
        <v>1542</v>
      </c>
      <c r="P15" s="30" t="s">
        <v>1542</v>
      </c>
      <c r="Q15" s="30" t="str">
        <f>VLOOKUP(WEEKDAY(G15),Key!$B$3:$C$9,2,0)</f>
        <v>Saturday</v>
      </c>
      <c r="R15" s="42" t="str">
        <f t="shared" si="0"/>
        <v>Within</v>
      </c>
      <c r="S15" s="41" t="str">
        <f t="shared" si="1"/>
        <v>Pass</v>
      </c>
      <c r="T15" s="30" t="str">
        <f t="shared" si="2"/>
        <v>FY 20-21</v>
      </c>
      <c r="U15" s="30" t="str">
        <f>VLOOKUP(MONTH(G15),Key!$F$3:$G$14,2,0)</f>
        <v>Apr</v>
      </c>
      <c r="V15" s="30" t="str">
        <f>IFERROR(IF(MATCH(F15,'Test 6'!C$5:C$9,0)&gt;0,"RP"),"NON-RP")</f>
        <v>NON-RP</v>
      </c>
    </row>
    <row r="16" spans="2:23" x14ac:dyDescent="0.5">
      <c r="B16" s="30">
        <v>12</v>
      </c>
      <c r="C16" s="30" t="s">
        <v>62</v>
      </c>
      <c r="D16" s="31">
        <v>202112</v>
      </c>
      <c r="E16" s="30" t="s">
        <v>63</v>
      </c>
      <c r="F16" s="53" t="s">
        <v>64</v>
      </c>
      <c r="G16" s="32">
        <v>43937</v>
      </c>
      <c r="H16" s="33">
        <v>0.7104412398579546</v>
      </c>
      <c r="I16" s="30" t="s">
        <v>16</v>
      </c>
      <c r="J16" s="34">
        <v>335080</v>
      </c>
      <c r="K16" s="35" t="s">
        <v>17</v>
      </c>
      <c r="L16" s="36">
        <v>60314.399999999994</v>
      </c>
      <c r="M16" s="30" t="s">
        <v>23</v>
      </c>
      <c r="N16" s="30" t="s">
        <v>24</v>
      </c>
      <c r="O16" s="30" t="s">
        <v>1542</v>
      </c>
      <c r="P16" s="30" t="s">
        <v>1542</v>
      </c>
      <c r="Q16" s="30" t="str">
        <f>VLOOKUP(WEEKDAY(G16),Key!$B$3:$C$9,2,0)</f>
        <v>Thursday</v>
      </c>
      <c r="R16" s="42" t="str">
        <f t="shared" si="0"/>
        <v>Within</v>
      </c>
      <c r="S16" s="41" t="str">
        <f t="shared" si="1"/>
        <v>Pass</v>
      </c>
      <c r="T16" s="30" t="str">
        <f t="shared" si="2"/>
        <v>FY 20-21</v>
      </c>
      <c r="U16" s="30" t="str">
        <f>VLOOKUP(MONTH(G16),Key!$F$3:$G$14,2,0)</f>
        <v>Apr</v>
      </c>
      <c r="V16" s="30" t="str">
        <f>IFERROR(IF(MATCH(F16,'Test 6'!C$5:C$9,0)&gt;0,"RP"),"NON-RP")</f>
        <v>NON-RP</v>
      </c>
    </row>
    <row r="17" spans="2:22" x14ac:dyDescent="0.5">
      <c r="B17" s="30">
        <v>13</v>
      </c>
      <c r="C17" s="30" t="s">
        <v>65</v>
      </c>
      <c r="D17" s="31">
        <v>202113</v>
      </c>
      <c r="E17" s="30" t="s">
        <v>66</v>
      </c>
      <c r="F17" s="53" t="s">
        <v>67</v>
      </c>
      <c r="G17" s="32">
        <v>43939</v>
      </c>
      <c r="H17" s="33">
        <v>0.61970165913732178</v>
      </c>
      <c r="I17" s="30" t="s">
        <v>16</v>
      </c>
      <c r="J17" s="34">
        <v>501490</v>
      </c>
      <c r="K17" s="35" t="s">
        <v>17</v>
      </c>
      <c r="L17" s="36">
        <v>90268.2</v>
      </c>
      <c r="M17" s="30" t="s">
        <v>68</v>
      </c>
      <c r="N17" s="30" t="s">
        <v>69</v>
      </c>
      <c r="O17" s="30" t="s">
        <v>1542</v>
      </c>
      <c r="P17" s="30" t="s">
        <v>1542</v>
      </c>
      <c r="Q17" s="30" t="str">
        <f>VLOOKUP(WEEKDAY(G17),Key!$B$3:$C$9,2,0)</f>
        <v>Saturday</v>
      </c>
      <c r="R17" s="42" t="str">
        <f t="shared" si="0"/>
        <v>Within</v>
      </c>
      <c r="S17" s="41" t="str">
        <f t="shared" si="1"/>
        <v>Pass</v>
      </c>
      <c r="T17" s="30" t="str">
        <f t="shared" si="2"/>
        <v>FY 20-21</v>
      </c>
      <c r="U17" s="30" t="str">
        <f>VLOOKUP(MONTH(G17),Key!$F$3:$G$14,2,0)</f>
        <v>Apr</v>
      </c>
      <c r="V17" s="30" t="str">
        <f>IFERROR(IF(MATCH(F17,'Test 6'!C$5:C$9,0)&gt;0,"RP"),"NON-RP")</f>
        <v>NON-RP</v>
      </c>
    </row>
    <row r="18" spans="2:22" x14ac:dyDescent="0.5">
      <c r="B18" s="30">
        <v>14</v>
      </c>
      <c r="C18" s="30" t="s">
        <v>70</v>
      </c>
      <c r="D18" s="31">
        <v>202114</v>
      </c>
      <c r="E18" s="30" t="s">
        <v>71</v>
      </c>
      <c r="F18" s="53" t="s">
        <v>72</v>
      </c>
      <c r="G18" s="32">
        <v>43942</v>
      </c>
      <c r="H18" s="33">
        <v>0.60626144039195851</v>
      </c>
      <c r="I18" s="30" t="s">
        <v>16</v>
      </c>
      <c r="J18" s="34">
        <v>209260</v>
      </c>
      <c r="K18" s="35" t="s">
        <v>17</v>
      </c>
      <c r="L18" s="36">
        <v>37666.799999999996</v>
      </c>
      <c r="M18" s="30" t="s">
        <v>46</v>
      </c>
      <c r="N18" s="30" t="s">
        <v>24</v>
      </c>
      <c r="O18" s="30" t="s">
        <v>1542</v>
      </c>
      <c r="P18" s="30" t="s">
        <v>1542</v>
      </c>
      <c r="Q18" s="30" t="str">
        <f>VLOOKUP(WEEKDAY(G18),Key!$B$3:$C$9,2,0)</f>
        <v>Tuesday</v>
      </c>
      <c r="R18" s="42" t="str">
        <f t="shared" si="0"/>
        <v>Within</v>
      </c>
      <c r="S18" s="41" t="str">
        <f t="shared" si="1"/>
        <v>Pass</v>
      </c>
      <c r="T18" s="30" t="str">
        <f t="shared" si="2"/>
        <v>FY 20-21</v>
      </c>
      <c r="U18" s="30" t="str">
        <f>VLOOKUP(MONTH(G18),Key!$F$3:$G$14,2,0)</f>
        <v>Apr</v>
      </c>
      <c r="V18" s="30" t="str">
        <f>IFERROR(IF(MATCH(F18,'Test 6'!C$5:C$9,0)&gt;0,"RP"),"NON-RP")</f>
        <v>NON-RP</v>
      </c>
    </row>
    <row r="19" spans="2:22" x14ac:dyDescent="0.5">
      <c r="B19" s="30">
        <v>15</v>
      </c>
      <c r="C19" s="30" t="s">
        <v>73</v>
      </c>
      <c r="D19" s="31">
        <v>202115</v>
      </c>
      <c r="E19" s="30" t="s">
        <v>74</v>
      </c>
      <c r="F19" s="53" t="s">
        <v>67</v>
      </c>
      <c r="G19" s="32">
        <v>43942</v>
      </c>
      <c r="H19" s="33">
        <v>0.60169301582456192</v>
      </c>
      <c r="I19" s="30" t="s">
        <v>16</v>
      </c>
      <c r="J19" s="34">
        <v>317130</v>
      </c>
      <c r="K19" s="35" t="s">
        <v>17</v>
      </c>
      <c r="L19" s="36">
        <v>57083.4</v>
      </c>
      <c r="M19" s="30" t="s">
        <v>28</v>
      </c>
      <c r="N19" s="30" t="s">
        <v>24</v>
      </c>
      <c r="O19" s="30" t="s">
        <v>1542</v>
      </c>
      <c r="P19" s="30" t="s">
        <v>1542</v>
      </c>
      <c r="Q19" s="30" t="str">
        <f>VLOOKUP(WEEKDAY(G19),Key!$B$3:$C$9,2,0)</f>
        <v>Tuesday</v>
      </c>
      <c r="R19" s="42" t="str">
        <f t="shared" si="0"/>
        <v>Within</v>
      </c>
      <c r="S19" s="41" t="str">
        <f t="shared" si="1"/>
        <v>Pass</v>
      </c>
      <c r="T19" s="30" t="str">
        <f t="shared" si="2"/>
        <v>FY 20-21</v>
      </c>
      <c r="U19" s="30" t="str">
        <f>VLOOKUP(MONTH(G19),Key!$F$3:$G$14,2,0)</f>
        <v>Apr</v>
      </c>
      <c r="V19" s="30" t="str">
        <f>IFERROR(IF(MATCH(F19,'Test 6'!C$5:C$9,0)&gt;0,"RP"),"NON-RP")</f>
        <v>NON-RP</v>
      </c>
    </row>
    <row r="20" spans="2:22" x14ac:dyDescent="0.5">
      <c r="B20" s="30">
        <v>16</v>
      </c>
      <c r="C20" s="30" t="s">
        <v>75</v>
      </c>
      <c r="D20" s="31">
        <v>202116</v>
      </c>
      <c r="E20" s="30" t="s">
        <v>76</v>
      </c>
      <c r="F20" s="53" t="s">
        <v>77</v>
      </c>
      <c r="G20" s="32">
        <v>43943</v>
      </c>
      <c r="H20" s="33">
        <v>0.57234935009306409</v>
      </c>
      <c r="I20" s="30" t="s">
        <v>16</v>
      </c>
      <c r="J20" s="34">
        <v>42850</v>
      </c>
      <c r="K20" s="35" t="s">
        <v>17</v>
      </c>
      <c r="L20" s="36">
        <v>7713</v>
      </c>
      <c r="M20" s="30" t="s">
        <v>78</v>
      </c>
      <c r="N20" s="30" t="s">
        <v>23</v>
      </c>
      <c r="O20" s="30" t="s">
        <v>1542</v>
      </c>
      <c r="P20" s="30" t="s">
        <v>1542</v>
      </c>
      <c r="Q20" s="30" t="str">
        <f>VLOOKUP(WEEKDAY(G20),Key!$B$3:$C$9,2,0)</f>
        <v>Wednesday</v>
      </c>
      <c r="R20" s="42" t="str">
        <f t="shared" si="0"/>
        <v>Within</v>
      </c>
      <c r="S20" s="41" t="str">
        <f t="shared" si="1"/>
        <v>Pass</v>
      </c>
      <c r="T20" s="30" t="str">
        <f t="shared" si="2"/>
        <v>FY 20-21</v>
      </c>
      <c r="U20" s="30" t="str">
        <f>VLOOKUP(MONTH(G20),Key!$F$3:$G$14,2,0)</f>
        <v>Apr</v>
      </c>
      <c r="V20" s="30" t="str">
        <f>IFERROR(IF(MATCH(F20,'Test 6'!C$5:C$9,0)&gt;0,"RP"),"NON-RP")</f>
        <v>NON-RP</v>
      </c>
    </row>
    <row r="21" spans="2:22" x14ac:dyDescent="0.5">
      <c r="B21" s="30">
        <v>17</v>
      </c>
      <c r="C21" s="30" t="s">
        <v>79</v>
      </c>
      <c r="D21" s="31">
        <v>202117</v>
      </c>
      <c r="E21" s="30" t="s">
        <v>80</v>
      </c>
      <c r="F21" s="53" t="s">
        <v>81</v>
      </c>
      <c r="G21" s="32">
        <v>43945</v>
      </c>
      <c r="H21" s="33">
        <v>0.64313190157079914</v>
      </c>
      <c r="I21" s="30" t="s">
        <v>16</v>
      </c>
      <c r="J21" s="34">
        <v>477910</v>
      </c>
      <c r="K21" s="35" t="s">
        <v>17</v>
      </c>
      <c r="L21" s="36">
        <v>86023.8</v>
      </c>
      <c r="M21" s="30" t="s">
        <v>37</v>
      </c>
      <c r="N21" s="30" t="s">
        <v>47</v>
      </c>
      <c r="O21" s="30" t="s">
        <v>1542</v>
      </c>
      <c r="P21" s="30" t="s">
        <v>1542</v>
      </c>
      <c r="Q21" s="30" t="str">
        <f>VLOOKUP(WEEKDAY(G21),Key!$B$3:$C$9,2,0)</f>
        <v>Friday</v>
      </c>
      <c r="R21" s="42" t="str">
        <f t="shared" si="0"/>
        <v>Within</v>
      </c>
      <c r="S21" s="41" t="str">
        <f t="shared" si="1"/>
        <v>Pass</v>
      </c>
      <c r="T21" s="30" t="str">
        <f t="shared" si="2"/>
        <v>FY 20-21</v>
      </c>
      <c r="U21" s="30" t="str">
        <f>VLOOKUP(MONTH(G21),Key!$F$3:$G$14,2,0)</f>
        <v>Apr</v>
      </c>
      <c r="V21" s="30" t="str">
        <f>IFERROR(IF(MATCH(F21,'Test 6'!C$5:C$9,0)&gt;0,"RP"),"NON-RP")</f>
        <v>NON-RP</v>
      </c>
    </row>
    <row r="22" spans="2:22" x14ac:dyDescent="0.5">
      <c r="B22" s="30">
        <v>18</v>
      </c>
      <c r="C22" s="30" t="s">
        <v>82</v>
      </c>
      <c r="D22" s="31">
        <v>202118</v>
      </c>
      <c r="E22" s="30" t="s">
        <v>83</v>
      </c>
      <c r="F22" s="53" t="s">
        <v>84</v>
      </c>
      <c r="G22" s="32">
        <v>43946</v>
      </c>
      <c r="H22" s="33">
        <v>0.72949561486077308</v>
      </c>
      <c r="I22" s="30" t="s">
        <v>16</v>
      </c>
      <c r="J22" s="34">
        <v>345580</v>
      </c>
      <c r="K22" s="35" t="s">
        <v>17</v>
      </c>
      <c r="L22" s="36">
        <v>62204.399999999994</v>
      </c>
      <c r="M22" s="30" t="s">
        <v>23</v>
      </c>
      <c r="N22" s="30" t="s">
        <v>47</v>
      </c>
      <c r="O22" s="30" t="s">
        <v>1542</v>
      </c>
      <c r="P22" s="30" t="s">
        <v>1542</v>
      </c>
      <c r="Q22" s="30" t="str">
        <f>VLOOKUP(WEEKDAY(G22),Key!$B$3:$C$9,2,0)</f>
        <v>Saturday</v>
      </c>
      <c r="R22" s="42" t="str">
        <f t="shared" si="0"/>
        <v>Within</v>
      </c>
      <c r="S22" s="41" t="str">
        <f t="shared" si="1"/>
        <v>Pass</v>
      </c>
      <c r="T22" s="30" t="str">
        <f t="shared" si="2"/>
        <v>FY 20-21</v>
      </c>
      <c r="U22" s="30" t="str">
        <f>VLOOKUP(MONTH(G22),Key!$F$3:$G$14,2,0)</f>
        <v>Apr</v>
      </c>
      <c r="V22" s="30" t="str">
        <f>IFERROR(IF(MATCH(F22,'Test 6'!C$5:C$9,0)&gt;0,"RP"),"NON-RP")</f>
        <v>NON-RP</v>
      </c>
    </row>
    <row r="23" spans="2:22" x14ac:dyDescent="0.5">
      <c r="B23" s="30">
        <v>19</v>
      </c>
      <c r="C23" s="30" t="s">
        <v>85</v>
      </c>
      <c r="D23" s="31">
        <v>202119</v>
      </c>
      <c r="E23" s="30" t="s">
        <v>86</v>
      </c>
      <c r="F23" s="53" t="s">
        <v>87</v>
      </c>
      <c r="G23" s="32">
        <v>43948</v>
      </c>
      <c r="H23" s="33">
        <v>0.65547796819872772</v>
      </c>
      <c r="I23" s="30" t="s">
        <v>16</v>
      </c>
      <c r="J23" s="34">
        <v>337140</v>
      </c>
      <c r="K23" s="35" t="s">
        <v>17</v>
      </c>
      <c r="L23" s="36">
        <v>60685.2</v>
      </c>
      <c r="M23" s="30" t="s">
        <v>61</v>
      </c>
      <c r="N23" s="30" t="s">
        <v>24</v>
      </c>
      <c r="O23" s="30" t="s">
        <v>1542</v>
      </c>
      <c r="P23" s="30" t="s">
        <v>1542</v>
      </c>
      <c r="Q23" s="30" t="str">
        <f>VLOOKUP(WEEKDAY(G23),Key!$B$3:$C$9,2,0)</f>
        <v>Monday</v>
      </c>
      <c r="R23" s="42" t="str">
        <f t="shared" si="0"/>
        <v>Within</v>
      </c>
      <c r="S23" s="41" t="str">
        <f t="shared" si="1"/>
        <v>Pass</v>
      </c>
      <c r="T23" s="30" t="str">
        <f t="shared" si="2"/>
        <v>FY 20-21</v>
      </c>
      <c r="U23" s="30" t="str">
        <f>VLOOKUP(MONTH(G23),Key!$F$3:$G$14,2,0)</f>
        <v>Apr</v>
      </c>
      <c r="V23" s="30" t="str">
        <f>IFERROR(IF(MATCH(F23,'Test 6'!C$5:C$9,0)&gt;0,"RP"),"NON-RP")</f>
        <v>NON-RP</v>
      </c>
    </row>
    <row r="24" spans="2:22" x14ac:dyDescent="0.5">
      <c r="B24" s="30">
        <v>20</v>
      </c>
      <c r="C24" s="30" t="s">
        <v>88</v>
      </c>
      <c r="D24" s="31">
        <v>202120</v>
      </c>
      <c r="E24" s="30" t="s">
        <v>89</v>
      </c>
      <c r="F24" s="53" t="s">
        <v>57</v>
      </c>
      <c r="G24" s="32">
        <v>43949</v>
      </c>
      <c r="H24" s="33">
        <v>0.45651833973621836</v>
      </c>
      <c r="I24" s="30" t="s">
        <v>16</v>
      </c>
      <c r="J24" s="34">
        <v>477620</v>
      </c>
      <c r="K24" s="35" t="s">
        <v>17</v>
      </c>
      <c r="L24" s="36">
        <v>85971.599999999991</v>
      </c>
      <c r="M24" s="30" t="s">
        <v>46</v>
      </c>
      <c r="N24" s="30" t="s">
        <v>68</v>
      </c>
      <c r="O24" s="30" t="s">
        <v>1542</v>
      </c>
      <c r="P24" s="30" t="s">
        <v>1542</v>
      </c>
      <c r="Q24" s="30" t="str">
        <f>VLOOKUP(WEEKDAY(G24),Key!$B$3:$C$9,2,0)</f>
        <v>Tuesday</v>
      </c>
      <c r="R24" s="42" t="str">
        <f t="shared" si="0"/>
        <v>Within</v>
      </c>
      <c r="S24" s="41" t="str">
        <f t="shared" si="1"/>
        <v>Pass</v>
      </c>
      <c r="T24" s="30" t="str">
        <f t="shared" si="2"/>
        <v>FY 20-21</v>
      </c>
      <c r="U24" s="30" t="str">
        <f>VLOOKUP(MONTH(G24),Key!$F$3:$G$14,2,0)</f>
        <v>Apr</v>
      </c>
      <c r="V24" s="30" t="str">
        <f>IFERROR(IF(MATCH(F24,'Test 6'!C$5:C$9,0)&gt;0,"RP"),"NON-RP")</f>
        <v>NON-RP</v>
      </c>
    </row>
    <row r="25" spans="2:22" x14ac:dyDescent="0.5">
      <c r="B25" s="30">
        <v>21</v>
      </c>
      <c r="C25" s="30" t="s">
        <v>90</v>
      </c>
      <c r="D25" s="31">
        <v>202121</v>
      </c>
      <c r="E25" s="30" t="s">
        <v>91</v>
      </c>
      <c r="F25" s="53" t="s">
        <v>92</v>
      </c>
      <c r="G25" s="32">
        <v>43952</v>
      </c>
      <c r="H25" s="33">
        <v>0.48213293027542503</v>
      </c>
      <c r="I25" s="30" t="s">
        <v>16</v>
      </c>
      <c r="J25" s="34">
        <v>453890</v>
      </c>
      <c r="K25" s="35" t="s">
        <v>17</v>
      </c>
      <c r="L25" s="36">
        <v>81700.2</v>
      </c>
      <c r="M25" s="30" t="s">
        <v>18</v>
      </c>
      <c r="N25" s="30" t="s">
        <v>47</v>
      </c>
      <c r="O25" s="30" t="s">
        <v>1542</v>
      </c>
      <c r="P25" s="30" t="s">
        <v>1542</v>
      </c>
      <c r="Q25" s="30" t="str">
        <f>VLOOKUP(WEEKDAY(G25),Key!$B$3:$C$9,2,0)</f>
        <v>Friday</v>
      </c>
      <c r="R25" s="42" t="str">
        <f t="shared" si="0"/>
        <v>Within</v>
      </c>
      <c r="S25" s="41" t="str">
        <f t="shared" si="1"/>
        <v>Pass</v>
      </c>
      <c r="T25" s="30" t="str">
        <f t="shared" si="2"/>
        <v>FY 20-21</v>
      </c>
      <c r="U25" s="30" t="str">
        <f>VLOOKUP(MONTH(G25),Key!$F$3:$G$14,2,0)</f>
        <v>May</v>
      </c>
      <c r="V25" s="30" t="str">
        <f>IFERROR(IF(MATCH(F25,'Test 6'!C$5:C$9,0)&gt;0,"RP"),"NON-RP")</f>
        <v>NON-RP</v>
      </c>
    </row>
    <row r="26" spans="2:22" x14ac:dyDescent="0.5">
      <c r="B26" s="30">
        <v>22</v>
      </c>
      <c r="C26" s="30" t="s">
        <v>93</v>
      </c>
      <c r="D26" s="31">
        <v>202122</v>
      </c>
      <c r="E26" s="30" t="s">
        <v>94</v>
      </c>
      <c r="F26" s="53" t="s">
        <v>95</v>
      </c>
      <c r="G26" s="32">
        <v>43955</v>
      </c>
      <c r="H26" s="33">
        <v>0.69978044378572002</v>
      </c>
      <c r="I26" s="30" t="s">
        <v>96</v>
      </c>
      <c r="J26" s="34">
        <v>230560</v>
      </c>
      <c r="K26" s="35" t="s">
        <v>17</v>
      </c>
      <c r="L26" s="36">
        <v>41500.799999999996</v>
      </c>
      <c r="M26" s="30" t="s">
        <v>37</v>
      </c>
      <c r="N26" s="30" t="s">
        <v>47</v>
      </c>
      <c r="O26" s="30" t="s">
        <v>1542</v>
      </c>
      <c r="P26" s="30" t="s">
        <v>1542</v>
      </c>
      <c r="Q26" s="30" t="str">
        <f>VLOOKUP(WEEKDAY(G26),Key!$B$3:$C$9,2,0)</f>
        <v>Monday</v>
      </c>
      <c r="R26" s="42" t="str">
        <f t="shared" si="0"/>
        <v>Within</v>
      </c>
      <c r="S26" s="41" t="str">
        <f t="shared" si="1"/>
        <v>Pass</v>
      </c>
      <c r="T26" s="30" t="str">
        <f t="shared" si="2"/>
        <v>FY 20-21</v>
      </c>
      <c r="U26" s="30" t="str">
        <f>VLOOKUP(MONTH(G26),Key!$F$3:$G$14,2,0)</f>
        <v>May</v>
      </c>
      <c r="V26" s="30" t="str">
        <f>IFERROR(IF(MATCH(F26,'Test 6'!C$5:C$9,0)&gt;0,"RP"),"NON-RP")</f>
        <v>NON-RP</v>
      </c>
    </row>
    <row r="27" spans="2:22" x14ac:dyDescent="0.5">
      <c r="B27" s="30">
        <v>23</v>
      </c>
      <c r="C27" s="30" t="s">
        <v>97</v>
      </c>
      <c r="D27" s="31">
        <v>202123</v>
      </c>
      <c r="E27" s="30" t="s">
        <v>98</v>
      </c>
      <c r="F27" s="53" t="s">
        <v>40</v>
      </c>
      <c r="G27" s="32">
        <v>43955</v>
      </c>
      <c r="H27" s="33">
        <v>0.6576666098683871</v>
      </c>
      <c r="I27" s="30" t="s">
        <v>96</v>
      </c>
      <c r="J27" s="34">
        <v>207690</v>
      </c>
      <c r="K27" s="35" t="s">
        <v>17</v>
      </c>
      <c r="L27" s="36">
        <v>37384.199999999997</v>
      </c>
      <c r="M27" s="30" t="s">
        <v>23</v>
      </c>
      <c r="N27" s="30" t="s">
        <v>47</v>
      </c>
      <c r="O27" s="30" t="s">
        <v>1542</v>
      </c>
      <c r="P27" s="30" t="s">
        <v>1542</v>
      </c>
      <c r="Q27" s="30" t="str">
        <f>VLOOKUP(WEEKDAY(G27),Key!$B$3:$C$9,2,0)</f>
        <v>Monday</v>
      </c>
      <c r="R27" s="42" t="str">
        <f t="shared" si="0"/>
        <v>Within</v>
      </c>
      <c r="S27" s="41" t="str">
        <f t="shared" si="1"/>
        <v>Pass</v>
      </c>
      <c r="T27" s="30" t="str">
        <f t="shared" si="2"/>
        <v>FY 20-21</v>
      </c>
      <c r="U27" s="30" t="str">
        <f>VLOOKUP(MONTH(G27),Key!$F$3:$G$14,2,0)</f>
        <v>May</v>
      </c>
      <c r="V27" s="30" t="str">
        <f>IFERROR(IF(MATCH(F27,'Test 6'!C$5:C$9,0)&gt;0,"RP"),"NON-RP")</f>
        <v>NON-RP</v>
      </c>
    </row>
    <row r="28" spans="2:22" x14ac:dyDescent="0.5">
      <c r="B28" s="30">
        <v>24</v>
      </c>
      <c r="C28" s="30" t="s">
        <v>99</v>
      </c>
      <c r="D28" s="31">
        <v>202124</v>
      </c>
      <c r="E28" s="30" t="s">
        <v>100</v>
      </c>
      <c r="F28" s="53" t="s">
        <v>54</v>
      </c>
      <c r="G28" s="32">
        <v>43955</v>
      </c>
      <c r="H28" s="33">
        <v>0.59432316182630107</v>
      </c>
      <c r="I28" s="30" t="s">
        <v>96</v>
      </c>
      <c r="J28" s="34">
        <v>498780</v>
      </c>
      <c r="K28" s="35" t="s">
        <v>17</v>
      </c>
      <c r="L28" s="36">
        <v>89780.4</v>
      </c>
      <c r="M28" s="30" t="s">
        <v>23</v>
      </c>
      <c r="N28" s="30" t="s">
        <v>47</v>
      </c>
      <c r="O28" s="30" t="s">
        <v>1542</v>
      </c>
      <c r="P28" s="30" t="s">
        <v>1542</v>
      </c>
      <c r="Q28" s="30" t="str">
        <f>VLOOKUP(WEEKDAY(G28),Key!$B$3:$C$9,2,0)</f>
        <v>Monday</v>
      </c>
      <c r="R28" s="42" t="str">
        <f t="shared" si="0"/>
        <v>Within</v>
      </c>
      <c r="S28" s="41" t="str">
        <f t="shared" si="1"/>
        <v>Pass</v>
      </c>
      <c r="T28" s="30" t="str">
        <f t="shared" si="2"/>
        <v>FY 20-21</v>
      </c>
      <c r="U28" s="30" t="str">
        <f>VLOOKUP(MONTH(G28),Key!$F$3:$G$14,2,0)</f>
        <v>May</v>
      </c>
      <c r="V28" s="30" t="str">
        <f>IFERROR(IF(MATCH(F28,'Test 6'!C$5:C$9,0)&gt;0,"RP"),"NON-RP")</f>
        <v>NON-RP</v>
      </c>
    </row>
    <row r="29" spans="2:22" x14ac:dyDescent="0.5">
      <c r="B29" s="30">
        <v>25</v>
      </c>
      <c r="C29" s="30" t="s">
        <v>101</v>
      </c>
      <c r="D29" s="31">
        <v>202125</v>
      </c>
      <c r="E29" s="30" t="s">
        <v>102</v>
      </c>
      <c r="F29" s="53" t="s">
        <v>103</v>
      </c>
      <c r="G29" s="32">
        <v>43956</v>
      </c>
      <c r="H29" s="33">
        <v>0.57611492803869324</v>
      </c>
      <c r="I29" s="30" t="s">
        <v>96</v>
      </c>
      <c r="J29" s="34">
        <v>265850</v>
      </c>
      <c r="K29" s="35" t="s">
        <v>17</v>
      </c>
      <c r="L29" s="36">
        <v>47853</v>
      </c>
      <c r="M29" s="30" t="s">
        <v>23</v>
      </c>
      <c r="N29" s="30" t="s">
        <v>24</v>
      </c>
      <c r="O29" s="30" t="s">
        <v>1542</v>
      </c>
      <c r="P29" s="30" t="s">
        <v>1542</v>
      </c>
      <c r="Q29" s="30" t="str">
        <f>VLOOKUP(WEEKDAY(G29),Key!$B$3:$C$9,2,0)</f>
        <v>Tuesday</v>
      </c>
      <c r="R29" s="42" t="str">
        <f t="shared" si="0"/>
        <v>Within</v>
      </c>
      <c r="S29" s="41" t="str">
        <f t="shared" si="1"/>
        <v>Pass</v>
      </c>
      <c r="T29" s="30" t="str">
        <f t="shared" si="2"/>
        <v>FY 20-21</v>
      </c>
      <c r="U29" s="30" t="str">
        <f>VLOOKUP(MONTH(G29),Key!$F$3:$G$14,2,0)</f>
        <v>May</v>
      </c>
      <c r="V29" s="30" t="str">
        <f>IFERROR(IF(MATCH(F29,'Test 6'!C$5:C$9,0)&gt;0,"RP"),"NON-RP")</f>
        <v>NON-RP</v>
      </c>
    </row>
    <row r="30" spans="2:22" x14ac:dyDescent="0.5">
      <c r="B30" s="30">
        <v>26</v>
      </c>
      <c r="C30" s="30" t="s">
        <v>104</v>
      </c>
      <c r="D30" s="31">
        <v>202126</v>
      </c>
      <c r="E30" s="30" t="s">
        <v>105</v>
      </c>
      <c r="F30" s="53" t="s">
        <v>87</v>
      </c>
      <c r="G30" s="32">
        <v>43957</v>
      </c>
      <c r="H30" s="33">
        <v>0.55347058393711501</v>
      </c>
      <c r="I30" s="30" t="s">
        <v>96</v>
      </c>
      <c r="J30" s="34">
        <v>23290</v>
      </c>
      <c r="K30" s="35" t="s">
        <v>17</v>
      </c>
      <c r="L30" s="36">
        <v>4192.2</v>
      </c>
      <c r="M30" s="30" t="s">
        <v>106</v>
      </c>
      <c r="N30" s="30" t="s">
        <v>23</v>
      </c>
      <c r="O30" s="30" t="s">
        <v>1542</v>
      </c>
      <c r="P30" s="30" t="s">
        <v>1542</v>
      </c>
      <c r="Q30" s="30" t="str">
        <f>VLOOKUP(WEEKDAY(G30),Key!$B$3:$C$9,2,0)</f>
        <v>Wednesday</v>
      </c>
      <c r="R30" s="42" t="str">
        <f t="shared" si="0"/>
        <v>Within</v>
      </c>
      <c r="S30" s="41" t="str">
        <f t="shared" si="1"/>
        <v>Pass</v>
      </c>
      <c r="T30" s="30" t="str">
        <f t="shared" si="2"/>
        <v>FY 20-21</v>
      </c>
      <c r="U30" s="30" t="str">
        <f>VLOOKUP(MONTH(G30),Key!$F$3:$G$14,2,0)</f>
        <v>May</v>
      </c>
      <c r="V30" s="30" t="str">
        <f>IFERROR(IF(MATCH(F30,'Test 6'!C$5:C$9,0)&gt;0,"RP"),"NON-RP")</f>
        <v>NON-RP</v>
      </c>
    </row>
    <row r="31" spans="2:22" x14ac:dyDescent="0.5">
      <c r="B31" s="30">
        <v>27</v>
      </c>
      <c r="C31" s="30" t="s">
        <v>107</v>
      </c>
      <c r="D31" s="31">
        <v>202127</v>
      </c>
      <c r="E31" s="30" t="s">
        <v>108</v>
      </c>
      <c r="F31" s="53" t="s">
        <v>45</v>
      </c>
      <c r="G31" s="32">
        <v>43958</v>
      </c>
      <c r="H31" s="33">
        <v>0.71683742729684274</v>
      </c>
      <c r="I31" s="30" t="s">
        <v>96</v>
      </c>
      <c r="J31" s="34">
        <v>432790</v>
      </c>
      <c r="K31" s="35" t="s">
        <v>17</v>
      </c>
      <c r="L31" s="36">
        <v>77902.2</v>
      </c>
      <c r="M31" s="30" t="s">
        <v>46</v>
      </c>
      <c r="N31" s="30" t="s">
        <v>19</v>
      </c>
      <c r="O31" s="30" t="s">
        <v>1542</v>
      </c>
      <c r="P31" s="30" t="s">
        <v>1542</v>
      </c>
      <c r="Q31" s="30" t="str">
        <f>VLOOKUP(WEEKDAY(G31),Key!$B$3:$C$9,2,0)</f>
        <v>Thursday</v>
      </c>
      <c r="R31" s="42" t="str">
        <f t="shared" si="0"/>
        <v>Within</v>
      </c>
      <c r="S31" s="41" t="str">
        <f t="shared" si="1"/>
        <v>Pass</v>
      </c>
      <c r="T31" s="30" t="str">
        <f t="shared" si="2"/>
        <v>FY 20-21</v>
      </c>
      <c r="U31" s="30" t="str">
        <f>VLOOKUP(MONTH(G31),Key!$F$3:$G$14,2,0)</f>
        <v>May</v>
      </c>
      <c r="V31" s="30" t="str">
        <f>IFERROR(IF(MATCH(F31,'Test 6'!C$5:C$9,0)&gt;0,"RP"),"NON-RP")</f>
        <v>NON-RP</v>
      </c>
    </row>
    <row r="32" spans="2:22" x14ac:dyDescent="0.5">
      <c r="B32" s="30">
        <v>28</v>
      </c>
      <c r="C32" s="30" t="s">
        <v>109</v>
      </c>
      <c r="D32" s="31">
        <v>202128</v>
      </c>
      <c r="E32" s="30" t="s">
        <v>110</v>
      </c>
      <c r="F32" s="53" t="s">
        <v>111</v>
      </c>
      <c r="G32" s="32">
        <v>43958</v>
      </c>
      <c r="H32" s="33">
        <v>0.58930592334255982</v>
      </c>
      <c r="I32" s="30" t="s">
        <v>96</v>
      </c>
      <c r="J32" s="34">
        <v>4762260</v>
      </c>
      <c r="K32" s="35" t="s">
        <v>17</v>
      </c>
      <c r="L32" s="36">
        <v>857206.79999999993</v>
      </c>
      <c r="M32" s="30" t="s">
        <v>41</v>
      </c>
      <c r="N32" s="30" t="s">
        <v>42</v>
      </c>
      <c r="O32" s="30" t="s">
        <v>1542</v>
      </c>
      <c r="P32" s="30" t="s">
        <v>1542</v>
      </c>
      <c r="Q32" s="30" t="str">
        <f>VLOOKUP(WEEKDAY(G32),Key!$B$3:$C$9,2,0)</f>
        <v>Thursday</v>
      </c>
      <c r="R32" s="42" t="str">
        <f t="shared" si="0"/>
        <v>Within</v>
      </c>
      <c r="S32" s="41" t="str">
        <f t="shared" si="1"/>
        <v>Pass</v>
      </c>
      <c r="T32" s="30" t="str">
        <f t="shared" si="2"/>
        <v>FY 20-21</v>
      </c>
      <c r="U32" s="30" t="str">
        <f>VLOOKUP(MONTH(G32),Key!$F$3:$G$14,2,0)</f>
        <v>May</v>
      </c>
      <c r="V32" s="30" t="str">
        <f>IFERROR(IF(MATCH(F32,'Test 6'!C$5:C$9,0)&gt;0,"RP"),"NON-RP")</f>
        <v>RP</v>
      </c>
    </row>
    <row r="33" spans="2:22" x14ac:dyDescent="0.5">
      <c r="B33" s="30">
        <v>29</v>
      </c>
      <c r="C33" s="30" t="s">
        <v>112</v>
      </c>
      <c r="D33" s="31">
        <v>202129</v>
      </c>
      <c r="E33" s="30" t="s">
        <v>113</v>
      </c>
      <c r="F33" s="53" t="s">
        <v>114</v>
      </c>
      <c r="G33" s="32">
        <v>43960</v>
      </c>
      <c r="H33" s="33">
        <v>0.48577717763513395</v>
      </c>
      <c r="I33" s="30" t="s">
        <v>16</v>
      </c>
      <c r="J33" s="34">
        <v>311700</v>
      </c>
      <c r="K33" s="35" t="s">
        <v>17</v>
      </c>
      <c r="L33" s="36">
        <v>56106</v>
      </c>
      <c r="M33" s="30" t="s">
        <v>28</v>
      </c>
      <c r="N33" s="30" t="s">
        <v>47</v>
      </c>
      <c r="O33" s="30" t="s">
        <v>1542</v>
      </c>
      <c r="P33" s="30" t="s">
        <v>1542</v>
      </c>
      <c r="Q33" s="30" t="str">
        <f>VLOOKUP(WEEKDAY(G33),Key!$B$3:$C$9,2,0)</f>
        <v>Saturday</v>
      </c>
      <c r="R33" s="42" t="str">
        <f t="shared" si="0"/>
        <v>Within</v>
      </c>
      <c r="S33" s="41" t="str">
        <f t="shared" si="1"/>
        <v>Pass</v>
      </c>
      <c r="T33" s="30" t="str">
        <f t="shared" si="2"/>
        <v>FY 20-21</v>
      </c>
      <c r="U33" s="30" t="str">
        <f>VLOOKUP(MONTH(G33),Key!$F$3:$G$14,2,0)</f>
        <v>May</v>
      </c>
      <c r="V33" s="30" t="str">
        <f>IFERROR(IF(MATCH(F33,'Test 6'!C$5:C$9,0)&gt;0,"RP"),"NON-RP")</f>
        <v>NON-RP</v>
      </c>
    </row>
    <row r="34" spans="2:22" x14ac:dyDescent="0.5">
      <c r="B34" s="30">
        <v>30</v>
      </c>
      <c r="C34" s="30" t="s">
        <v>115</v>
      </c>
      <c r="D34" s="31">
        <v>202130</v>
      </c>
      <c r="E34" s="30" t="s">
        <v>116</v>
      </c>
      <c r="F34" s="53" t="s">
        <v>114</v>
      </c>
      <c r="G34" s="32">
        <v>43962</v>
      </c>
      <c r="H34" s="33">
        <v>0.51890303184646303</v>
      </c>
      <c r="I34" s="30" t="s">
        <v>96</v>
      </c>
      <c r="J34" s="34">
        <v>209420</v>
      </c>
      <c r="K34" s="35" t="s">
        <v>17</v>
      </c>
      <c r="L34" s="36">
        <v>37695.599999999999</v>
      </c>
      <c r="M34" s="30" t="s">
        <v>32</v>
      </c>
      <c r="N34" s="30" t="s">
        <v>24</v>
      </c>
      <c r="O34" s="30" t="s">
        <v>1542</v>
      </c>
      <c r="P34" s="30" t="s">
        <v>1542</v>
      </c>
      <c r="Q34" s="30" t="str">
        <f>VLOOKUP(WEEKDAY(G34),Key!$B$3:$C$9,2,0)</f>
        <v>Monday</v>
      </c>
      <c r="R34" s="42" t="str">
        <f t="shared" si="0"/>
        <v>Within</v>
      </c>
      <c r="S34" s="41" t="str">
        <f t="shared" si="1"/>
        <v>Pass</v>
      </c>
      <c r="T34" s="30" t="str">
        <f t="shared" si="2"/>
        <v>FY 20-21</v>
      </c>
      <c r="U34" s="30" t="str">
        <f>VLOOKUP(MONTH(G34),Key!$F$3:$G$14,2,0)</f>
        <v>May</v>
      </c>
      <c r="V34" s="30" t="str">
        <f>IFERROR(IF(MATCH(F34,'Test 6'!C$5:C$9,0)&gt;0,"RP"),"NON-RP")</f>
        <v>NON-RP</v>
      </c>
    </row>
    <row r="35" spans="2:22" x14ac:dyDescent="0.5">
      <c r="B35" s="30">
        <v>31</v>
      </c>
      <c r="C35" s="30" t="s">
        <v>117</v>
      </c>
      <c r="D35" s="31">
        <v>202131</v>
      </c>
      <c r="E35" s="30" t="s">
        <v>118</v>
      </c>
      <c r="F35" s="53" t="s">
        <v>119</v>
      </c>
      <c r="G35" s="32">
        <v>43962</v>
      </c>
      <c r="H35" s="33">
        <v>0.47558161028650325</v>
      </c>
      <c r="I35" s="30" t="s">
        <v>96</v>
      </c>
      <c r="J35" s="34">
        <v>225520</v>
      </c>
      <c r="K35" s="35" t="s">
        <v>17</v>
      </c>
      <c r="L35" s="36">
        <v>40593.599999999999</v>
      </c>
      <c r="M35" s="30" t="s">
        <v>46</v>
      </c>
      <c r="N35" s="30" t="s">
        <v>24</v>
      </c>
      <c r="O35" s="30" t="s">
        <v>1542</v>
      </c>
      <c r="P35" s="30" t="s">
        <v>1542</v>
      </c>
      <c r="Q35" s="30" t="str">
        <f>VLOOKUP(WEEKDAY(G35),Key!$B$3:$C$9,2,0)</f>
        <v>Monday</v>
      </c>
      <c r="R35" s="42" t="str">
        <f t="shared" si="0"/>
        <v>Within</v>
      </c>
      <c r="S35" s="41" t="str">
        <f t="shared" si="1"/>
        <v>Pass</v>
      </c>
      <c r="T35" s="30" t="str">
        <f t="shared" si="2"/>
        <v>FY 20-21</v>
      </c>
      <c r="U35" s="30" t="str">
        <f>VLOOKUP(MONTH(G35),Key!$F$3:$G$14,2,0)</f>
        <v>May</v>
      </c>
      <c r="V35" s="30" t="str">
        <f>IFERROR(IF(MATCH(F35,'Test 6'!C$5:C$9,0)&gt;0,"RP"),"NON-RP")</f>
        <v>NON-RP</v>
      </c>
    </row>
    <row r="36" spans="2:22" x14ac:dyDescent="0.5">
      <c r="B36" s="30">
        <v>32</v>
      </c>
      <c r="C36" s="30" t="s">
        <v>120</v>
      </c>
      <c r="D36" s="31">
        <v>202132</v>
      </c>
      <c r="E36" s="30" t="s">
        <v>121</v>
      </c>
      <c r="F36" s="53" t="s">
        <v>122</v>
      </c>
      <c r="G36" s="32">
        <v>43962</v>
      </c>
      <c r="H36" s="33">
        <v>0.43291625898182901</v>
      </c>
      <c r="I36" s="30" t="s">
        <v>96</v>
      </c>
      <c r="J36" s="34">
        <v>480420</v>
      </c>
      <c r="K36" s="35" t="s">
        <v>17</v>
      </c>
      <c r="L36" s="36">
        <v>86475.599999999991</v>
      </c>
      <c r="M36" s="30" t="s">
        <v>18</v>
      </c>
      <c r="N36" s="30" t="s">
        <v>24</v>
      </c>
      <c r="O36" s="30" t="s">
        <v>1542</v>
      </c>
      <c r="P36" s="30" t="s">
        <v>1542</v>
      </c>
      <c r="Q36" s="30" t="str">
        <f>VLOOKUP(WEEKDAY(G36),Key!$B$3:$C$9,2,0)</f>
        <v>Monday</v>
      </c>
      <c r="R36" s="42" t="str">
        <f t="shared" si="0"/>
        <v>Within</v>
      </c>
      <c r="S36" s="41" t="str">
        <f t="shared" si="1"/>
        <v>Pass</v>
      </c>
      <c r="T36" s="30" t="str">
        <f t="shared" si="2"/>
        <v>FY 20-21</v>
      </c>
      <c r="U36" s="30" t="str">
        <f>VLOOKUP(MONTH(G36),Key!$F$3:$G$14,2,0)</f>
        <v>May</v>
      </c>
      <c r="V36" s="30" t="str">
        <f>IFERROR(IF(MATCH(F36,'Test 6'!C$5:C$9,0)&gt;0,"RP"),"NON-RP")</f>
        <v>NON-RP</v>
      </c>
    </row>
    <row r="37" spans="2:22" x14ac:dyDescent="0.5">
      <c r="B37" s="30">
        <v>33</v>
      </c>
      <c r="C37" s="30" t="s">
        <v>123</v>
      </c>
      <c r="D37" s="31">
        <v>202133</v>
      </c>
      <c r="E37" s="30" t="s">
        <v>124</v>
      </c>
      <c r="F37" s="53" t="s">
        <v>125</v>
      </c>
      <c r="G37" s="32">
        <v>43965</v>
      </c>
      <c r="H37" s="33">
        <v>0.70786999217716295</v>
      </c>
      <c r="I37" s="30" t="s">
        <v>96</v>
      </c>
      <c r="J37" s="34">
        <v>349080</v>
      </c>
      <c r="K37" s="35" t="s">
        <v>17</v>
      </c>
      <c r="L37" s="36">
        <v>62834.399999999994</v>
      </c>
      <c r="M37" s="30" t="s">
        <v>28</v>
      </c>
      <c r="N37" s="30" t="s">
        <v>24</v>
      </c>
      <c r="O37" s="30" t="s">
        <v>1542</v>
      </c>
      <c r="P37" s="30" t="s">
        <v>1542</v>
      </c>
      <c r="Q37" s="30" t="str">
        <f>VLOOKUP(WEEKDAY(G37),Key!$B$3:$C$9,2,0)</f>
        <v>Thursday</v>
      </c>
      <c r="R37" s="42" t="str">
        <f t="shared" si="0"/>
        <v>Within</v>
      </c>
      <c r="S37" s="41" t="str">
        <f t="shared" si="1"/>
        <v>Pass</v>
      </c>
      <c r="T37" s="30" t="str">
        <f t="shared" si="2"/>
        <v>FY 20-21</v>
      </c>
      <c r="U37" s="30" t="str">
        <f>VLOOKUP(MONTH(G37),Key!$F$3:$G$14,2,0)</f>
        <v>May</v>
      </c>
      <c r="V37" s="30" t="str">
        <f>IFERROR(IF(MATCH(F37,'Test 6'!C$5:C$9,0)&gt;0,"RP"),"NON-RP")</f>
        <v>NON-RP</v>
      </c>
    </row>
    <row r="38" spans="2:22" x14ac:dyDescent="0.5">
      <c r="B38" s="30">
        <v>34</v>
      </c>
      <c r="C38" s="30" t="s">
        <v>126</v>
      </c>
      <c r="D38" s="31">
        <v>202134</v>
      </c>
      <c r="E38" s="30" t="s">
        <v>127</v>
      </c>
      <c r="F38" s="53" t="s">
        <v>128</v>
      </c>
      <c r="G38" s="32">
        <v>43966</v>
      </c>
      <c r="H38" s="33">
        <v>0.52366777365291473</v>
      </c>
      <c r="I38" s="30" t="s">
        <v>96</v>
      </c>
      <c r="J38" s="34">
        <v>309420</v>
      </c>
      <c r="K38" s="35" t="s">
        <v>17</v>
      </c>
      <c r="L38" s="36">
        <v>55695.6</v>
      </c>
      <c r="M38" s="30" t="s">
        <v>46</v>
      </c>
      <c r="N38" s="30" t="s">
        <v>47</v>
      </c>
      <c r="O38" s="30" t="s">
        <v>1542</v>
      </c>
      <c r="P38" s="30" t="s">
        <v>1542</v>
      </c>
      <c r="Q38" s="30" t="str">
        <f>VLOOKUP(WEEKDAY(G38),Key!$B$3:$C$9,2,0)</f>
        <v>Friday</v>
      </c>
      <c r="R38" s="42" t="str">
        <f t="shared" si="0"/>
        <v>Within</v>
      </c>
      <c r="S38" s="41" t="str">
        <f t="shared" si="1"/>
        <v>Pass</v>
      </c>
      <c r="T38" s="30" t="str">
        <f t="shared" si="2"/>
        <v>FY 20-21</v>
      </c>
      <c r="U38" s="30" t="str">
        <f>VLOOKUP(MONTH(G38),Key!$F$3:$G$14,2,0)</f>
        <v>May</v>
      </c>
      <c r="V38" s="30" t="str">
        <f>IFERROR(IF(MATCH(F38,'Test 6'!C$5:C$9,0)&gt;0,"RP"),"NON-RP")</f>
        <v>NON-RP</v>
      </c>
    </row>
    <row r="39" spans="2:22" x14ac:dyDescent="0.5">
      <c r="B39" s="30">
        <v>35</v>
      </c>
      <c r="C39" s="30" t="s">
        <v>129</v>
      </c>
      <c r="D39" s="31">
        <v>202135</v>
      </c>
      <c r="E39" s="30" t="s">
        <v>130</v>
      </c>
      <c r="F39" s="53" t="s">
        <v>131</v>
      </c>
      <c r="G39" s="32">
        <v>43969</v>
      </c>
      <c r="H39" s="33">
        <v>0.44198106159020423</v>
      </c>
      <c r="I39" s="30" t="s">
        <v>96</v>
      </c>
      <c r="J39" s="34">
        <v>431890</v>
      </c>
      <c r="K39" s="35" t="s">
        <v>17</v>
      </c>
      <c r="L39" s="36">
        <v>77740.2</v>
      </c>
      <c r="M39" s="30" t="s">
        <v>46</v>
      </c>
      <c r="N39" s="30" t="s">
        <v>24</v>
      </c>
      <c r="O39" s="30" t="s">
        <v>1542</v>
      </c>
      <c r="P39" s="30" t="s">
        <v>1542</v>
      </c>
      <c r="Q39" s="30" t="str">
        <f>VLOOKUP(WEEKDAY(G39),Key!$B$3:$C$9,2,0)</f>
        <v>Monday</v>
      </c>
      <c r="R39" s="42" t="str">
        <f t="shared" si="0"/>
        <v>Within</v>
      </c>
      <c r="S39" s="41" t="str">
        <f t="shared" si="1"/>
        <v>Pass</v>
      </c>
      <c r="T39" s="30" t="str">
        <f t="shared" si="2"/>
        <v>FY 20-21</v>
      </c>
      <c r="U39" s="30" t="str">
        <f>VLOOKUP(MONTH(G39),Key!$F$3:$G$14,2,0)</f>
        <v>May</v>
      </c>
      <c r="V39" s="30" t="str">
        <f>IFERROR(IF(MATCH(F39,'Test 6'!C$5:C$9,0)&gt;0,"RP"),"NON-RP")</f>
        <v>NON-RP</v>
      </c>
    </row>
    <row r="40" spans="2:22" x14ac:dyDescent="0.5">
      <c r="B40" s="30">
        <v>36</v>
      </c>
      <c r="C40" s="30" t="s">
        <v>132</v>
      </c>
      <c r="D40" s="31">
        <v>202136</v>
      </c>
      <c r="E40" s="30" t="s">
        <v>133</v>
      </c>
      <c r="F40" s="53" t="s">
        <v>114</v>
      </c>
      <c r="G40" s="32">
        <v>43970</v>
      </c>
      <c r="H40" s="33">
        <v>0.47321685306916972</v>
      </c>
      <c r="I40" s="30" t="s">
        <v>96</v>
      </c>
      <c r="J40" s="34">
        <v>21840</v>
      </c>
      <c r="K40" s="35" t="s">
        <v>17</v>
      </c>
      <c r="L40" s="36">
        <v>3931.2</v>
      </c>
      <c r="M40" s="30" t="s">
        <v>134</v>
      </c>
      <c r="N40" s="30" t="s">
        <v>61</v>
      </c>
      <c r="O40" s="30" t="s">
        <v>1542</v>
      </c>
      <c r="P40" s="30" t="s">
        <v>1542</v>
      </c>
      <c r="Q40" s="30" t="str">
        <f>VLOOKUP(WEEKDAY(G40),Key!$B$3:$C$9,2,0)</f>
        <v>Tuesday</v>
      </c>
      <c r="R40" s="42" t="str">
        <f t="shared" si="0"/>
        <v>Within</v>
      </c>
      <c r="S40" s="41" t="str">
        <f t="shared" si="1"/>
        <v>Pass</v>
      </c>
      <c r="T40" s="30" t="str">
        <f t="shared" si="2"/>
        <v>FY 20-21</v>
      </c>
      <c r="U40" s="30" t="str">
        <f>VLOOKUP(MONTH(G40),Key!$F$3:$G$14,2,0)</f>
        <v>May</v>
      </c>
      <c r="V40" s="30" t="str">
        <f>IFERROR(IF(MATCH(F40,'Test 6'!C$5:C$9,0)&gt;0,"RP"),"NON-RP")</f>
        <v>NON-RP</v>
      </c>
    </row>
    <row r="41" spans="2:22" x14ac:dyDescent="0.5">
      <c r="B41" s="30">
        <v>37</v>
      </c>
      <c r="C41" s="30" t="s">
        <v>135</v>
      </c>
      <c r="D41" s="31">
        <v>202137</v>
      </c>
      <c r="E41" s="30" t="s">
        <v>136</v>
      </c>
      <c r="F41" s="53" t="s">
        <v>114</v>
      </c>
      <c r="G41" s="32">
        <v>43970</v>
      </c>
      <c r="H41" s="33">
        <v>0.73629727617510654</v>
      </c>
      <c r="I41" s="30" t="s">
        <v>16</v>
      </c>
      <c r="J41" s="34">
        <v>27450</v>
      </c>
      <c r="K41" s="35" t="s">
        <v>17</v>
      </c>
      <c r="L41" s="36">
        <v>4941</v>
      </c>
      <c r="M41" s="30" t="s">
        <v>106</v>
      </c>
      <c r="N41" s="30" t="s">
        <v>46</v>
      </c>
      <c r="O41" s="30" t="s">
        <v>1542</v>
      </c>
      <c r="P41" s="30" t="s">
        <v>1542</v>
      </c>
      <c r="Q41" s="30" t="str">
        <f>VLOOKUP(WEEKDAY(G41),Key!$B$3:$C$9,2,0)</f>
        <v>Tuesday</v>
      </c>
      <c r="R41" s="42" t="str">
        <f t="shared" si="0"/>
        <v>Within</v>
      </c>
      <c r="S41" s="41" t="str">
        <f t="shared" si="1"/>
        <v>Pass</v>
      </c>
      <c r="T41" s="30" t="str">
        <f t="shared" si="2"/>
        <v>FY 20-21</v>
      </c>
      <c r="U41" s="30" t="str">
        <f>VLOOKUP(MONTH(G41),Key!$F$3:$G$14,2,0)</f>
        <v>May</v>
      </c>
      <c r="V41" s="30" t="str">
        <f>IFERROR(IF(MATCH(F41,'Test 6'!C$5:C$9,0)&gt;0,"RP"),"NON-RP")</f>
        <v>NON-RP</v>
      </c>
    </row>
    <row r="42" spans="2:22" x14ac:dyDescent="0.5">
      <c r="B42" s="30">
        <v>38</v>
      </c>
      <c r="C42" s="30" t="s">
        <v>137</v>
      </c>
      <c r="D42" s="31">
        <v>202138</v>
      </c>
      <c r="E42" s="30" t="s">
        <v>138</v>
      </c>
      <c r="F42" s="53" t="s">
        <v>54</v>
      </c>
      <c r="G42" s="32">
        <v>43973</v>
      </c>
      <c r="H42" s="33">
        <v>0.63649219899886245</v>
      </c>
      <c r="I42" s="30" t="s">
        <v>96</v>
      </c>
      <c r="J42" s="34">
        <v>440720</v>
      </c>
      <c r="K42" s="35" t="s">
        <v>17</v>
      </c>
      <c r="L42" s="36">
        <v>79329.599999999991</v>
      </c>
      <c r="M42" s="30" t="s">
        <v>18</v>
      </c>
      <c r="N42" s="30" t="s">
        <v>47</v>
      </c>
      <c r="O42" s="30" t="s">
        <v>1542</v>
      </c>
      <c r="P42" s="30" t="s">
        <v>1542</v>
      </c>
      <c r="Q42" s="30" t="str">
        <f>VLOOKUP(WEEKDAY(G42),Key!$B$3:$C$9,2,0)</f>
        <v>Friday</v>
      </c>
      <c r="R42" s="42" t="str">
        <f t="shared" si="0"/>
        <v>Within</v>
      </c>
      <c r="S42" s="41" t="str">
        <f t="shared" si="1"/>
        <v>Pass</v>
      </c>
      <c r="T42" s="30" t="str">
        <f t="shared" si="2"/>
        <v>FY 20-21</v>
      </c>
      <c r="U42" s="30" t="str">
        <f>VLOOKUP(MONTH(G42),Key!$F$3:$G$14,2,0)</f>
        <v>May</v>
      </c>
      <c r="V42" s="30" t="str">
        <f>IFERROR(IF(MATCH(F42,'Test 6'!C$5:C$9,0)&gt;0,"RP"),"NON-RP")</f>
        <v>NON-RP</v>
      </c>
    </row>
    <row r="43" spans="2:22" x14ac:dyDescent="0.5">
      <c r="B43" s="30">
        <v>39</v>
      </c>
      <c r="C43" s="30" t="s">
        <v>139</v>
      </c>
      <c r="D43" s="31">
        <v>202139</v>
      </c>
      <c r="E43" s="30" t="s">
        <v>140</v>
      </c>
      <c r="F43" s="53" t="s">
        <v>64</v>
      </c>
      <c r="G43" s="32">
        <v>43973</v>
      </c>
      <c r="H43" s="33">
        <v>0.51208338721601876</v>
      </c>
      <c r="I43" s="30" t="s">
        <v>16</v>
      </c>
      <c r="J43" s="34">
        <v>294900</v>
      </c>
      <c r="K43" s="35" t="s">
        <v>17</v>
      </c>
      <c r="L43" s="36">
        <v>53082</v>
      </c>
      <c r="M43" s="30" t="s">
        <v>23</v>
      </c>
      <c r="N43" s="30" t="s">
        <v>47</v>
      </c>
      <c r="O43" s="30" t="s">
        <v>1542</v>
      </c>
      <c r="P43" s="30" t="s">
        <v>1542</v>
      </c>
      <c r="Q43" s="30" t="str">
        <f>VLOOKUP(WEEKDAY(G43),Key!$B$3:$C$9,2,0)</f>
        <v>Friday</v>
      </c>
      <c r="R43" s="42" t="str">
        <f t="shared" si="0"/>
        <v>Within</v>
      </c>
      <c r="S43" s="41" t="str">
        <f t="shared" si="1"/>
        <v>Pass</v>
      </c>
      <c r="T43" s="30" t="str">
        <f t="shared" si="2"/>
        <v>FY 20-21</v>
      </c>
      <c r="U43" s="30" t="str">
        <f>VLOOKUP(MONTH(G43),Key!$F$3:$G$14,2,0)</f>
        <v>May</v>
      </c>
      <c r="V43" s="30" t="str">
        <f>IFERROR(IF(MATCH(F43,'Test 6'!C$5:C$9,0)&gt;0,"RP"),"NON-RP")</f>
        <v>NON-RP</v>
      </c>
    </row>
    <row r="44" spans="2:22" x14ac:dyDescent="0.5">
      <c r="B44" s="30">
        <v>40</v>
      </c>
      <c r="C44" s="30" t="s">
        <v>141</v>
      </c>
      <c r="D44" s="31">
        <v>202140</v>
      </c>
      <c r="E44" s="30" t="s">
        <v>142</v>
      </c>
      <c r="F44" s="53" t="s">
        <v>143</v>
      </c>
      <c r="G44" s="32">
        <v>43974</v>
      </c>
      <c r="H44" s="33">
        <v>0.72450431844811014</v>
      </c>
      <c r="I44" s="30" t="s">
        <v>96</v>
      </c>
      <c r="J44" s="34">
        <v>5778120</v>
      </c>
      <c r="K44" s="35" t="s">
        <v>17</v>
      </c>
      <c r="L44" s="36">
        <v>1040061.6</v>
      </c>
      <c r="M44" s="30" t="s">
        <v>41</v>
      </c>
      <c r="N44" s="30" t="s">
        <v>42</v>
      </c>
      <c r="O44" s="30" t="s">
        <v>1575</v>
      </c>
      <c r="P44" s="30" t="s">
        <v>1576</v>
      </c>
      <c r="Q44" s="30" t="str">
        <f>VLOOKUP(WEEKDAY(G44),Key!$B$3:$C$9,2,0)</f>
        <v>Saturday</v>
      </c>
      <c r="R44" s="42" t="str">
        <f t="shared" si="0"/>
        <v>Within</v>
      </c>
      <c r="S44" s="41" t="str">
        <f t="shared" si="1"/>
        <v>Pass</v>
      </c>
      <c r="T44" s="30" t="str">
        <f t="shared" si="2"/>
        <v>FY 20-21</v>
      </c>
      <c r="U44" s="30" t="str">
        <f>VLOOKUP(MONTH(G44),Key!$F$3:$G$14,2,0)</f>
        <v>May</v>
      </c>
      <c r="V44" s="30" t="str">
        <f>IFERROR(IF(MATCH(F44,'Test 6'!C$5:C$9,0)&gt;0,"RP"),"NON-RP")</f>
        <v>NON-RP</v>
      </c>
    </row>
    <row r="45" spans="2:22" x14ac:dyDescent="0.5">
      <c r="B45" s="30">
        <v>41</v>
      </c>
      <c r="C45" s="30" t="s">
        <v>145</v>
      </c>
      <c r="D45" s="31">
        <v>202141</v>
      </c>
      <c r="E45" s="30" t="s">
        <v>146</v>
      </c>
      <c r="F45" s="53" t="s">
        <v>54</v>
      </c>
      <c r="G45" s="32">
        <v>43976</v>
      </c>
      <c r="H45" s="33">
        <v>0.70892228814708402</v>
      </c>
      <c r="I45" s="30" t="s">
        <v>96</v>
      </c>
      <c r="J45" s="34">
        <v>401950</v>
      </c>
      <c r="K45" s="35" t="s">
        <v>17</v>
      </c>
      <c r="L45" s="36">
        <v>72351</v>
      </c>
      <c r="M45" s="30" t="s">
        <v>46</v>
      </c>
      <c r="N45" s="30" t="s">
        <v>51</v>
      </c>
      <c r="O45" s="30" t="s">
        <v>1542</v>
      </c>
      <c r="P45" s="30" t="s">
        <v>1542</v>
      </c>
      <c r="Q45" s="30" t="str">
        <f>VLOOKUP(WEEKDAY(G45),Key!$B$3:$C$9,2,0)</f>
        <v>Monday</v>
      </c>
      <c r="R45" s="42" t="str">
        <f t="shared" si="0"/>
        <v>Within</v>
      </c>
      <c r="S45" s="41" t="str">
        <f t="shared" si="1"/>
        <v>Pass</v>
      </c>
      <c r="T45" s="30" t="str">
        <f t="shared" si="2"/>
        <v>FY 20-21</v>
      </c>
      <c r="U45" s="30" t="str">
        <f>VLOOKUP(MONTH(G45),Key!$F$3:$G$14,2,0)</f>
        <v>May</v>
      </c>
      <c r="V45" s="30" t="str">
        <f>IFERROR(IF(MATCH(F45,'Test 6'!C$5:C$9,0)&gt;0,"RP"),"NON-RP")</f>
        <v>NON-RP</v>
      </c>
    </row>
    <row r="46" spans="2:22" x14ac:dyDescent="0.5">
      <c r="B46" s="30">
        <v>42</v>
      </c>
      <c r="C46" s="30" t="s">
        <v>147</v>
      </c>
      <c r="D46" s="31">
        <v>202142</v>
      </c>
      <c r="E46" s="30" t="s">
        <v>148</v>
      </c>
      <c r="F46" s="53" t="s">
        <v>27</v>
      </c>
      <c r="G46" s="32">
        <v>43979</v>
      </c>
      <c r="H46" s="33">
        <v>0.68438976315237121</v>
      </c>
      <c r="I46" s="30" t="s">
        <v>96</v>
      </c>
      <c r="J46" s="34">
        <v>429800</v>
      </c>
      <c r="K46" s="35" t="s">
        <v>17</v>
      </c>
      <c r="L46" s="36">
        <v>77364</v>
      </c>
      <c r="M46" s="30" t="s">
        <v>32</v>
      </c>
      <c r="N46" s="30" t="s">
        <v>51</v>
      </c>
      <c r="O46" s="30" t="s">
        <v>1542</v>
      </c>
      <c r="P46" s="30" t="s">
        <v>1542</v>
      </c>
      <c r="Q46" s="30" t="str">
        <f>VLOOKUP(WEEKDAY(G46),Key!$B$3:$C$9,2,0)</f>
        <v>Thursday</v>
      </c>
      <c r="R46" s="42" t="str">
        <f t="shared" si="0"/>
        <v>Within</v>
      </c>
      <c r="S46" s="41" t="str">
        <f t="shared" si="1"/>
        <v>Pass</v>
      </c>
      <c r="T46" s="30" t="str">
        <f t="shared" si="2"/>
        <v>FY 20-21</v>
      </c>
      <c r="U46" s="30" t="str">
        <f>VLOOKUP(MONTH(G46),Key!$F$3:$G$14,2,0)</f>
        <v>May</v>
      </c>
      <c r="V46" s="30" t="str">
        <f>IFERROR(IF(MATCH(F46,'Test 6'!C$5:C$9,0)&gt;0,"RP"),"NON-RP")</f>
        <v>NON-RP</v>
      </c>
    </row>
    <row r="47" spans="2:22" x14ac:dyDescent="0.5">
      <c r="B47" s="30">
        <v>43</v>
      </c>
      <c r="C47" s="30" t="s">
        <v>149</v>
      </c>
      <c r="D47" s="31">
        <v>202143</v>
      </c>
      <c r="E47" s="30" t="s">
        <v>150</v>
      </c>
      <c r="F47" s="53" t="s">
        <v>60</v>
      </c>
      <c r="G47" s="32">
        <v>43979</v>
      </c>
      <c r="H47" s="33">
        <v>0.57801181459125239</v>
      </c>
      <c r="I47" s="30" t="s">
        <v>96</v>
      </c>
      <c r="J47" s="34">
        <v>463750</v>
      </c>
      <c r="K47" s="35" t="s">
        <v>17</v>
      </c>
      <c r="L47" s="36">
        <v>83475</v>
      </c>
      <c r="M47" s="30" t="s">
        <v>18</v>
      </c>
      <c r="N47" s="30" t="s">
        <v>24</v>
      </c>
      <c r="O47" s="30" t="s">
        <v>1542</v>
      </c>
      <c r="P47" s="30" t="s">
        <v>1542</v>
      </c>
      <c r="Q47" s="30" t="str">
        <f>VLOOKUP(WEEKDAY(G47),Key!$B$3:$C$9,2,0)</f>
        <v>Thursday</v>
      </c>
      <c r="R47" s="42" t="str">
        <f t="shared" si="0"/>
        <v>Within</v>
      </c>
      <c r="S47" s="41" t="str">
        <f t="shared" si="1"/>
        <v>Pass</v>
      </c>
      <c r="T47" s="30" t="str">
        <f t="shared" si="2"/>
        <v>FY 20-21</v>
      </c>
      <c r="U47" s="30" t="str">
        <f>VLOOKUP(MONTH(G47),Key!$F$3:$G$14,2,0)</f>
        <v>May</v>
      </c>
      <c r="V47" s="30" t="str">
        <f>IFERROR(IF(MATCH(F47,'Test 6'!C$5:C$9,0)&gt;0,"RP"),"NON-RP")</f>
        <v>NON-RP</v>
      </c>
    </row>
    <row r="48" spans="2:22" x14ac:dyDescent="0.5">
      <c r="B48" s="30">
        <v>44</v>
      </c>
      <c r="C48" s="30" t="s">
        <v>151</v>
      </c>
      <c r="D48" s="31">
        <v>202144</v>
      </c>
      <c r="E48" s="30" t="s">
        <v>152</v>
      </c>
      <c r="F48" s="53" t="s">
        <v>153</v>
      </c>
      <c r="G48" s="32">
        <v>43979</v>
      </c>
      <c r="H48" s="33">
        <v>0.6136253367085226</v>
      </c>
      <c r="I48" s="30" t="s">
        <v>16</v>
      </c>
      <c r="J48" s="34">
        <v>302650</v>
      </c>
      <c r="K48" s="35" t="s">
        <v>17</v>
      </c>
      <c r="L48" s="36">
        <v>54477</v>
      </c>
      <c r="M48" s="30" t="s">
        <v>61</v>
      </c>
      <c r="N48" s="30" t="s">
        <v>19</v>
      </c>
      <c r="O48" s="30" t="s">
        <v>1542</v>
      </c>
      <c r="P48" s="30" t="s">
        <v>1542</v>
      </c>
      <c r="Q48" s="30" t="str">
        <f>VLOOKUP(WEEKDAY(G48),Key!$B$3:$C$9,2,0)</f>
        <v>Thursday</v>
      </c>
      <c r="R48" s="42" t="str">
        <f t="shared" si="0"/>
        <v>Within</v>
      </c>
      <c r="S48" s="41" t="str">
        <f t="shared" si="1"/>
        <v>Pass</v>
      </c>
      <c r="T48" s="30" t="str">
        <f t="shared" si="2"/>
        <v>FY 20-21</v>
      </c>
      <c r="U48" s="30" t="str">
        <f>VLOOKUP(MONTH(G48),Key!$F$3:$G$14,2,0)</f>
        <v>May</v>
      </c>
      <c r="V48" s="30" t="str">
        <f>IFERROR(IF(MATCH(F48,'Test 6'!C$5:C$9,0)&gt;0,"RP"),"NON-RP")</f>
        <v>NON-RP</v>
      </c>
    </row>
    <row r="49" spans="2:22" x14ac:dyDescent="0.5">
      <c r="B49" s="30">
        <v>45</v>
      </c>
      <c r="C49" s="30" t="s">
        <v>154</v>
      </c>
      <c r="D49" s="31">
        <v>202145</v>
      </c>
      <c r="E49" s="30" t="s">
        <v>155</v>
      </c>
      <c r="F49" s="53" t="s">
        <v>156</v>
      </c>
      <c r="G49" s="32">
        <v>43980</v>
      </c>
      <c r="H49" s="33">
        <v>0.64433398152152577</v>
      </c>
      <c r="I49" s="30" t="s">
        <v>96</v>
      </c>
      <c r="J49" s="34">
        <v>427510</v>
      </c>
      <c r="K49" s="35" t="s">
        <v>17</v>
      </c>
      <c r="L49" s="36">
        <v>76951.8</v>
      </c>
      <c r="M49" s="30" t="s">
        <v>46</v>
      </c>
      <c r="N49" s="30" t="s">
        <v>24</v>
      </c>
      <c r="O49" s="30" t="s">
        <v>1542</v>
      </c>
      <c r="P49" s="30" t="s">
        <v>1542</v>
      </c>
      <c r="Q49" s="30" t="str">
        <f>VLOOKUP(WEEKDAY(G49),Key!$B$3:$C$9,2,0)</f>
        <v>Friday</v>
      </c>
      <c r="R49" s="42" t="str">
        <f t="shared" si="0"/>
        <v>Within</v>
      </c>
      <c r="S49" s="41" t="str">
        <f t="shared" si="1"/>
        <v>Pass</v>
      </c>
      <c r="T49" s="30" t="str">
        <f t="shared" si="2"/>
        <v>FY 20-21</v>
      </c>
      <c r="U49" s="30" t="str">
        <f>VLOOKUP(MONTH(G49),Key!$F$3:$G$14,2,0)</f>
        <v>May</v>
      </c>
      <c r="V49" s="30" t="str">
        <f>IFERROR(IF(MATCH(F49,'Test 6'!C$5:C$9,0)&gt;0,"RP"),"NON-RP")</f>
        <v>NON-RP</v>
      </c>
    </row>
    <row r="50" spans="2:22" x14ac:dyDescent="0.5">
      <c r="B50" s="30">
        <v>46</v>
      </c>
      <c r="C50" s="30" t="s">
        <v>157</v>
      </c>
      <c r="D50" s="31">
        <v>202146</v>
      </c>
      <c r="E50" s="30" t="s">
        <v>158</v>
      </c>
      <c r="F50" s="53" t="s">
        <v>15</v>
      </c>
      <c r="G50" s="32">
        <v>43981</v>
      </c>
      <c r="H50" s="33">
        <v>0.63065691977752614</v>
      </c>
      <c r="I50" s="30" t="s">
        <v>96</v>
      </c>
      <c r="J50" s="34">
        <v>386240</v>
      </c>
      <c r="K50" s="35" t="s">
        <v>17</v>
      </c>
      <c r="L50" s="36">
        <v>69523.199999999997</v>
      </c>
      <c r="M50" s="30" t="s">
        <v>37</v>
      </c>
      <c r="N50" s="30" t="s">
        <v>51</v>
      </c>
      <c r="O50" s="30" t="s">
        <v>1542</v>
      </c>
      <c r="P50" s="30" t="s">
        <v>1542</v>
      </c>
      <c r="Q50" s="30" t="str">
        <f>VLOOKUP(WEEKDAY(G50),Key!$B$3:$C$9,2,0)</f>
        <v>Saturday</v>
      </c>
      <c r="R50" s="42" t="str">
        <f t="shared" si="0"/>
        <v>Within</v>
      </c>
      <c r="S50" s="41" t="str">
        <f t="shared" si="1"/>
        <v>Pass</v>
      </c>
      <c r="T50" s="30" t="str">
        <f t="shared" si="2"/>
        <v>FY 20-21</v>
      </c>
      <c r="U50" s="30" t="str">
        <f>VLOOKUP(MONTH(G50),Key!$F$3:$G$14,2,0)</f>
        <v>May</v>
      </c>
      <c r="V50" s="30" t="str">
        <f>IFERROR(IF(MATCH(F50,'Test 6'!C$5:C$9,0)&gt;0,"RP"),"NON-RP")</f>
        <v>NON-RP</v>
      </c>
    </row>
    <row r="51" spans="2:22" x14ac:dyDescent="0.5">
      <c r="B51" s="30">
        <v>47</v>
      </c>
      <c r="C51" s="30" t="s">
        <v>159</v>
      </c>
      <c r="D51" s="31">
        <v>202147</v>
      </c>
      <c r="E51" s="30" t="s">
        <v>160</v>
      </c>
      <c r="F51" s="53" t="s">
        <v>114</v>
      </c>
      <c r="G51" s="32">
        <v>43981</v>
      </c>
      <c r="H51" s="33">
        <v>0.44978977733071995</v>
      </c>
      <c r="I51" s="30" t="s">
        <v>96</v>
      </c>
      <c r="J51" s="34">
        <v>206890</v>
      </c>
      <c r="K51" s="35" t="s">
        <v>17</v>
      </c>
      <c r="L51" s="36">
        <v>37240.199999999997</v>
      </c>
      <c r="M51" s="30" t="s">
        <v>23</v>
      </c>
      <c r="N51" s="30" t="s">
        <v>19</v>
      </c>
      <c r="O51" s="30" t="s">
        <v>1542</v>
      </c>
      <c r="P51" s="30" t="s">
        <v>1542</v>
      </c>
      <c r="Q51" s="30" t="str">
        <f>VLOOKUP(WEEKDAY(G51),Key!$B$3:$C$9,2,0)</f>
        <v>Saturday</v>
      </c>
      <c r="R51" s="42" t="str">
        <f t="shared" si="0"/>
        <v>Within</v>
      </c>
      <c r="S51" s="41" t="str">
        <f t="shared" si="1"/>
        <v>Pass</v>
      </c>
      <c r="T51" s="30" t="str">
        <f t="shared" si="2"/>
        <v>FY 20-21</v>
      </c>
      <c r="U51" s="30" t="str">
        <f>VLOOKUP(MONTH(G51),Key!$F$3:$G$14,2,0)</f>
        <v>May</v>
      </c>
      <c r="V51" s="30" t="str">
        <f>IFERROR(IF(MATCH(F51,'Test 6'!C$5:C$9,0)&gt;0,"RP"),"NON-RP")</f>
        <v>NON-RP</v>
      </c>
    </row>
    <row r="52" spans="2:22" x14ac:dyDescent="0.5">
      <c r="B52" s="30">
        <v>48</v>
      </c>
      <c r="C52" s="30" t="s">
        <v>161</v>
      </c>
      <c r="D52" s="31">
        <v>202148</v>
      </c>
      <c r="E52" s="30" t="s">
        <v>162</v>
      </c>
      <c r="F52" s="53" t="s">
        <v>15</v>
      </c>
      <c r="G52" s="32">
        <v>43983</v>
      </c>
      <c r="H52" s="33">
        <v>0.74356787000965729</v>
      </c>
      <c r="I52" s="30" t="s">
        <v>163</v>
      </c>
      <c r="J52" s="34">
        <v>492690</v>
      </c>
      <c r="K52" s="35" t="s">
        <v>17</v>
      </c>
      <c r="L52" s="36">
        <v>88684.2</v>
      </c>
      <c r="M52" s="30" t="s">
        <v>37</v>
      </c>
      <c r="N52" s="30" t="s">
        <v>47</v>
      </c>
      <c r="O52" s="30" t="s">
        <v>1542</v>
      </c>
      <c r="P52" s="30" t="s">
        <v>1542</v>
      </c>
      <c r="Q52" s="30" t="str">
        <f>VLOOKUP(WEEKDAY(G52),Key!$B$3:$C$9,2,0)</f>
        <v>Monday</v>
      </c>
      <c r="R52" s="42" t="str">
        <f t="shared" si="0"/>
        <v>Within</v>
      </c>
      <c r="S52" s="41" t="str">
        <f t="shared" si="1"/>
        <v>Pass</v>
      </c>
      <c r="T52" s="30" t="str">
        <f t="shared" si="2"/>
        <v>FY 20-21</v>
      </c>
      <c r="U52" s="30" t="str">
        <f>VLOOKUP(MONTH(G52),Key!$F$3:$G$14,2,0)</f>
        <v>Jun</v>
      </c>
      <c r="V52" s="30" t="str">
        <f>IFERROR(IF(MATCH(F52,'Test 6'!C$5:C$9,0)&gt;0,"RP"),"NON-RP")</f>
        <v>NON-RP</v>
      </c>
    </row>
    <row r="53" spans="2:22" x14ac:dyDescent="0.5">
      <c r="B53" s="30">
        <v>49</v>
      </c>
      <c r="C53" s="30" t="s">
        <v>164</v>
      </c>
      <c r="D53" s="31">
        <v>202149</v>
      </c>
      <c r="E53" s="30" t="s">
        <v>165</v>
      </c>
      <c r="F53" s="53" t="s">
        <v>143</v>
      </c>
      <c r="G53" s="32">
        <v>43984</v>
      </c>
      <c r="H53" s="33">
        <v>0.64022782484940988</v>
      </c>
      <c r="I53" s="30" t="s">
        <v>96</v>
      </c>
      <c r="J53" s="34">
        <v>482570</v>
      </c>
      <c r="K53" s="35" t="s">
        <v>17</v>
      </c>
      <c r="L53" s="36">
        <v>86862.599999999991</v>
      </c>
      <c r="M53" s="30" t="s">
        <v>37</v>
      </c>
      <c r="N53" s="30" t="s">
        <v>51</v>
      </c>
      <c r="O53" s="30" t="s">
        <v>1542</v>
      </c>
      <c r="P53" s="30" t="s">
        <v>1542</v>
      </c>
      <c r="Q53" s="30" t="str">
        <f>VLOOKUP(WEEKDAY(G53),Key!$B$3:$C$9,2,0)</f>
        <v>Tuesday</v>
      </c>
      <c r="R53" s="42" t="str">
        <f t="shared" si="0"/>
        <v>Within</v>
      </c>
      <c r="S53" s="41" t="str">
        <f t="shared" si="1"/>
        <v>Pass</v>
      </c>
      <c r="T53" s="30" t="str">
        <f t="shared" si="2"/>
        <v>FY 20-21</v>
      </c>
      <c r="U53" s="30" t="str">
        <f>VLOOKUP(MONTH(G53),Key!$F$3:$G$14,2,0)</f>
        <v>Jun</v>
      </c>
      <c r="V53" s="30" t="str">
        <f>IFERROR(IF(MATCH(F53,'Test 6'!C$5:C$9,0)&gt;0,"RP"),"NON-RP")</f>
        <v>NON-RP</v>
      </c>
    </row>
    <row r="54" spans="2:22" x14ac:dyDescent="0.5">
      <c r="B54" s="30">
        <v>50</v>
      </c>
      <c r="C54" s="30" t="s">
        <v>166</v>
      </c>
      <c r="D54" s="31">
        <v>202150</v>
      </c>
      <c r="E54" s="30" t="s">
        <v>167</v>
      </c>
      <c r="F54" s="53" t="s">
        <v>15</v>
      </c>
      <c r="G54" s="32">
        <v>43984</v>
      </c>
      <c r="H54" s="33">
        <v>0.56030242017215548</v>
      </c>
      <c r="I54" s="30" t="s">
        <v>96</v>
      </c>
      <c r="J54" s="34">
        <v>46890</v>
      </c>
      <c r="K54" s="35" t="s">
        <v>17</v>
      </c>
      <c r="L54" s="36">
        <v>8440.1999999999989</v>
      </c>
      <c r="M54" s="30" t="s">
        <v>168</v>
      </c>
      <c r="N54" s="30" t="s">
        <v>37</v>
      </c>
      <c r="O54" s="30" t="s">
        <v>1542</v>
      </c>
      <c r="P54" s="30" t="s">
        <v>1542</v>
      </c>
      <c r="Q54" s="30" t="str">
        <f>VLOOKUP(WEEKDAY(G54),Key!$B$3:$C$9,2,0)</f>
        <v>Tuesday</v>
      </c>
      <c r="R54" s="42" t="str">
        <f t="shared" si="0"/>
        <v>Within</v>
      </c>
      <c r="S54" s="41" t="str">
        <f t="shared" si="1"/>
        <v>Pass</v>
      </c>
      <c r="T54" s="30" t="str">
        <f t="shared" si="2"/>
        <v>FY 20-21</v>
      </c>
      <c r="U54" s="30" t="str">
        <f>VLOOKUP(MONTH(G54),Key!$F$3:$G$14,2,0)</f>
        <v>Jun</v>
      </c>
      <c r="V54" s="30" t="str">
        <f>IFERROR(IF(MATCH(F54,'Test 6'!C$5:C$9,0)&gt;0,"RP"),"NON-RP")</f>
        <v>NON-RP</v>
      </c>
    </row>
    <row r="55" spans="2:22" x14ac:dyDescent="0.5">
      <c r="B55" s="30">
        <v>51</v>
      </c>
      <c r="C55" s="30" t="s">
        <v>169</v>
      </c>
      <c r="D55" s="31">
        <v>202151</v>
      </c>
      <c r="E55" s="30" t="s">
        <v>170</v>
      </c>
      <c r="F55" s="53" t="s">
        <v>125</v>
      </c>
      <c r="G55" s="32">
        <v>43987</v>
      </c>
      <c r="H55" s="33">
        <v>0.71294400278497738</v>
      </c>
      <c r="I55" s="30" t="s">
        <v>96</v>
      </c>
      <c r="J55" s="34">
        <v>484460</v>
      </c>
      <c r="K55" s="35" t="s">
        <v>17</v>
      </c>
      <c r="L55" s="36">
        <v>87202.8</v>
      </c>
      <c r="M55" s="30" t="s">
        <v>32</v>
      </c>
      <c r="N55" s="30" t="s">
        <v>47</v>
      </c>
      <c r="O55" s="30" t="s">
        <v>1542</v>
      </c>
      <c r="P55" s="30" t="s">
        <v>1542</v>
      </c>
      <c r="Q55" s="30" t="str">
        <f>VLOOKUP(WEEKDAY(G55),Key!$B$3:$C$9,2,0)</f>
        <v>Friday</v>
      </c>
      <c r="R55" s="42" t="str">
        <f t="shared" si="0"/>
        <v>Within</v>
      </c>
      <c r="S55" s="41" t="str">
        <f t="shared" si="1"/>
        <v>Pass</v>
      </c>
      <c r="T55" s="30" t="str">
        <f t="shared" si="2"/>
        <v>FY 20-21</v>
      </c>
      <c r="U55" s="30" t="str">
        <f>VLOOKUP(MONTH(G55),Key!$F$3:$G$14,2,0)</f>
        <v>Jun</v>
      </c>
      <c r="V55" s="30" t="str">
        <f>IFERROR(IF(MATCH(F55,'Test 6'!C$5:C$9,0)&gt;0,"RP"),"NON-RP")</f>
        <v>NON-RP</v>
      </c>
    </row>
    <row r="56" spans="2:22" x14ac:dyDescent="0.5">
      <c r="B56" s="30">
        <v>52</v>
      </c>
      <c r="C56" s="30" t="s">
        <v>171</v>
      </c>
      <c r="D56" s="31">
        <v>202152</v>
      </c>
      <c r="E56" s="30" t="s">
        <v>172</v>
      </c>
      <c r="F56" s="53" t="s">
        <v>114</v>
      </c>
      <c r="G56" s="32">
        <v>43987</v>
      </c>
      <c r="H56" s="33">
        <v>0.69455270327818075</v>
      </c>
      <c r="I56" s="30" t="s">
        <v>163</v>
      </c>
      <c r="J56" s="34">
        <v>290140</v>
      </c>
      <c r="K56" s="35" t="s">
        <v>17</v>
      </c>
      <c r="L56" s="36">
        <v>52225.2</v>
      </c>
      <c r="M56" s="30" t="s">
        <v>46</v>
      </c>
      <c r="N56" s="30" t="s">
        <v>19</v>
      </c>
      <c r="O56" s="30" t="s">
        <v>1542</v>
      </c>
      <c r="P56" s="30" t="s">
        <v>1542</v>
      </c>
      <c r="Q56" s="30" t="str">
        <f>VLOOKUP(WEEKDAY(G56),Key!$B$3:$C$9,2,0)</f>
        <v>Friday</v>
      </c>
      <c r="R56" s="42" t="str">
        <f t="shared" si="0"/>
        <v>Within</v>
      </c>
      <c r="S56" s="41" t="str">
        <f t="shared" si="1"/>
        <v>Pass</v>
      </c>
      <c r="T56" s="30" t="str">
        <f t="shared" si="2"/>
        <v>FY 20-21</v>
      </c>
      <c r="U56" s="30" t="str">
        <f>VLOOKUP(MONTH(G56),Key!$F$3:$G$14,2,0)</f>
        <v>Jun</v>
      </c>
      <c r="V56" s="30" t="str">
        <f>IFERROR(IF(MATCH(F56,'Test 6'!C$5:C$9,0)&gt;0,"RP"),"NON-RP")</f>
        <v>NON-RP</v>
      </c>
    </row>
    <row r="57" spans="2:22" x14ac:dyDescent="0.5">
      <c r="B57" s="30">
        <v>53</v>
      </c>
      <c r="C57" s="30" t="s">
        <v>173</v>
      </c>
      <c r="D57" s="31">
        <v>202153</v>
      </c>
      <c r="E57" s="30" t="s">
        <v>174</v>
      </c>
      <c r="F57" s="53" t="s">
        <v>175</v>
      </c>
      <c r="G57" s="32">
        <v>43988</v>
      </c>
      <c r="H57" s="33">
        <v>0.71132865272416335</v>
      </c>
      <c r="I57" s="30" t="s">
        <v>163</v>
      </c>
      <c r="J57" s="34">
        <v>482140</v>
      </c>
      <c r="K57" s="35" t="s">
        <v>17</v>
      </c>
      <c r="L57" s="36">
        <v>86785.2</v>
      </c>
      <c r="M57" s="30" t="s">
        <v>61</v>
      </c>
      <c r="N57" s="30" t="s">
        <v>68</v>
      </c>
      <c r="O57" s="30" t="s">
        <v>1542</v>
      </c>
      <c r="P57" s="30" t="s">
        <v>1542</v>
      </c>
      <c r="Q57" s="30" t="str">
        <f>VLOOKUP(WEEKDAY(G57),Key!$B$3:$C$9,2,0)</f>
        <v>Saturday</v>
      </c>
      <c r="R57" s="42" t="str">
        <f t="shared" si="0"/>
        <v>Within</v>
      </c>
      <c r="S57" s="41" t="str">
        <f t="shared" si="1"/>
        <v>Pass</v>
      </c>
      <c r="T57" s="30" t="str">
        <f t="shared" si="2"/>
        <v>FY 20-21</v>
      </c>
      <c r="U57" s="30" t="str">
        <f>VLOOKUP(MONTH(G57),Key!$F$3:$G$14,2,0)</f>
        <v>Jun</v>
      </c>
      <c r="V57" s="30" t="str">
        <f>IFERROR(IF(MATCH(F57,'Test 6'!C$5:C$9,0)&gt;0,"RP"),"NON-RP")</f>
        <v>NON-RP</v>
      </c>
    </row>
    <row r="58" spans="2:22" x14ac:dyDescent="0.5">
      <c r="B58" s="30">
        <v>54</v>
      </c>
      <c r="C58" s="30" t="s">
        <v>176</v>
      </c>
      <c r="D58" s="31">
        <v>202154</v>
      </c>
      <c r="E58" s="30" t="s">
        <v>177</v>
      </c>
      <c r="F58" s="53" t="s">
        <v>60</v>
      </c>
      <c r="G58" s="32">
        <v>43988</v>
      </c>
      <c r="H58" s="33">
        <v>0.53926923450247766</v>
      </c>
      <c r="I58" s="30" t="s">
        <v>163</v>
      </c>
      <c r="J58" s="34">
        <v>244360</v>
      </c>
      <c r="K58" s="35" t="s">
        <v>17</v>
      </c>
      <c r="L58" s="36">
        <v>43984.799999999996</v>
      </c>
      <c r="M58" s="30" t="s">
        <v>46</v>
      </c>
      <c r="N58" s="30" t="s">
        <v>24</v>
      </c>
      <c r="O58" s="30" t="s">
        <v>1542</v>
      </c>
      <c r="P58" s="30" t="s">
        <v>1542</v>
      </c>
      <c r="Q58" s="30" t="str">
        <f>VLOOKUP(WEEKDAY(G58),Key!$B$3:$C$9,2,0)</f>
        <v>Saturday</v>
      </c>
      <c r="R58" s="42" t="str">
        <f t="shared" si="0"/>
        <v>Within</v>
      </c>
      <c r="S58" s="41" t="str">
        <f t="shared" si="1"/>
        <v>Pass</v>
      </c>
      <c r="T58" s="30" t="str">
        <f t="shared" si="2"/>
        <v>FY 20-21</v>
      </c>
      <c r="U58" s="30" t="str">
        <f>VLOOKUP(MONTH(G58),Key!$F$3:$G$14,2,0)</f>
        <v>Jun</v>
      </c>
      <c r="V58" s="30" t="str">
        <f>IFERROR(IF(MATCH(F58,'Test 6'!C$5:C$9,0)&gt;0,"RP"),"NON-RP")</f>
        <v>NON-RP</v>
      </c>
    </row>
    <row r="59" spans="2:22" x14ac:dyDescent="0.5">
      <c r="B59" s="30">
        <v>55</v>
      </c>
      <c r="C59" s="30" t="s">
        <v>178</v>
      </c>
      <c r="D59" s="31">
        <v>202155</v>
      </c>
      <c r="E59" s="30" t="s">
        <v>179</v>
      </c>
      <c r="F59" s="53" t="s">
        <v>119</v>
      </c>
      <c r="G59" s="32">
        <v>43990</v>
      </c>
      <c r="H59" s="33">
        <v>0.52508955095977738</v>
      </c>
      <c r="I59" s="30" t="s">
        <v>163</v>
      </c>
      <c r="J59" s="34">
        <v>261450</v>
      </c>
      <c r="K59" s="35" t="s">
        <v>17</v>
      </c>
      <c r="L59" s="36">
        <v>47061</v>
      </c>
      <c r="M59" s="30" t="s">
        <v>18</v>
      </c>
      <c r="N59" s="30" t="s">
        <v>68</v>
      </c>
      <c r="O59" s="30" t="s">
        <v>1542</v>
      </c>
      <c r="P59" s="30" t="s">
        <v>1542</v>
      </c>
      <c r="Q59" s="30" t="str">
        <f>VLOOKUP(WEEKDAY(G59),Key!$B$3:$C$9,2,0)</f>
        <v>Monday</v>
      </c>
      <c r="R59" s="42" t="str">
        <f t="shared" si="0"/>
        <v>Within</v>
      </c>
      <c r="S59" s="41" t="str">
        <f t="shared" si="1"/>
        <v>Pass</v>
      </c>
      <c r="T59" s="30" t="str">
        <f t="shared" si="2"/>
        <v>FY 20-21</v>
      </c>
      <c r="U59" s="30" t="str">
        <f>VLOOKUP(MONTH(G59),Key!$F$3:$G$14,2,0)</f>
        <v>Jun</v>
      </c>
      <c r="V59" s="30" t="str">
        <f>IFERROR(IF(MATCH(F59,'Test 6'!C$5:C$9,0)&gt;0,"RP"),"NON-RP")</f>
        <v>NON-RP</v>
      </c>
    </row>
    <row r="60" spans="2:22" x14ac:dyDescent="0.5">
      <c r="B60" s="30">
        <v>56</v>
      </c>
      <c r="C60" s="30" t="s">
        <v>180</v>
      </c>
      <c r="D60" s="31">
        <v>202156</v>
      </c>
      <c r="E60" s="30" t="s">
        <v>181</v>
      </c>
      <c r="F60" s="53" t="s">
        <v>72</v>
      </c>
      <c r="G60" s="32">
        <v>43991</v>
      </c>
      <c r="H60" s="33">
        <v>0.66265527913205957</v>
      </c>
      <c r="I60" s="30" t="s">
        <v>163</v>
      </c>
      <c r="J60" s="34">
        <v>10223320</v>
      </c>
      <c r="K60" s="35" t="s">
        <v>17</v>
      </c>
      <c r="L60" s="36">
        <v>1840197.5999999999</v>
      </c>
      <c r="M60" s="30" t="s">
        <v>41</v>
      </c>
      <c r="N60" s="30" t="s">
        <v>42</v>
      </c>
      <c r="O60" s="30" t="s">
        <v>1575</v>
      </c>
      <c r="P60" s="30" t="s">
        <v>1577</v>
      </c>
      <c r="Q60" s="30" t="str">
        <f>VLOOKUP(WEEKDAY(G60),Key!$B$3:$C$9,2,0)</f>
        <v>Tuesday</v>
      </c>
      <c r="R60" s="42" t="str">
        <f t="shared" si="0"/>
        <v>Within</v>
      </c>
      <c r="S60" s="41" t="str">
        <f t="shared" si="1"/>
        <v>Pass</v>
      </c>
      <c r="T60" s="30" t="str">
        <f t="shared" si="2"/>
        <v>FY 20-21</v>
      </c>
      <c r="U60" s="30" t="str">
        <f>VLOOKUP(MONTH(G60),Key!$F$3:$G$14,2,0)</f>
        <v>Jun</v>
      </c>
      <c r="V60" s="30" t="str">
        <f>IFERROR(IF(MATCH(F60,'Test 6'!C$5:C$9,0)&gt;0,"RP"),"NON-RP")</f>
        <v>NON-RP</v>
      </c>
    </row>
    <row r="61" spans="2:22" x14ac:dyDescent="0.5">
      <c r="B61" s="30">
        <v>57</v>
      </c>
      <c r="C61" s="30" t="s">
        <v>182</v>
      </c>
      <c r="D61" s="31">
        <v>202157</v>
      </c>
      <c r="E61" s="30" t="s">
        <v>183</v>
      </c>
      <c r="F61" s="53" t="s">
        <v>184</v>
      </c>
      <c r="G61" s="32">
        <v>43993</v>
      </c>
      <c r="H61" s="33">
        <v>0.47377225362908348</v>
      </c>
      <c r="I61" s="30" t="s">
        <v>163</v>
      </c>
      <c r="J61" s="34">
        <v>390450</v>
      </c>
      <c r="K61" s="35" t="s">
        <v>17</v>
      </c>
      <c r="L61" s="36">
        <v>70281</v>
      </c>
      <c r="M61" s="30" t="s">
        <v>23</v>
      </c>
      <c r="N61" s="30" t="s">
        <v>47</v>
      </c>
      <c r="O61" s="30" t="s">
        <v>1542</v>
      </c>
      <c r="P61" s="30" t="s">
        <v>1542</v>
      </c>
      <c r="Q61" s="30" t="str">
        <f>VLOOKUP(WEEKDAY(G61),Key!$B$3:$C$9,2,0)</f>
        <v>Thursday</v>
      </c>
      <c r="R61" s="42" t="str">
        <f t="shared" si="0"/>
        <v>Within</v>
      </c>
      <c r="S61" s="41" t="str">
        <f t="shared" si="1"/>
        <v>Pass</v>
      </c>
      <c r="T61" s="30" t="str">
        <f t="shared" si="2"/>
        <v>FY 20-21</v>
      </c>
      <c r="U61" s="30" t="str">
        <f>VLOOKUP(MONTH(G61),Key!$F$3:$G$14,2,0)</f>
        <v>Jun</v>
      </c>
      <c r="V61" s="30" t="str">
        <f>IFERROR(IF(MATCH(F61,'Test 6'!C$5:C$9,0)&gt;0,"RP"),"NON-RP")</f>
        <v>NON-RP</v>
      </c>
    </row>
    <row r="62" spans="2:22" x14ac:dyDescent="0.5">
      <c r="B62" s="30">
        <v>58</v>
      </c>
      <c r="C62" s="30" t="s">
        <v>185</v>
      </c>
      <c r="D62" s="31">
        <v>202158</v>
      </c>
      <c r="E62" s="30" t="s">
        <v>186</v>
      </c>
      <c r="F62" s="53" t="s">
        <v>187</v>
      </c>
      <c r="G62" s="32">
        <v>43994</v>
      </c>
      <c r="H62" s="33">
        <v>0.5416860331479415</v>
      </c>
      <c r="I62" s="30" t="s">
        <v>163</v>
      </c>
      <c r="J62" s="34">
        <v>202860</v>
      </c>
      <c r="K62" s="35" t="s">
        <v>17</v>
      </c>
      <c r="L62" s="36">
        <v>36514.799999999996</v>
      </c>
      <c r="M62" s="30" t="s">
        <v>28</v>
      </c>
      <c r="N62" s="30" t="s">
        <v>47</v>
      </c>
      <c r="O62" s="30" t="s">
        <v>1542</v>
      </c>
      <c r="P62" s="30" t="s">
        <v>1542</v>
      </c>
      <c r="Q62" s="30" t="str">
        <f>VLOOKUP(WEEKDAY(G62),Key!$B$3:$C$9,2,0)</f>
        <v>Friday</v>
      </c>
      <c r="R62" s="42" t="str">
        <f t="shared" si="0"/>
        <v>Within</v>
      </c>
      <c r="S62" s="41" t="str">
        <f t="shared" si="1"/>
        <v>Pass</v>
      </c>
      <c r="T62" s="30" t="str">
        <f t="shared" si="2"/>
        <v>FY 20-21</v>
      </c>
      <c r="U62" s="30" t="str">
        <f>VLOOKUP(MONTH(G62),Key!$F$3:$G$14,2,0)</f>
        <v>Jun</v>
      </c>
      <c r="V62" s="30" t="str">
        <f>IFERROR(IF(MATCH(F62,'Test 6'!C$5:C$9,0)&gt;0,"RP"),"NON-RP")</f>
        <v>NON-RP</v>
      </c>
    </row>
    <row r="63" spans="2:22" x14ac:dyDescent="0.5">
      <c r="B63" s="30">
        <v>59</v>
      </c>
      <c r="C63" s="30" t="s">
        <v>188</v>
      </c>
      <c r="D63" s="31">
        <v>202159</v>
      </c>
      <c r="E63" s="30" t="s">
        <v>189</v>
      </c>
      <c r="F63" s="53" t="s">
        <v>190</v>
      </c>
      <c r="G63" s="32">
        <v>43997</v>
      </c>
      <c r="H63" s="33">
        <v>0.5596931866992384</v>
      </c>
      <c r="I63" s="30" t="s">
        <v>96</v>
      </c>
      <c r="J63" s="34">
        <v>204100</v>
      </c>
      <c r="K63" s="35" t="s">
        <v>17</v>
      </c>
      <c r="L63" s="36">
        <v>36738</v>
      </c>
      <c r="M63" s="30" t="s">
        <v>46</v>
      </c>
      <c r="N63" s="30" t="s">
        <v>68</v>
      </c>
      <c r="O63" s="30" t="s">
        <v>1542</v>
      </c>
      <c r="P63" s="30" t="s">
        <v>1542</v>
      </c>
      <c r="Q63" s="30" t="str">
        <f>VLOOKUP(WEEKDAY(G63),Key!$B$3:$C$9,2,0)</f>
        <v>Monday</v>
      </c>
      <c r="R63" s="42" t="str">
        <f t="shared" si="0"/>
        <v>Within</v>
      </c>
      <c r="S63" s="41" t="str">
        <f t="shared" si="1"/>
        <v>Pass</v>
      </c>
      <c r="T63" s="30" t="str">
        <f t="shared" si="2"/>
        <v>FY 20-21</v>
      </c>
      <c r="U63" s="30" t="str">
        <f>VLOOKUP(MONTH(G63),Key!$F$3:$G$14,2,0)</f>
        <v>Jun</v>
      </c>
      <c r="V63" s="30" t="str">
        <f>IFERROR(IF(MATCH(F63,'Test 6'!C$5:C$9,0)&gt;0,"RP"),"NON-RP")</f>
        <v>NON-RP</v>
      </c>
    </row>
    <row r="64" spans="2:22" x14ac:dyDescent="0.5">
      <c r="B64" s="30">
        <v>60</v>
      </c>
      <c r="C64" s="30" t="s">
        <v>191</v>
      </c>
      <c r="D64" s="31">
        <v>202160</v>
      </c>
      <c r="E64" s="30" t="s">
        <v>192</v>
      </c>
      <c r="F64" s="53" t="s">
        <v>153</v>
      </c>
      <c r="G64" s="32">
        <v>44000</v>
      </c>
      <c r="H64" s="33">
        <v>0.64199661965893995</v>
      </c>
      <c r="I64" s="30" t="s">
        <v>96</v>
      </c>
      <c r="J64" s="34">
        <v>265580</v>
      </c>
      <c r="K64" s="35" t="s">
        <v>17</v>
      </c>
      <c r="L64" s="36">
        <v>47804.4</v>
      </c>
      <c r="M64" s="30" t="s">
        <v>28</v>
      </c>
      <c r="N64" s="30" t="s">
        <v>47</v>
      </c>
      <c r="O64" s="30" t="s">
        <v>1542</v>
      </c>
      <c r="P64" s="30" t="s">
        <v>1542</v>
      </c>
      <c r="Q64" s="30" t="str">
        <f>VLOOKUP(WEEKDAY(G64),Key!$B$3:$C$9,2,0)</f>
        <v>Thursday</v>
      </c>
      <c r="R64" s="42" t="str">
        <f t="shared" si="0"/>
        <v>Within</v>
      </c>
      <c r="S64" s="41" t="str">
        <f t="shared" si="1"/>
        <v>Pass</v>
      </c>
      <c r="T64" s="30" t="str">
        <f t="shared" si="2"/>
        <v>FY 20-21</v>
      </c>
      <c r="U64" s="30" t="str">
        <f>VLOOKUP(MONTH(G64),Key!$F$3:$G$14,2,0)</f>
        <v>Jun</v>
      </c>
      <c r="V64" s="30" t="str">
        <f>IFERROR(IF(MATCH(F64,'Test 6'!C$5:C$9,0)&gt;0,"RP"),"NON-RP")</f>
        <v>NON-RP</v>
      </c>
    </row>
    <row r="65" spans="2:22" x14ac:dyDescent="0.5">
      <c r="B65" s="30">
        <v>61</v>
      </c>
      <c r="C65" s="30" t="s">
        <v>193</v>
      </c>
      <c r="D65" s="31">
        <v>202161</v>
      </c>
      <c r="E65" s="30" t="s">
        <v>194</v>
      </c>
      <c r="F65" s="53" t="s">
        <v>195</v>
      </c>
      <c r="G65" s="32">
        <v>44001</v>
      </c>
      <c r="H65" s="33">
        <v>0.61265938833674061</v>
      </c>
      <c r="I65" s="30" t="s">
        <v>96</v>
      </c>
      <c r="J65" s="34">
        <v>285470</v>
      </c>
      <c r="K65" s="35" t="s">
        <v>17</v>
      </c>
      <c r="L65" s="36">
        <v>51384.6</v>
      </c>
      <c r="M65" s="30" t="s">
        <v>28</v>
      </c>
      <c r="N65" s="30" t="s">
        <v>68</v>
      </c>
      <c r="O65" s="30" t="s">
        <v>1542</v>
      </c>
      <c r="P65" s="30" t="s">
        <v>1542</v>
      </c>
      <c r="Q65" s="30" t="str">
        <f>VLOOKUP(WEEKDAY(G65),Key!$B$3:$C$9,2,0)</f>
        <v>Friday</v>
      </c>
      <c r="R65" s="42" t="str">
        <f t="shared" si="0"/>
        <v>Within</v>
      </c>
      <c r="S65" s="41" t="str">
        <f t="shared" si="1"/>
        <v>Pass</v>
      </c>
      <c r="T65" s="30" t="str">
        <f t="shared" si="2"/>
        <v>FY 20-21</v>
      </c>
      <c r="U65" s="30" t="str">
        <f>VLOOKUP(MONTH(G65),Key!$F$3:$G$14,2,0)</f>
        <v>Jun</v>
      </c>
      <c r="V65" s="30" t="str">
        <f>IFERROR(IF(MATCH(F65,'Test 6'!C$5:C$9,0)&gt;0,"RP"),"NON-RP")</f>
        <v>NON-RP</v>
      </c>
    </row>
    <row r="66" spans="2:22" x14ac:dyDescent="0.5">
      <c r="B66" s="30">
        <v>62</v>
      </c>
      <c r="C66" s="30" t="s">
        <v>196</v>
      </c>
      <c r="D66" s="31">
        <v>202162</v>
      </c>
      <c r="E66" s="30" t="s">
        <v>197</v>
      </c>
      <c r="F66" s="53" t="s">
        <v>92</v>
      </c>
      <c r="G66" s="32">
        <v>44001</v>
      </c>
      <c r="H66" s="33">
        <v>0.66693689795095068</v>
      </c>
      <c r="I66" s="30" t="s">
        <v>163</v>
      </c>
      <c r="J66" s="34">
        <v>205720</v>
      </c>
      <c r="K66" s="35" t="s">
        <v>17</v>
      </c>
      <c r="L66" s="36">
        <v>37029.599999999999</v>
      </c>
      <c r="M66" s="30" t="s">
        <v>61</v>
      </c>
      <c r="N66" s="30" t="s">
        <v>24</v>
      </c>
      <c r="O66" s="30" t="s">
        <v>1542</v>
      </c>
      <c r="P66" s="30" t="s">
        <v>1542</v>
      </c>
      <c r="Q66" s="30" t="str">
        <f>VLOOKUP(WEEKDAY(G66),Key!$B$3:$C$9,2,0)</f>
        <v>Friday</v>
      </c>
      <c r="R66" s="42" t="str">
        <f t="shared" si="0"/>
        <v>Within</v>
      </c>
      <c r="S66" s="41" t="str">
        <f t="shared" si="1"/>
        <v>Pass</v>
      </c>
      <c r="T66" s="30" t="str">
        <f t="shared" si="2"/>
        <v>FY 20-21</v>
      </c>
      <c r="U66" s="30" t="str">
        <f>VLOOKUP(MONTH(G66),Key!$F$3:$G$14,2,0)</f>
        <v>Jun</v>
      </c>
      <c r="V66" s="30" t="str">
        <f>IFERROR(IF(MATCH(F66,'Test 6'!C$5:C$9,0)&gt;0,"RP"),"NON-RP")</f>
        <v>NON-RP</v>
      </c>
    </row>
    <row r="67" spans="2:22" x14ac:dyDescent="0.5">
      <c r="B67" s="30">
        <v>63</v>
      </c>
      <c r="C67" s="30" t="s">
        <v>198</v>
      </c>
      <c r="D67" s="31">
        <v>202163</v>
      </c>
      <c r="E67" s="30" t="s">
        <v>199</v>
      </c>
      <c r="F67" s="53" t="s">
        <v>27</v>
      </c>
      <c r="G67" s="32">
        <v>44005</v>
      </c>
      <c r="H67" s="33">
        <v>0.70631954287162413</v>
      </c>
      <c r="I67" s="30" t="s">
        <v>163</v>
      </c>
      <c r="J67" s="34">
        <v>31860</v>
      </c>
      <c r="K67" s="35" t="s">
        <v>17</v>
      </c>
      <c r="L67" s="36">
        <v>5734.8</v>
      </c>
      <c r="M67" s="30" t="s">
        <v>200</v>
      </c>
      <c r="N67" s="30" t="s">
        <v>18</v>
      </c>
      <c r="O67" s="30" t="s">
        <v>1542</v>
      </c>
      <c r="P67" s="30" t="s">
        <v>1542</v>
      </c>
      <c r="Q67" s="30" t="str">
        <f>VLOOKUP(WEEKDAY(G67),Key!$B$3:$C$9,2,0)</f>
        <v>Tuesday</v>
      </c>
      <c r="R67" s="42" t="str">
        <f t="shared" si="0"/>
        <v>Within</v>
      </c>
      <c r="S67" s="41" t="str">
        <f t="shared" si="1"/>
        <v>Pass</v>
      </c>
      <c r="T67" s="30" t="str">
        <f t="shared" si="2"/>
        <v>FY 20-21</v>
      </c>
      <c r="U67" s="30" t="str">
        <f>VLOOKUP(MONTH(G67),Key!$F$3:$G$14,2,0)</f>
        <v>Jun</v>
      </c>
      <c r="V67" s="30" t="str">
        <f>IFERROR(IF(MATCH(F67,'Test 6'!C$5:C$9,0)&gt;0,"RP"),"NON-RP")</f>
        <v>NON-RP</v>
      </c>
    </row>
    <row r="68" spans="2:22" x14ac:dyDescent="0.5">
      <c r="B68" s="30">
        <v>64</v>
      </c>
      <c r="C68" s="30" t="s">
        <v>201</v>
      </c>
      <c r="D68" s="31">
        <v>202164</v>
      </c>
      <c r="E68" s="30" t="s">
        <v>202</v>
      </c>
      <c r="F68" s="53" t="s">
        <v>203</v>
      </c>
      <c r="G68" s="32">
        <v>44005</v>
      </c>
      <c r="H68" s="33">
        <v>0.73688665675205534</v>
      </c>
      <c r="I68" s="30" t="s">
        <v>163</v>
      </c>
      <c r="J68" s="34">
        <v>258480</v>
      </c>
      <c r="K68" s="35" t="s">
        <v>17</v>
      </c>
      <c r="L68" s="36">
        <v>46526.400000000001</v>
      </c>
      <c r="M68" s="30" t="s">
        <v>28</v>
      </c>
      <c r="N68" s="30" t="s">
        <v>19</v>
      </c>
      <c r="O68" s="30" t="s">
        <v>1542</v>
      </c>
      <c r="P68" s="30" t="s">
        <v>1542</v>
      </c>
      <c r="Q68" s="30" t="str">
        <f>VLOOKUP(WEEKDAY(G68),Key!$B$3:$C$9,2,0)</f>
        <v>Tuesday</v>
      </c>
      <c r="R68" s="42" t="str">
        <f t="shared" si="0"/>
        <v>Within</v>
      </c>
      <c r="S68" s="41" t="str">
        <f t="shared" si="1"/>
        <v>Pass</v>
      </c>
      <c r="T68" s="30" t="str">
        <f t="shared" si="2"/>
        <v>FY 20-21</v>
      </c>
      <c r="U68" s="30" t="str">
        <f>VLOOKUP(MONTH(G68),Key!$F$3:$G$14,2,0)</f>
        <v>Jun</v>
      </c>
      <c r="V68" s="30" t="str">
        <f>IFERROR(IF(MATCH(F68,'Test 6'!C$5:C$9,0)&gt;0,"RP"),"NON-RP")</f>
        <v>NON-RP</v>
      </c>
    </row>
    <row r="69" spans="2:22" x14ac:dyDescent="0.5">
      <c r="B69" s="30">
        <v>65</v>
      </c>
      <c r="C69" s="30" t="s">
        <v>204</v>
      </c>
      <c r="D69" s="31">
        <v>202165</v>
      </c>
      <c r="E69" s="30" t="s">
        <v>205</v>
      </c>
      <c r="F69" s="53" t="s">
        <v>50</v>
      </c>
      <c r="G69" s="32">
        <v>44006</v>
      </c>
      <c r="H69" s="33">
        <v>0.50755774581997137</v>
      </c>
      <c r="I69" s="30" t="s">
        <v>163</v>
      </c>
      <c r="J69" s="34">
        <v>205220</v>
      </c>
      <c r="K69" s="35" t="s">
        <v>17</v>
      </c>
      <c r="L69" s="36">
        <v>36939.599999999999</v>
      </c>
      <c r="M69" s="30" t="s">
        <v>18</v>
      </c>
      <c r="N69" s="30" t="s">
        <v>47</v>
      </c>
      <c r="O69" s="30" t="s">
        <v>1542</v>
      </c>
      <c r="P69" s="30" t="s">
        <v>1542</v>
      </c>
      <c r="Q69" s="30" t="str">
        <f>VLOOKUP(WEEKDAY(G69),Key!$B$3:$C$9,2,0)</f>
        <v>Wednesday</v>
      </c>
      <c r="R69" s="42" t="str">
        <f t="shared" ref="R69:R132" si="3">IF(AND(H69&lt;TIME(18,0,0),H69&gt;TIME(10,0,0)),"Within","Outside")</f>
        <v>Within</v>
      </c>
      <c r="S69" s="41" t="str">
        <f t="shared" si="1"/>
        <v>Pass</v>
      </c>
      <c r="T69" s="30" t="str">
        <f t="shared" si="2"/>
        <v>FY 20-21</v>
      </c>
      <c r="U69" s="30" t="str">
        <f>VLOOKUP(MONTH(G69),Key!$F$3:$G$14,2,0)</f>
        <v>Jun</v>
      </c>
      <c r="V69" s="30" t="str">
        <f>IFERROR(IF(MATCH(F69,'Test 6'!C$5:C$9,0)&gt;0,"RP"),"NON-RP")</f>
        <v>NON-RP</v>
      </c>
    </row>
    <row r="70" spans="2:22" x14ac:dyDescent="0.5">
      <c r="B70" s="30">
        <v>66</v>
      </c>
      <c r="C70" s="30" t="s">
        <v>206</v>
      </c>
      <c r="D70" s="31">
        <v>202166</v>
      </c>
      <c r="E70" s="30" t="s">
        <v>207</v>
      </c>
      <c r="F70" s="53" t="s">
        <v>50</v>
      </c>
      <c r="G70" s="32">
        <v>44009</v>
      </c>
      <c r="H70" s="33">
        <v>0.61449234763963401</v>
      </c>
      <c r="I70" s="30" t="s">
        <v>163</v>
      </c>
      <c r="J70" s="34">
        <v>434440</v>
      </c>
      <c r="K70" s="35" t="s">
        <v>17</v>
      </c>
      <c r="L70" s="36">
        <v>78199.199999999997</v>
      </c>
      <c r="M70" s="30" t="s">
        <v>37</v>
      </c>
      <c r="N70" s="30" t="s">
        <v>51</v>
      </c>
      <c r="O70" s="30" t="s">
        <v>1542</v>
      </c>
      <c r="P70" s="30" t="s">
        <v>1542</v>
      </c>
      <c r="Q70" s="30" t="str">
        <f>VLOOKUP(WEEKDAY(G70),Key!$B$3:$C$9,2,0)</f>
        <v>Saturday</v>
      </c>
      <c r="R70" s="42" t="str">
        <f t="shared" si="3"/>
        <v>Within</v>
      </c>
      <c r="S70" s="41" t="str">
        <f t="shared" ref="S70:S133" si="4">IF(OR(Q70="Sunday",R70="outside"),"Red Flag","Pass")</f>
        <v>Pass</v>
      </c>
      <c r="T70" s="30" t="str">
        <f t="shared" ref="T70:T133" si="5">IF(AND(DATE(2021,4,1)&lt;=G70,G70&lt;=DATE(2022,3,31)),"FY 21-22","FY 20-21")</f>
        <v>FY 20-21</v>
      </c>
      <c r="U70" s="30" t="str">
        <f>VLOOKUP(MONTH(G70),Key!$F$3:$G$14,2,0)</f>
        <v>Jun</v>
      </c>
      <c r="V70" s="30" t="str">
        <f>IFERROR(IF(MATCH(F70,'Test 6'!C$5:C$9,0)&gt;0,"RP"),"NON-RP")</f>
        <v>NON-RP</v>
      </c>
    </row>
    <row r="71" spans="2:22" x14ac:dyDescent="0.5">
      <c r="B71" s="30">
        <v>67</v>
      </c>
      <c r="C71" s="30" t="s">
        <v>208</v>
      </c>
      <c r="D71" s="31">
        <v>202167</v>
      </c>
      <c r="E71" s="30" t="s">
        <v>209</v>
      </c>
      <c r="F71" s="53" t="s">
        <v>195</v>
      </c>
      <c r="G71" s="32">
        <v>44011</v>
      </c>
      <c r="H71" s="33">
        <v>0.62220341064730822</v>
      </c>
      <c r="I71" s="30" t="s">
        <v>163</v>
      </c>
      <c r="J71" s="34">
        <v>433740</v>
      </c>
      <c r="K71" s="35" t="s">
        <v>17</v>
      </c>
      <c r="L71" s="36">
        <v>78073.2</v>
      </c>
      <c r="M71" s="30" t="s">
        <v>37</v>
      </c>
      <c r="N71" s="30" t="s">
        <v>19</v>
      </c>
      <c r="O71" s="30" t="s">
        <v>1542</v>
      </c>
      <c r="P71" s="30" t="s">
        <v>1542</v>
      </c>
      <c r="Q71" s="30" t="str">
        <f>VLOOKUP(WEEKDAY(G71),Key!$B$3:$C$9,2,0)</f>
        <v>Monday</v>
      </c>
      <c r="R71" s="42" t="str">
        <f t="shared" si="3"/>
        <v>Within</v>
      </c>
      <c r="S71" s="41" t="str">
        <f t="shared" si="4"/>
        <v>Pass</v>
      </c>
      <c r="T71" s="30" t="str">
        <f t="shared" si="5"/>
        <v>FY 20-21</v>
      </c>
      <c r="U71" s="30" t="str">
        <f>VLOOKUP(MONTH(G71),Key!$F$3:$G$14,2,0)</f>
        <v>Jun</v>
      </c>
      <c r="V71" s="30" t="str">
        <f>IFERROR(IF(MATCH(F71,'Test 6'!C$5:C$9,0)&gt;0,"RP"),"NON-RP")</f>
        <v>NON-RP</v>
      </c>
    </row>
    <row r="72" spans="2:22" x14ac:dyDescent="0.5">
      <c r="B72" s="30">
        <v>68</v>
      </c>
      <c r="C72" s="30" t="s">
        <v>210</v>
      </c>
      <c r="D72" s="31">
        <v>202168</v>
      </c>
      <c r="E72" s="30" t="s">
        <v>211</v>
      </c>
      <c r="F72" s="53" t="s">
        <v>203</v>
      </c>
      <c r="G72" s="32">
        <v>44012</v>
      </c>
      <c r="H72" s="33">
        <v>0.67186804909781528</v>
      </c>
      <c r="I72" s="30" t="s">
        <v>163</v>
      </c>
      <c r="J72" s="34">
        <v>484610</v>
      </c>
      <c r="K72" s="35" t="s">
        <v>17</v>
      </c>
      <c r="L72" s="36">
        <v>87229.8</v>
      </c>
      <c r="M72" s="30" t="s">
        <v>32</v>
      </c>
      <c r="N72" s="30" t="s">
        <v>19</v>
      </c>
      <c r="O72" s="30" t="s">
        <v>1542</v>
      </c>
      <c r="P72" s="30" t="s">
        <v>1542</v>
      </c>
      <c r="Q72" s="30" t="str">
        <f>VLOOKUP(WEEKDAY(G72),Key!$B$3:$C$9,2,0)</f>
        <v>Tuesday</v>
      </c>
      <c r="R72" s="42" t="str">
        <f t="shared" si="3"/>
        <v>Within</v>
      </c>
      <c r="S72" s="41" t="str">
        <f t="shared" si="4"/>
        <v>Pass</v>
      </c>
      <c r="T72" s="30" t="str">
        <f t="shared" si="5"/>
        <v>FY 20-21</v>
      </c>
      <c r="U72" s="30" t="str">
        <f>VLOOKUP(MONTH(G72),Key!$F$3:$G$14,2,0)</f>
        <v>Jun</v>
      </c>
      <c r="V72" s="30" t="str">
        <f>IFERROR(IF(MATCH(F72,'Test 6'!C$5:C$9,0)&gt;0,"RP"),"NON-RP")</f>
        <v>NON-RP</v>
      </c>
    </row>
    <row r="73" spans="2:22" x14ac:dyDescent="0.5">
      <c r="B73" s="30">
        <v>69</v>
      </c>
      <c r="C73" s="30" t="s">
        <v>212</v>
      </c>
      <c r="D73" s="31">
        <v>202169</v>
      </c>
      <c r="E73" s="30" t="s">
        <v>213</v>
      </c>
      <c r="F73" s="53" t="s">
        <v>103</v>
      </c>
      <c r="G73" s="32">
        <v>44012</v>
      </c>
      <c r="H73" s="33">
        <v>0.56537999115219506</v>
      </c>
      <c r="I73" s="30" t="s">
        <v>163</v>
      </c>
      <c r="J73" s="34">
        <v>309040</v>
      </c>
      <c r="K73" s="35" t="s">
        <v>17</v>
      </c>
      <c r="L73" s="36">
        <v>55627.199999999997</v>
      </c>
      <c r="M73" s="30" t="s">
        <v>18</v>
      </c>
      <c r="N73" s="30" t="s">
        <v>68</v>
      </c>
      <c r="O73" s="30" t="s">
        <v>1542</v>
      </c>
      <c r="P73" s="30" t="s">
        <v>1542</v>
      </c>
      <c r="Q73" s="30" t="str">
        <f>VLOOKUP(WEEKDAY(G73),Key!$B$3:$C$9,2,0)</f>
        <v>Tuesday</v>
      </c>
      <c r="R73" s="42" t="str">
        <f t="shared" si="3"/>
        <v>Within</v>
      </c>
      <c r="S73" s="41" t="str">
        <f t="shared" si="4"/>
        <v>Pass</v>
      </c>
      <c r="T73" s="30" t="str">
        <f t="shared" si="5"/>
        <v>FY 20-21</v>
      </c>
      <c r="U73" s="30" t="str">
        <f>VLOOKUP(MONTH(G73),Key!$F$3:$G$14,2,0)</f>
        <v>Jun</v>
      </c>
      <c r="V73" s="30" t="str">
        <f>IFERROR(IF(MATCH(F73,'Test 6'!C$5:C$9,0)&gt;0,"RP"),"NON-RP")</f>
        <v>NON-RP</v>
      </c>
    </row>
    <row r="74" spans="2:22" x14ac:dyDescent="0.5">
      <c r="B74" s="30">
        <v>70</v>
      </c>
      <c r="C74" s="30" t="s">
        <v>214</v>
      </c>
      <c r="D74" s="31">
        <v>202170</v>
      </c>
      <c r="E74" s="30" t="s">
        <v>215</v>
      </c>
      <c r="F74" s="53" t="s">
        <v>84</v>
      </c>
      <c r="G74" s="32">
        <v>44015</v>
      </c>
      <c r="H74" s="33">
        <v>0.71724035907092376</v>
      </c>
      <c r="I74" s="30" t="s">
        <v>216</v>
      </c>
      <c r="J74" s="34">
        <v>350710</v>
      </c>
      <c r="K74" s="35" t="s">
        <v>17</v>
      </c>
      <c r="L74" s="36">
        <v>63127.799999999996</v>
      </c>
      <c r="M74" s="30" t="s">
        <v>23</v>
      </c>
      <c r="N74" s="30" t="s">
        <v>24</v>
      </c>
      <c r="O74" s="30" t="s">
        <v>1542</v>
      </c>
      <c r="P74" s="30" t="s">
        <v>1542</v>
      </c>
      <c r="Q74" s="30" t="str">
        <f>VLOOKUP(WEEKDAY(G74),Key!$B$3:$C$9,2,0)</f>
        <v>Friday</v>
      </c>
      <c r="R74" s="42" t="str">
        <f t="shared" si="3"/>
        <v>Within</v>
      </c>
      <c r="S74" s="41" t="str">
        <f t="shared" si="4"/>
        <v>Pass</v>
      </c>
      <c r="T74" s="30" t="str">
        <f t="shared" si="5"/>
        <v>FY 20-21</v>
      </c>
      <c r="U74" s="30" t="str">
        <f>VLOOKUP(MONTH(G74),Key!$F$3:$G$14,2,0)</f>
        <v>Jul</v>
      </c>
      <c r="V74" s="30" t="str">
        <f>IFERROR(IF(MATCH(F74,'Test 6'!C$5:C$9,0)&gt;0,"RP"),"NON-RP")</f>
        <v>NON-RP</v>
      </c>
    </row>
    <row r="75" spans="2:22" x14ac:dyDescent="0.5">
      <c r="B75" s="30">
        <v>71</v>
      </c>
      <c r="C75" s="30" t="s">
        <v>217</v>
      </c>
      <c r="D75" s="31">
        <v>202171</v>
      </c>
      <c r="E75" s="30" t="s">
        <v>218</v>
      </c>
      <c r="F75" s="53" t="s">
        <v>72</v>
      </c>
      <c r="G75" s="32">
        <v>44018</v>
      </c>
      <c r="H75" s="33">
        <v>0.71159449541092279</v>
      </c>
      <c r="I75" s="30" t="s">
        <v>216</v>
      </c>
      <c r="J75" s="34">
        <v>317450</v>
      </c>
      <c r="K75" s="35" t="s">
        <v>17</v>
      </c>
      <c r="L75" s="36">
        <v>57141</v>
      </c>
      <c r="M75" s="30" t="s">
        <v>32</v>
      </c>
      <c r="N75" s="30" t="s">
        <v>51</v>
      </c>
      <c r="O75" s="30" t="s">
        <v>1542</v>
      </c>
      <c r="P75" s="30" t="s">
        <v>1542</v>
      </c>
      <c r="Q75" s="30" t="str">
        <f>VLOOKUP(WEEKDAY(G75),Key!$B$3:$C$9,2,0)</f>
        <v>Monday</v>
      </c>
      <c r="R75" s="42" t="str">
        <f t="shared" si="3"/>
        <v>Within</v>
      </c>
      <c r="S75" s="41" t="str">
        <f t="shared" si="4"/>
        <v>Pass</v>
      </c>
      <c r="T75" s="30" t="str">
        <f t="shared" si="5"/>
        <v>FY 20-21</v>
      </c>
      <c r="U75" s="30" t="str">
        <f>VLOOKUP(MONTH(G75),Key!$F$3:$G$14,2,0)</f>
        <v>Jul</v>
      </c>
      <c r="V75" s="30" t="str">
        <f>IFERROR(IF(MATCH(F75,'Test 6'!C$5:C$9,0)&gt;0,"RP"),"NON-RP")</f>
        <v>NON-RP</v>
      </c>
    </row>
    <row r="76" spans="2:22" x14ac:dyDescent="0.5">
      <c r="B76" s="30">
        <v>72</v>
      </c>
      <c r="C76" s="30" t="s">
        <v>219</v>
      </c>
      <c r="D76" s="31">
        <v>202172</v>
      </c>
      <c r="E76" s="30" t="s">
        <v>220</v>
      </c>
      <c r="F76" s="53" t="s">
        <v>57</v>
      </c>
      <c r="G76" s="32">
        <v>44019</v>
      </c>
      <c r="H76" s="33">
        <v>0.58892013221822692</v>
      </c>
      <c r="I76" s="30" t="s">
        <v>216</v>
      </c>
      <c r="J76" s="34">
        <v>4374900</v>
      </c>
      <c r="K76" s="35" t="s">
        <v>17</v>
      </c>
      <c r="L76" s="36">
        <v>787482</v>
      </c>
      <c r="M76" s="30" t="s">
        <v>69</v>
      </c>
      <c r="N76" s="30" t="s">
        <v>41</v>
      </c>
      <c r="O76" s="30" t="s">
        <v>1542</v>
      </c>
      <c r="P76" s="30" t="s">
        <v>1542</v>
      </c>
      <c r="Q76" s="30" t="str">
        <f>VLOOKUP(WEEKDAY(G76),Key!$B$3:$C$9,2,0)</f>
        <v>Tuesday</v>
      </c>
      <c r="R76" s="42" t="str">
        <f t="shared" si="3"/>
        <v>Within</v>
      </c>
      <c r="S76" s="41" t="str">
        <f t="shared" si="4"/>
        <v>Pass</v>
      </c>
      <c r="T76" s="30" t="str">
        <f t="shared" si="5"/>
        <v>FY 20-21</v>
      </c>
      <c r="U76" s="30" t="str">
        <f>VLOOKUP(MONTH(G76),Key!$F$3:$G$14,2,0)</f>
        <v>Jul</v>
      </c>
      <c r="V76" s="30" t="str">
        <f>IFERROR(IF(MATCH(F76,'Test 6'!C$5:C$9,0)&gt;0,"RP"),"NON-RP")</f>
        <v>NON-RP</v>
      </c>
    </row>
    <row r="77" spans="2:22" x14ac:dyDescent="0.5">
      <c r="B77" s="30">
        <v>73</v>
      </c>
      <c r="C77" s="30" t="s">
        <v>221</v>
      </c>
      <c r="D77" s="31">
        <v>202173</v>
      </c>
      <c r="E77" s="30" t="s">
        <v>222</v>
      </c>
      <c r="F77" s="53" t="s">
        <v>119</v>
      </c>
      <c r="G77" s="32">
        <v>44020</v>
      </c>
      <c r="H77" s="33">
        <v>0.5129439040238748</v>
      </c>
      <c r="I77" s="30" t="s">
        <v>216</v>
      </c>
      <c r="J77" s="34">
        <v>379870</v>
      </c>
      <c r="K77" s="35" t="s">
        <v>17</v>
      </c>
      <c r="L77" s="36">
        <v>68376.599999999991</v>
      </c>
      <c r="M77" s="30" t="s">
        <v>23</v>
      </c>
      <c r="N77" s="30" t="s">
        <v>51</v>
      </c>
      <c r="O77" s="30" t="s">
        <v>1542</v>
      </c>
      <c r="P77" s="30" t="s">
        <v>1542</v>
      </c>
      <c r="Q77" s="30" t="str">
        <f>VLOOKUP(WEEKDAY(G77),Key!$B$3:$C$9,2,0)</f>
        <v>Wednesday</v>
      </c>
      <c r="R77" s="42" t="str">
        <f t="shared" si="3"/>
        <v>Within</v>
      </c>
      <c r="S77" s="41" t="str">
        <f t="shared" si="4"/>
        <v>Pass</v>
      </c>
      <c r="T77" s="30" t="str">
        <f t="shared" si="5"/>
        <v>FY 20-21</v>
      </c>
      <c r="U77" s="30" t="str">
        <f>VLOOKUP(MONTH(G77),Key!$F$3:$G$14,2,0)</f>
        <v>Jul</v>
      </c>
      <c r="V77" s="30" t="str">
        <f>IFERROR(IF(MATCH(F77,'Test 6'!C$5:C$9,0)&gt;0,"RP"),"NON-RP")</f>
        <v>NON-RP</v>
      </c>
    </row>
    <row r="78" spans="2:22" x14ac:dyDescent="0.5">
      <c r="B78" s="30">
        <v>74</v>
      </c>
      <c r="C78" s="30" t="s">
        <v>223</v>
      </c>
      <c r="D78" s="31">
        <v>202174</v>
      </c>
      <c r="E78" s="30" t="s">
        <v>224</v>
      </c>
      <c r="F78" s="53" t="s">
        <v>57</v>
      </c>
      <c r="G78" s="32">
        <v>44020</v>
      </c>
      <c r="H78" s="33">
        <v>0.45897457727720498</v>
      </c>
      <c r="I78" s="30" t="s">
        <v>216</v>
      </c>
      <c r="J78" s="34">
        <v>415470</v>
      </c>
      <c r="K78" s="35" t="s">
        <v>17</v>
      </c>
      <c r="L78" s="36">
        <v>74784.599999999991</v>
      </c>
      <c r="M78" s="30" t="s">
        <v>18</v>
      </c>
      <c r="N78" s="30" t="s">
        <v>68</v>
      </c>
      <c r="O78" s="30" t="s">
        <v>1542</v>
      </c>
      <c r="P78" s="30" t="s">
        <v>1542</v>
      </c>
      <c r="Q78" s="30" t="str">
        <f>VLOOKUP(WEEKDAY(G78),Key!$B$3:$C$9,2,0)</f>
        <v>Wednesday</v>
      </c>
      <c r="R78" s="42" t="str">
        <f t="shared" si="3"/>
        <v>Within</v>
      </c>
      <c r="S78" s="41" t="str">
        <f t="shared" si="4"/>
        <v>Pass</v>
      </c>
      <c r="T78" s="30" t="str">
        <f t="shared" si="5"/>
        <v>FY 20-21</v>
      </c>
      <c r="U78" s="30" t="str">
        <f>VLOOKUP(MONTH(G78),Key!$F$3:$G$14,2,0)</f>
        <v>Jul</v>
      </c>
      <c r="V78" s="30" t="str">
        <f>IFERROR(IF(MATCH(F78,'Test 6'!C$5:C$9,0)&gt;0,"RP"),"NON-RP")</f>
        <v>NON-RP</v>
      </c>
    </row>
    <row r="79" spans="2:22" x14ac:dyDescent="0.5">
      <c r="B79" s="30">
        <v>75</v>
      </c>
      <c r="C79" s="30" t="s">
        <v>225</v>
      </c>
      <c r="D79" s="31">
        <v>202175</v>
      </c>
      <c r="E79" s="30" t="s">
        <v>226</v>
      </c>
      <c r="F79" s="53" t="s">
        <v>195</v>
      </c>
      <c r="G79" s="32">
        <v>44020</v>
      </c>
      <c r="H79" s="33">
        <v>0.63965713100688737</v>
      </c>
      <c r="I79" s="30" t="s">
        <v>216</v>
      </c>
      <c r="J79" s="34">
        <v>451520</v>
      </c>
      <c r="K79" s="35" t="s">
        <v>17</v>
      </c>
      <c r="L79" s="36">
        <v>81273.599999999991</v>
      </c>
      <c r="M79" s="30" t="s">
        <v>46</v>
      </c>
      <c r="N79" s="30" t="s">
        <v>24</v>
      </c>
      <c r="O79" s="30" t="s">
        <v>1542</v>
      </c>
      <c r="P79" s="30" t="s">
        <v>1542</v>
      </c>
      <c r="Q79" s="30" t="str">
        <f>VLOOKUP(WEEKDAY(G79),Key!$B$3:$C$9,2,0)</f>
        <v>Wednesday</v>
      </c>
      <c r="R79" s="42" t="str">
        <f t="shared" si="3"/>
        <v>Within</v>
      </c>
      <c r="S79" s="41" t="str">
        <f t="shared" si="4"/>
        <v>Pass</v>
      </c>
      <c r="T79" s="30" t="str">
        <f t="shared" si="5"/>
        <v>FY 20-21</v>
      </c>
      <c r="U79" s="30" t="str">
        <f>VLOOKUP(MONTH(G79),Key!$F$3:$G$14,2,0)</f>
        <v>Jul</v>
      </c>
      <c r="V79" s="30" t="str">
        <f>IFERROR(IF(MATCH(F79,'Test 6'!C$5:C$9,0)&gt;0,"RP"),"NON-RP")</f>
        <v>NON-RP</v>
      </c>
    </row>
    <row r="80" spans="2:22" x14ac:dyDescent="0.5">
      <c r="B80" s="30">
        <v>76</v>
      </c>
      <c r="C80" s="30" t="s">
        <v>227</v>
      </c>
      <c r="D80" s="31">
        <v>202176</v>
      </c>
      <c r="E80" s="30" t="s">
        <v>228</v>
      </c>
      <c r="F80" s="53" t="s">
        <v>229</v>
      </c>
      <c r="G80" s="32">
        <v>44021</v>
      </c>
      <c r="H80" s="33">
        <v>0.51071042238614028</v>
      </c>
      <c r="I80" s="30" t="s">
        <v>216</v>
      </c>
      <c r="J80" s="34">
        <v>453330</v>
      </c>
      <c r="K80" s="35" t="s">
        <v>17</v>
      </c>
      <c r="L80" s="36">
        <v>81599.399999999994</v>
      </c>
      <c r="M80" s="30" t="s">
        <v>18</v>
      </c>
      <c r="N80" s="30" t="s">
        <v>24</v>
      </c>
      <c r="O80" s="30" t="s">
        <v>1542</v>
      </c>
      <c r="P80" s="30" t="s">
        <v>1542</v>
      </c>
      <c r="Q80" s="30" t="str">
        <f>VLOOKUP(WEEKDAY(G80),Key!$B$3:$C$9,2,0)</f>
        <v>Thursday</v>
      </c>
      <c r="R80" s="42" t="str">
        <f t="shared" si="3"/>
        <v>Within</v>
      </c>
      <c r="S80" s="41" t="str">
        <f t="shared" si="4"/>
        <v>Pass</v>
      </c>
      <c r="T80" s="30" t="str">
        <f t="shared" si="5"/>
        <v>FY 20-21</v>
      </c>
      <c r="U80" s="30" t="str">
        <f>VLOOKUP(MONTH(G80),Key!$F$3:$G$14,2,0)</f>
        <v>Jul</v>
      </c>
      <c r="V80" s="30" t="str">
        <f>IFERROR(IF(MATCH(F80,'Test 6'!C$5:C$9,0)&gt;0,"RP"),"NON-RP")</f>
        <v>NON-RP</v>
      </c>
    </row>
    <row r="81" spans="2:22" x14ac:dyDescent="0.5">
      <c r="B81" s="30">
        <v>77</v>
      </c>
      <c r="C81" s="30" t="s">
        <v>230</v>
      </c>
      <c r="D81" s="31">
        <v>202177</v>
      </c>
      <c r="E81" s="30" t="s">
        <v>231</v>
      </c>
      <c r="F81" s="53" t="s">
        <v>60</v>
      </c>
      <c r="G81" s="32">
        <v>44023</v>
      </c>
      <c r="H81" s="33">
        <v>0.56645579578520588</v>
      </c>
      <c r="I81" s="30" t="s">
        <v>216</v>
      </c>
      <c r="J81" s="34">
        <v>343940</v>
      </c>
      <c r="K81" s="35" t="s">
        <v>17</v>
      </c>
      <c r="L81" s="36">
        <v>61909.2</v>
      </c>
      <c r="M81" s="30" t="s">
        <v>28</v>
      </c>
      <c r="N81" s="30" t="s">
        <v>68</v>
      </c>
      <c r="O81" s="30" t="s">
        <v>1542</v>
      </c>
      <c r="P81" s="30" t="s">
        <v>1542</v>
      </c>
      <c r="Q81" s="30" t="str">
        <f>VLOOKUP(WEEKDAY(G81),Key!$B$3:$C$9,2,0)</f>
        <v>Saturday</v>
      </c>
      <c r="R81" s="42" t="str">
        <f t="shared" si="3"/>
        <v>Within</v>
      </c>
      <c r="S81" s="41" t="str">
        <f t="shared" si="4"/>
        <v>Pass</v>
      </c>
      <c r="T81" s="30" t="str">
        <f t="shared" si="5"/>
        <v>FY 20-21</v>
      </c>
      <c r="U81" s="30" t="str">
        <f>VLOOKUP(MONTH(G81),Key!$F$3:$G$14,2,0)</f>
        <v>Jul</v>
      </c>
      <c r="V81" s="30" t="str">
        <f>IFERROR(IF(MATCH(F81,'Test 6'!C$5:C$9,0)&gt;0,"RP"),"NON-RP")</f>
        <v>NON-RP</v>
      </c>
    </row>
    <row r="82" spans="2:22" x14ac:dyDescent="0.5">
      <c r="B82" s="30">
        <v>78</v>
      </c>
      <c r="C82" s="30" t="s">
        <v>232</v>
      </c>
      <c r="D82" s="31">
        <v>202178</v>
      </c>
      <c r="E82" s="30" t="s">
        <v>233</v>
      </c>
      <c r="F82" s="53" t="s">
        <v>187</v>
      </c>
      <c r="G82" s="32">
        <v>44023</v>
      </c>
      <c r="H82" s="33">
        <v>0.50619619755304368</v>
      </c>
      <c r="I82" s="30" t="s">
        <v>216</v>
      </c>
      <c r="J82" s="34">
        <v>369380</v>
      </c>
      <c r="K82" s="35" t="s">
        <v>17</v>
      </c>
      <c r="L82" s="36">
        <v>66488.399999999994</v>
      </c>
      <c r="M82" s="30" t="s">
        <v>61</v>
      </c>
      <c r="N82" s="30" t="s">
        <v>68</v>
      </c>
      <c r="O82" s="30" t="s">
        <v>1542</v>
      </c>
      <c r="P82" s="30" t="s">
        <v>1542</v>
      </c>
      <c r="Q82" s="30" t="str">
        <f>VLOOKUP(WEEKDAY(G82),Key!$B$3:$C$9,2,0)</f>
        <v>Saturday</v>
      </c>
      <c r="R82" s="42" t="str">
        <f t="shared" si="3"/>
        <v>Within</v>
      </c>
      <c r="S82" s="41" t="str">
        <f t="shared" si="4"/>
        <v>Pass</v>
      </c>
      <c r="T82" s="30" t="str">
        <f t="shared" si="5"/>
        <v>FY 20-21</v>
      </c>
      <c r="U82" s="30" t="str">
        <f>VLOOKUP(MONTH(G82),Key!$F$3:$G$14,2,0)</f>
        <v>Jul</v>
      </c>
      <c r="V82" s="30" t="str">
        <f>IFERROR(IF(MATCH(F82,'Test 6'!C$5:C$9,0)&gt;0,"RP"),"NON-RP")</f>
        <v>NON-RP</v>
      </c>
    </row>
    <row r="83" spans="2:22" x14ac:dyDescent="0.5">
      <c r="B83" s="30">
        <v>79</v>
      </c>
      <c r="C83" s="30" t="s">
        <v>234</v>
      </c>
      <c r="D83" s="31">
        <v>202179</v>
      </c>
      <c r="E83" s="30" t="s">
        <v>235</v>
      </c>
      <c r="F83" s="53" t="s">
        <v>22</v>
      </c>
      <c r="G83" s="32">
        <v>44025</v>
      </c>
      <c r="H83" s="33">
        <v>0.60707143096506011</v>
      </c>
      <c r="I83" s="30" t="s">
        <v>216</v>
      </c>
      <c r="J83" s="34">
        <v>242400</v>
      </c>
      <c r="K83" s="35" t="s">
        <v>17</v>
      </c>
      <c r="L83" s="36">
        <v>43632</v>
      </c>
      <c r="M83" s="30" t="s">
        <v>37</v>
      </c>
      <c r="N83" s="30" t="s">
        <v>47</v>
      </c>
      <c r="O83" s="30" t="s">
        <v>1542</v>
      </c>
      <c r="P83" s="30" t="s">
        <v>1542</v>
      </c>
      <c r="Q83" s="30" t="str">
        <f>VLOOKUP(WEEKDAY(G83),Key!$B$3:$C$9,2,0)</f>
        <v>Monday</v>
      </c>
      <c r="R83" s="42" t="str">
        <f t="shared" si="3"/>
        <v>Within</v>
      </c>
      <c r="S83" s="41" t="str">
        <f t="shared" si="4"/>
        <v>Pass</v>
      </c>
      <c r="T83" s="30" t="str">
        <f t="shared" si="5"/>
        <v>FY 20-21</v>
      </c>
      <c r="U83" s="30" t="str">
        <f>VLOOKUP(MONTH(G83),Key!$F$3:$G$14,2,0)</f>
        <v>Jul</v>
      </c>
      <c r="V83" s="30" t="str">
        <f>IFERROR(IF(MATCH(F83,'Test 6'!C$5:C$9,0)&gt;0,"RP"),"NON-RP")</f>
        <v>NON-RP</v>
      </c>
    </row>
    <row r="84" spans="2:22" x14ac:dyDescent="0.5">
      <c r="B84" s="30">
        <v>80</v>
      </c>
      <c r="C84" s="30" t="s">
        <v>236</v>
      </c>
      <c r="D84" s="31">
        <v>202180</v>
      </c>
      <c r="E84" s="30" t="s">
        <v>237</v>
      </c>
      <c r="F84" s="53" t="s">
        <v>238</v>
      </c>
      <c r="G84" s="32">
        <v>44025</v>
      </c>
      <c r="H84" s="33">
        <v>0.66565560466787532</v>
      </c>
      <c r="I84" s="30" t="s">
        <v>216</v>
      </c>
      <c r="J84" s="34">
        <v>343980</v>
      </c>
      <c r="K84" s="35" t="s">
        <v>17</v>
      </c>
      <c r="L84" s="36">
        <v>61916.399999999994</v>
      </c>
      <c r="M84" s="30" t="s">
        <v>46</v>
      </c>
      <c r="N84" s="30" t="s">
        <v>19</v>
      </c>
      <c r="O84" s="30" t="s">
        <v>1542</v>
      </c>
      <c r="P84" s="30" t="s">
        <v>1542</v>
      </c>
      <c r="Q84" s="30" t="str">
        <f>VLOOKUP(WEEKDAY(G84),Key!$B$3:$C$9,2,0)</f>
        <v>Monday</v>
      </c>
      <c r="R84" s="42" t="str">
        <f t="shared" si="3"/>
        <v>Within</v>
      </c>
      <c r="S84" s="41" t="str">
        <f t="shared" si="4"/>
        <v>Pass</v>
      </c>
      <c r="T84" s="30" t="str">
        <f t="shared" si="5"/>
        <v>FY 20-21</v>
      </c>
      <c r="U84" s="30" t="str">
        <f>VLOOKUP(MONTH(G84),Key!$F$3:$G$14,2,0)</f>
        <v>Jul</v>
      </c>
      <c r="V84" s="30" t="str">
        <f>IFERROR(IF(MATCH(F84,'Test 6'!C$5:C$9,0)&gt;0,"RP"),"NON-RP")</f>
        <v>NON-RP</v>
      </c>
    </row>
    <row r="85" spans="2:22" x14ac:dyDescent="0.5">
      <c r="B85" s="30">
        <v>81</v>
      </c>
      <c r="C85" s="30" t="s">
        <v>239</v>
      </c>
      <c r="D85" s="31">
        <v>202181</v>
      </c>
      <c r="E85" s="30" t="s">
        <v>240</v>
      </c>
      <c r="F85" s="53" t="s">
        <v>241</v>
      </c>
      <c r="G85" s="32">
        <v>44027</v>
      </c>
      <c r="H85" s="33">
        <v>0.5423339745192951</v>
      </c>
      <c r="I85" s="30" t="s">
        <v>163</v>
      </c>
      <c r="J85" s="34">
        <v>337370</v>
      </c>
      <c r="K85" s="35" t="s">
        <v>17</v>
      </c>
      <c r="L85" s="36">
        <v>60726.6</v>
      </c>
      <c r="M85" s="30" t="s">
        <v>46</v>
      </c>
      <c r="N85" s="30" t="s">
        <v>47</v>
      </c>
      <c r="O85" s="30" t="s">
        <v>1542</v>
      </c>
      <c r="P85" s="30" t="s">
        <v>1542</v>
      </c>
      <c r="Q85" s="30" t="str">
        <f>VLOOKUP(WEEKDAY(G85),Key!$B$3:$C$9,2,0)</f>
        <v>Wednesday</v>
      </c>
      <c r="R85" s="42" t="str">
        <f t="shared" si="3"/>
        <v>Within</v>
      </c>
      <c r="S85" s="41" t="str">
        <f t="shared" si="4"/>
        <v>Pass</v>
      </c>
      <c r="T85" s="30" t="str">
        <f t="shared" si="5"/>
        <v>FY 20-21</v>
      </c>
      <c r="U85" s="30" t="str">
        <f>VLOOKUP(MONTH(G85),Key!$F$3:$G$14,2,0)</f>
        <v>Jul</v>
      </c>
      <c r="V85" s="30" t="str">
        <f>IFERROR(IF(MATCH(F85,'Test 6'!C$5:C$9,0)&gt;0,"RP"),"NON-RP")</f>
        <v>RP</v>
      </c>
    </row>
    <row r="86" spans="2:22" x14ac:dyDescent="0.5">
      <c r="B86" s="30">
        <v>82</v>
      </c>
      <c r="C86" s="30" t="s">
        <v>242</v>
      </c>
      <c r="D86" s="31">
        <v>202182</v>
      </c>
      <c r="E86" s="30" t="s">
        <v>243</v>
      </c>
      <c r="F86" s="53" t="s">
        <v>119</v>
      </c>
      <c r="G86" s="32">
        <v>44027</v>
      </c>
      <c r="H86" s="33">
        <v>0.5136375719116445</v>
      </c>
      <c r="I86" s="30" t="s">
        <v>216</v>
      </c>
      <c r="J86" s="34">
        <v>393430</v>
      </c>
      <c r="K86" s="35" t="s">
        <v>17</v>
      </c>
      <c r="L86" s="36">
        <v>70817.399999999994</v>
      </c>
      <c r="M86" s="30" t="s">
        <v>61</v>
      </c>
      <c r="N86" s="30" t="s">
        <v>68</v>
      </c>
      <c r="O86" s="30" t="s">
        <v>1542</v>
      </c>
      <c r="P86" s="30" t="s">
        <v>1542</v>
      </c>
      <c r="Q86" s="30" t="str">
        <f>VLOOKUP(WEEKDAY(G86),Key!$B$3:$C$9,2,0)</f>
        <v>Wednesday</v>
      </c>
      <c r="R86" s="42" t="str">
        <f t="shared" si="3"/>
        <v>Within</v>
      </c>
      <c r="S86" s="41" t="str">
        <f t="shared" si="4"/>
        <v>Pass</v>
      </c>
      <c r="T86" s="30" t="str">
        <f t="shared" si="5"/>
        <v>FY 20-21</v>
      </c>
      <c r="U86" s="30" t="str">
        <f>VLOOKUP(MONTH(G86),Key!$F$3:$G$14,2,0)</f>
        <v>Jul</v>
      </c>
      <c r="V86" s="30" t="str">
        <f>IFERROR(IF(MATCH(F86,'Test 6'!C$5:C$9,0)&gt;0,"RP"),"NON-RP")</f>
        <v>NON-RP</v>
      </c>
    </row>
    <row r="87" spans="2:22" x14ac:dyDescent="0.5">
      <c r="B87" s="30">
        <v>83</v>
      </c>
      <c r="C87" s="30" t="s">
        <v>244</v>
      </c>
      <c r="D87" s="31">
        <v>202183</v>
      </c>
      <c r="E87" s="30" t="s">
        <v>245</v>
      </c>
      <c r="F87" s="53" t="s">
        <v>229</v>
      </c>
      <c r="G87" s="32">
        <v>44027</v>
      </c>
      <c r="H87" s="33">
        <v>0.55531448890929869</v>
      </c>
      <c r="I87" s="30" t="s">
        <v>216</v>
      </c>
      <c r="J87" s="34">
        <v>404010</v>
      </c>
      <c r="K87" s="35" t="s">
        <v>17</v>
      </c>
      <c r="L87" s="36">
        <v>72721.8</v>
      </c>
      <c r="M87" s="30" t="s">
        <v>37</v>
      </c>
      <c r="N87" s="30" t="s">
        <v>19</v>
      </c>
      <c r="O87" s="30" t="s">
        <v>1542</v>
      </c>
      <c r="P87" s="30" t="s">
        <v>1542</v>
      </c>
      <c r="Q87" s="30" t="str">
        <f>VLOOKUP(WEEKDAY(G87),Key!$B$3:$C$9,2,0)</f>
        <v>Wednesday</v>
      </c>
      <c r="R87" s="42" t="str">
        <f t="shared" si="3"/>
        <v>Within</v>
      </c>
      <c r="S87" s="41" t="str">
        <f t="shared" si="4"/>
        <v>Pass</v>
      </c>
      <c r="T87" s="30" t="str">
        <f t="shared" si="5"/>
        <v>FY 20-21</v>
      </c>
      <c r="U87" s="30" t="str">
        <f>VLOOKUP(MONTH(G87),Key!$F$3:$G$14,2,0)</f>
        <v>Jul</v>
      </c>
      <c r="V87" s="30" t="str">
        <f>IFERROR(IF(MATCH(F87,'Test 6'!C$5:C$9,0)&gt;0,"RP"),"NON-RP")</f>
        <v>NON-RP</v>
      </c>
    </row>
    <row r="88" spans="2:22" x14ac:dyDescent="0.5">
      <c r="B88" s="30">
        <v>84</v>
      </c>
      <c r="C88" s="30" t="s">
        <v>246</v>
      </c>
      <c r="D88" s="31">
        <v>202184</v>
      </c>
      <c r="E88" s="30" t="s">
        <v>247</v>
      </c>
      <c r="F88" s="53" t="s">
        <v>103</v>
      </c>
      <c r="G88" s="32">
        <v>44028</v>
      </c>
      <c r="H88" s="33">
        <v>0.47257336988604254</v>
      </c>
      <c r="I88" s="30" t="s">
        <v>216</v>
      </c>
      <c r="J88" s="34">
        <v>448370</v>
      </c>
      <c r="K88" s="35" t="s">
        <v>17</v>
      </c>
      <c r="L88" s="36">
        <v>80706.599999999991</v>
      </c>
      <c r="M88" s="30" t="s">
        <v>46</v>
      </c>
      <c r="N88" s="30" t="s">
        <v>47</v>
      </c>
      <c r="O88" s="30" t="s">
        <v>1542</v>
      </c>
      <c r="P88" s="30" t="s">
        <v>1542</v>
      </c>
      <c r="Q88" s="30" t="str">
        <f>VLOOKUP(WEEKDAY(G88),Key!$B$3:$C$9,2,0)</f>
        <v>Thursday</v>
      </c>
      <c r="R88" s="42" t="str">
        <f t="shared" si="3"/>
        <v>Within</v>
      </c>
      <c r="S88" s="41" t="str">
        <f t="shared" si="4"/>
        <v>Pass</v>
      </c>
      <c r="T88" s="30" t="str">
        <f t="shared" si="5"/>
        <v>FY 20-21</v>
      </c>
      <c r="U88" s="30" t="str">
        <f>VLOOKUP(MONTH(G88),Key!$F$3:$G$14,2,0)</f>
        <v>Jul</v>
      </c>
      <c r="V88" s="30" t="str">
        <f>IFERROR(IF(MATCH(F88,'Test 6'!C$5:C$9,0)&gt;0,"RP"),"NON-RP")</f>
        <v>NON-RP</v>
      </c>
    </row>
    <row r="89" spans="2:22" x14ac:dyDescent="0.5">
      <c r="B89" s="30">
        <v>85</v>
      </c>
      <c r="C89" s="30" t="s">
        <v>248</v>
      </c>
      <c r="D89" s="31">
        <v>202185</v>
      </c>
      <c r="E89" s="30" t="s">
        <v>249</v>
      </c>
      <c r="F89" s="53" t="s">
        <v>131</v>
      </c>
      <c r="G89" s="32">
        <v>44028</v>
      </c>
      <c r="H89" s="33">
        <v>0.64134888310133986</v>
      </c>
      <c r="I89" s="30" t="s">
        <v>216</v>
      </c>
      <c r="J89" s="34">
        <v>426610</v>
      </c>
      <c r="K89" s="35" t="s">
        <v>17</v>
      </c>
      <c r="L89" s="36">
        <v>76789.8</v>
      </c>
      <c r="M89" s="30" t="s">
        <v>28</v>
      </c>
      <c r="N89" s="30" t="s">
        <v>68</v>
      </c>
      <c r="O89" s="30" t="s">
        <v>1542</v>
      </c>
      <c r="P89" s="30" t="s">
        <v>1542</v>
      </c>
      <c r="Q89" s="30" t="str">
        <f>VLOOKUP(WEEKDAY(G89),Key!$B$3:$C$9,2,0)</f>
        <v>Thursday</v>
      </c>
      <c r="R89" s="42" t="str">
        <f t="shared" si="3"/>
        <v>Within</v>
      </c>
      <c r="S89" s="41" t="str">
        <f t="shared" si="4"/>
        <v>Pass</v>
      </c>
      <c r="T89" s="30" t="str">
        <f t="shared" si="5"/>
        <v>FY 20-21</v>
      </c>
      <c r="U89" s="30" t="str">
        <f>VLOOKUP(MONTH(G89),Key!$F$3:$G$14,2,0)</f>
        <v>Jul</v>
      </c>
      <c r="V89" s="30" t="str">
        <f>IFERROR(IF(MATCH(F89,'Test 6'!C$5:C$9,0)&gt;0,"RP"),"NON-RP")</f>
        <v>NON-RP</v>
      </c>
    </row>
    <row r="90" spans="2:22" x14ac:dyDescent="0.5">
      <c r="B90" s="30">
        <v>86</v>
      </c>
      <c r="C90" s="30" t="s">
        <v>250</v>
      </c>
      <c r="D90" s="31">
        <v>202186</v>
      </c>
      <c r="E90" s="30" t="s">
        <v>251</v>
      </c>
      <c r="F90" s="53" t="s">
        <v>143</v>
      </c>
      <c r="G90" s="32">
        <v>44029</v>
      </c>
      <c r="H90" s="33">
        <v>0.61940616379692626</v>
      </c>
      <c r="I90" s="30" t="s">
        <v>216</v>
      </c>
      <c r="J90" s="34">
        <v>400810</v>
      </c>
      <c r="K90" s="35" t="s">
        <v>17</v>
      </c>
      <c r="L90" s="36">
        <v>72145.8</v>
      </c>
      <c r="M90" s="30" t="s">
        <v>32</v>
      </c>
      <c r="N90" s="30" t="s">
        <v>47</v>
      </c>
      <c r="O90" s="30" t="s">
        <v>1542</v>
      </c>
      <c r="P90" s="30" t="s">
        <v>1542</v>
      </c>
      <c r="Q90" s="30" t="str">
        <f>VLOOKUP(WEEKDAY(G90),Key!$B$3:$C$9,2,0)</f>
        <v>Friday</v>
      </c>
      <c r="R90" s="42" t="str">
        <f t="shared" si="3"/>
        <v>Within</v>
      </c>
      <c r="S90" s="41" t="str">
        <f t="shared" si="4"/>
        <v>Pass</v>
      </c>
      <c r="T90" s="30" t="str">
        <f t="shared" si="5"/>
        <v>FY 20-21</v>
      </c>
      <c r="U90" s="30" t="str">
        <f>VLOOKUP(MONTH(G90),Key!$F$3:$G$14,2,0)</f>
        <v>Jul</v>
      </c>
      <c r="V90" s="30" t="str">
        <f>IFERROR(IF(MATCH(F90,'Test 6'!C$5:C$9,0)&gt;0,"RP"),"NON-RP")</f>
        <v>NON-RP</v>
      </c>
    </row>
    <row r="91" spans="2:22" x14ac:dyDescent="0.5">
      <c r="B91" s="30">
        <v>87</v>
      </c>
      <c r="C91" s="30" t="s">
        <v>252</v>
      </c>
      <c r="D91" s="31">
        <v>202187</v>
      </c>
      <c r="E91" s="30" t="s">
        <v>253</v>
      </c>
      <c r="F91" s="53" t="s">
        <v>103</v>
      </c>
      <c r="G91" s="32">
        <v>44030</v>
      </c>
      <c r="H91" s="33">
        <v>0.63575809398003957</v>
      </c>
      <c r="I91" s="30" t="s">
        <v>216</v>
      </c>
      <c r="J91" s="34">
        <v>234150</v>
      </c>
      <c r="K91" s="35" t="s">
        <v>17</v>
      </c>
      <c r="L91" s="36">
        <v>42147</v>
      </c>
      <c r="M91" s="30" t="s">
        <v>28</v>
      </c>
      <c r="N91" s="30" t="s">
        <v>19</v>
      </c>
      <c r="O91" s="30" t="s">
        <v>1542</v>
      </c>
      <c r="P91" s="30" t="s">
        <v>1542</v>
      </c>
      <c r="Q91" s="30" t="str">
        <f>VLOOKUP(WEEKDAY(G91),Key!$B$3:$C$9,2,0)</f>
        <v>Saturday</v>
      </c>
      <c r="R91" s="42" t="str">
        <f t="shared" si="3"/>
        <v>Within</v>
      </c>
      <c r="S91" s="41" t="str">
        <f t="shared" si="4"/>
        <v>Pass</v>
      </c>
      <c r="T91" s="30" t="str">
        <f t="shared" si="5"/>
        <v>FY 20-21</v>
      </c>
      <c r="U91" s="30" t="str">
        <f>VLOOKUP(MONTH(G91),Key!$F$3:$G$14,2,0)</f>
        <v>Jul</v>
      </c>
      <c r="V91" s="30" t="str">
        <f>IFERROR(IF(MATCH(F91,'Test 6'!C$5:C$9,0)&gt;0,"RP"),"NON-RP")</f>
        <v>NON-RP</v>
      </c>
    </row>
    <row r="92" spans="2:22" x14ac:dyDescent="0.5">
      <c r="B92" s="30">
        <v>88</v>
      </c>
      <c r="C92" s="30" t="s">
        <v>254</v>
      </c>
      <c r="D92" s="31">
        <v>202188</v>
      </c>
      <c r="E92" s="30" t="s">
        <v>255</v>
      </c>
      <c r="F92" s="53" t="s">
        <v>50</v>
      </c>
      <c r="G92" s="32">
        <v>44030</v>
      </c>
      <c r="H92" s="33">
        <v>0.41684756694169328</v>
      </c>
      <c r="I92" s="30" t="s">
        <v>216</v>
      </c>
      <c r="J92" s="34">
        <v>402860</v>
      </c>
      <c r="K92" s="35" t="s">
        <v>17</v>
      </c>
      <c r="L92" s="36">
        <v>72514.8</v>
      </c>
      <c r="M92" s="30" t="s">
        <v>23</v>
      </c>
      <c r="N92" s="30" t="s">
        <v>19</v>
      </c>
      <c r="O92" s="30" t="s">
        <v>1542</v>
      </c>
      <c r="P92" s="30" t="s">
        <v>1542</v>
      </c>
      <c r="Q92" s="30" t="str">
        <f>VLOOKUP(WEEKDAY(G92),Key!$B$3:$C$9,2,0)</f>
        <v>Saturday</v>
      </c>
      <c r="R92" s="42" t="str">
        <f t="shared" si="3"/>
        <v>Within</v>
      </c>
      <c r="S92" s="41" t="str">
        <f t="shared" si="4"/>
        <v>Pass</v>
      </c>
      <c r="T92" s="30" t="str">
        <f t="shared" si="5"/>
        <v>FY 20-21</v>
      </c>
      <c r="U92" s="30" t="str">
        <f>VLOOKUP(MONTH(G92),Key!$F$3:$G$14,2,0)</f>
        <v>Jul</v>
      </c>
      <c r="V92" s="30" t="str">
        <f>IFERROR(IF(MATCH(F92,'Test 6'!C$5:C$9,0)&gt;0,"RP"),"NON-RP")</f>
        <v>NON-RP</v>
      </c>
    </row>
    <row r="93" spans="2:22" x14ac:dyDescent="0.5">
      <c r="B93" s="30">
        <v>89</v>
      </c>
      <c r="C93" s="30" t="s">
        <v>256</v>
      </c>
      <c r="D93" s="31">
        <v>202189</v>
      </c>
      <c r="E93" s="30" t="s">
        <v>257</v>
      </c>
      <c r="F93" s="53" t="s">
        <v>143</v>
      </c>
      <c r="G93" s="32">
        <v>44032</v>
      </c>
      <c r="H93" s="33">
        <v>0.50936059331500627</v>
      </c>
      <c r="I93" s="30" t="s">
        <v>216</v>
      </c>
      <c r="J93" s="34">
        <v>408480</v>
      </c>
      <c r="K93" s="35" t="s">
        <v>17</v>
      </c>
      <c r="L93" s="36">
        <v>73526.399999999994</v>
      </c>
      <c r="M93" s="30" t="s">
        <v>28</v>
      </c>
      <c r="N93" s="30" t="s">
        <v>47</v>
      </c>
      <c r="O93" s="30" t="s">
        <v>1542</v>
      </c>
      <c r="P93" s="30" t="s">
        <v>1542</v>
      </c>
      <c r="Q93" s="30" t="str">
        <f>VLOOKUP(WEEKDAY(G93),Key!$B$3:$C$9,2,0)</f>
        <v>Monday</v>
      </c>
      <c r="R93" s="42" t="str">
        <f t="shared" si="3"/>
        <v>Within</v>
      </c>
      <c r="S93" s="41" t="str">
        <f t="shared" si="4"/>
        <v>Pass</v>
      </c>
      <c r="T93" s="30" t="str">
        <f t="shared" si="5"/>
        <v>FY 20-21</v>
      </c>
      <c r="U93" s="30" t="str">
        <f>VLOOKUP(MONTH(G93),Key!$F$3:$G$14,2,0)</f>
        <v>Jul</v>
      </c>
      <c r="V93" s="30" t="str">
        <f>IFERROR(IF(MATCH(F93,'Test 6'!C$5:C$9,0)&gt;0,"RP"),"NON-RP")</f>
        <v>NON-RP</v>
      </c>
    </row>
    <row r="94" spans="2:22" x14ac:dyDescent="0.5">
      <c r="B94" s="30">
        <v>90</v>
      </c>
      <c r="C94" s="30" t="s">
        <v>258</v>
      </c>
      <c r="D94" s="31">
        <v>202190</v>
      </c>
      <c r="E94" s="30" t="s">
        <v>259</v>
      </c>
      <c r="F94" s="53" t="s">
        <v>81</v>
      </c>
      <c r="G94" s="32">
        <v>44032</v>
      </c>
      <c r="H94" s="33">
        <v>0.48354254941465752</v>
      </c>
      <c r="I94" s="30" t="s">
        <v>216</v>
      </c>
      <c r="J94" s="34">
        <v>6075310</v>
      </c>
      <c r="K94" s="35" t="s">
        <v>17</v>
      </c>
      <c r="L94" s="36">
        <v>1093555.8</v>
      </c>
      <c r="M94" s="30" t="s">
        <v>41</v>
      </c>
      <c r="N94" s="30" t="s">
        <v>42</v>
      </c>
      <c r="O94" s="30" t="s">
        <v>1575</v>
      </c>
      <c r="P94" s="30" t="s">
        <v>1578</v>
      </c>
      <c r="Q94" s="30" t="str">
        <f>VLOOKUP(WEEKDAY(G94),Key!$B$3:$C$9,2,0)</f>
        <v>Monday</v>
      </c>
      <c r="R94" s="42" t="str">
        <f t="shared" si="3"/>
        <v>Within</v>
      </c>
      <c r="S94" s="41" t="str">
        <f t="shared" si="4"/>
        <v>Pass</v>
      </c>
      <c r="T94" s="30" t="str">
        <f t="shared" si="5"/>
        <v>FY 20-21</v>
      </c>
      <c r="U94" s="30" t="str">
        <f>VLOOKUP(MONTH(G94),Key!$F$3:$G$14,2,0)</f>
        <v>Jul</v>
      </c>
      <c r="V94" s="30" t="str">
        <f>IFERROR(IF(MATCH(F94,'Test 6'!C$5:C$9,0)&gt;0,"RP"),"NON-RP")</f>
        <v>NON-RP</v>
      </c>
    </row>
    <row r="95" spans="2:22" x14ac:dyDescent="0.5">
      <c r="B95" s="30">
        <v>91</v>
      </c>
      <c r="C95" s="30" t="s">
        <v>260</v>
      </c>
      <c r="D95" s="31">
        <v>202191</v>
      </c>
      <c r="E95" s="30" t="s">
        <v>261</v>
      </c>
      <c r="F95" s="53" t="s">
        <v>262</v>
      </c>
      <c r="G95" s="32">
        <v>44032</v>
      </c>
      <c r="H95" s="33">
        <v>0.58673078924772792</v>
      </c>
      <c r="I95" s="30" t="s">
        <v>216</v>
      </c>
      <c r="J95" s="34">
        <v>448330</v>
      </c>
      <c r="K95" s="35" t="s">
        <v>17</v>
      </c>
      <c r="L95" s="36">
        <v>80699.399999999994</v>
      </c>
      <c r="M95" s="30" t="s">
        <v>37</v>
      </c>
      <c r="N95" s="30" t="s">
        <v>19</v>
      </c>
      <c r="O95" s="30" t="s">
        <v>1542</v>
      </c>
      <c r="P95" s="30" t="s">
        <v>1542</v>
      </c>
      <c r="Q95" s="30" t="str">
        <f>VLOOKUP(WEEKDAY(G95),Key!$B$3:$C$9,2,0)</f>
        <v>Monday</v>
      </c>
      <c r="R95" s="42" t="str">
        <f t="shared" si="3"/>
        <v>Within</v>
      </c>
      <c r="S95" s="41" t="str">
        <f t="shared" si="4"/>
        <v>Pass</v>
      </c>
      <c r="T95" s="30" t="str">
        <f t="shared" si="5"/>
        <v>FY 20-21</v>
      </c>
      <c r="U95" s="30" t="str">
        <f>VLOOKUP(MONTH(G95),Key!$F$3:$G$14,2,0)</f>
        <v>Jul</v>
      </c>
      <c r="V95" s="30" t="str">
        <f>IFERROR(IF(MATCH(F95,'Test 6'!C$5:C$9,0)&gt;0,"RP"),"NON-RP")</f>
        <v>NON-RP</v>
      </c>
    </row>
    <row r="96" spans="2:22" x14ac:dyDescent="0.5">
      <c r="B96" s="30">
        <v>92</v>
      </c>
      <c r="C96" s="30" t="s">
        <v>263</v>
      </c>
      <c r="D96" s="31">
        <v>202192</v>
      </c>
      <c r="E96" s="30" t="s">
        <v>264</v>
      </c>
      <c r="F96" s="53" t="s">
        <v>143</v>
      </c>
      <c r="G96" s="32">
        <v>44034</v>
      </c>
      <c r="H96" s="33">
        <v>0.54831473226597405</v>
      </c>
      <c r="I96" s="30" t="s">
        <v>216</v>
      </c>
      <c r="J96" s="34">
        <v>381310</v>
      </c>
      <c r="K96" s="35" t="s">
        <v>17</v>
      </c>
      <c r="L96" s="36">
        <v>68635.8</v>
      </c>
      <c r="M96" s="30" t="s">
        <v>61</v>
      </c>
      <c r="N96" s="30" t="s">
        <v>68</v>
      </c>
      <c r="O96" s="30" t="s">
        <v>1542</v>
      </c>
      <c r="P96" s="30" t="s">
        <v>1542</v>
      </c>
      <c r="Q96" s="30" t="str">
        <f>VLOOKUP(WEEKDAY(G96),Key!$B$3:$C$9,2,0)</f>
        <v>Wednesday</v>
      </c>
      <c r="R96" s="42" t="str">
        <f t="shared" si="3"/>
        <v>Within</v>
      </c>
      <c r="S96" s="41" t="str">
        <f t="shared" si="4"/>
        <v>Pass</v>
      </c>
      <c r="T96" s="30" t="str">
        <f t="shared" si="5"/>
        <v>FY 20-21</v>
      </c>
      <c r="U96" s="30" t="str">
        <f>VLOOKUP(MONTH(G96),Key!$F$3:$G$14,2,0)</f>
        <v>Jul</v>
      </c>
      <c r="V96" s="30" t="str">
        <f>IFERROR(IF(MATCH(F96,'Test 6'!C$5:C$9,0)&gt;0,"RP"),"NON-RP")</f>
        <v>NON-RP</v>
      </c>
    </row>
    <row r="97" spans="2:22" x14ac:dyDescent="0.5">
      <c r="B97" s="30">
        <v>93</v>
      </c>
      <c r="C97" s="30" t="s">
        <v>265</v>
      </c>
      <c r="D97" s="31">
        <v>202193</v>
      </c>
      <c r="E97" s="30" t="s">
        <v>266</v>
      </c>
      <c r="F97" s="53" t="s">
        <v>175</v>
      </c>
      <c r="G97" s="32">
        <v>44035</v>
      </c>
      <c r="H97" s="33">
        <v>0.66850326172122032</v>
      </c>
      <c r="I97" s="30" t="s">
        <v>216</v>
      </c>
      <c r="J97" s="34">
        <v>35360</v>
      </c>
      <c r="K97" s="35" t="s">
        <v>17</v>
      </c>
      <c r="L97" s="36">
        <v>6364.8</v>
      </c>
      <c r="M97" s="30" t="s">
        <v>31</v>
      </c>
      <c r="N97" s="30" t="s">
        <v>32</v>
      </c>
      <c r="O97" s="30" t="s">
        <v>1542</v>
      </c>
      <c r="P97" s="30" t="s">
        <v>1542</v>
      </c>
      <c r="Q97" s="30" t="str">
        <f>VLOOKUP(WEEKDAY(G97),Key!$B$3:$C$9,2,0)</f>
        <v>Thursday</v>
      </c>
      <c r="R97" s="42" t="str">
        <f t="shared" si="3"/>
        <v>Within</v>
      </c>
      <c r="S97" s="41" t="str">
        <f t="shared" si="4"/>
        <v>Pass</v>
      </c>
      <c r="T97" s="30" t="str">
        <f t="shared" si="5"/>
        <v>FY 20-21</v>
      </c>
      <c r="U97" s="30" t="str">
        <f>VLOOKUP(MONTH(G97),Key!$F$3:$G$14,2,0)</f>
        <v>Jul</v>
      </c>
      <c r="V97" s="30" t="str">
        <f>IFERROR(IF(MATCH(F97,'Test 6'!C$5:C$9,0)&gt;0,"RP"),"NON-RP")</f>
        <v>NON-RP</v>
      </c>
    </row>
    <row r="98" spans="2:22" x14ac:dyDescent="0.5">
      <c r="B98" s="30">
        <v>94</v>
      </c>
      <c r="C98" s="30" t="s">
        <v>267</v>
      </c>
      <c r="D98" s="31">
        <v>202194</v>
      </c>
      <c r="E98" s="30" t="s">
        <v>268</v>
      </c>
      <c r="F98" s="53" t="s">
        <v>269</v>
      </c>
      <c r="G98" s="32">
        <v>44039</v>
      </c>
      <c r="H98" s="33">
        <v>0.52577043318069383</v>
      </c>
      <c r="I98" s="30" t="s">
        <v>216</v>
      </c>
      <c r="J98" s="34">
        <v>336830</v>
      </c>
      <c r="K98" s="35" t="s">
        <v>17</v>
      </c>
      <c r="L98" s="36">
        <v>60629.399999999994</v>
      </c>
      <c r="M98" s="30" t="s">
        <v>61</v>
      </c>
      <c r="N98" s="30" t="s">
        <v>68</v>
      </c>
      <c r="O98" s="30" t="s">
        <v>1542</v>
      </c>
      <c r="P98" s="30" t="s">
        <v>1542</v>
      </c>
      <c r="Q98" s="30" t="str">
        <f>VLOOKUP(WEEKDAY(G98),Key!$B$3:$C$9,2,0)</f>
        <v>Monday</v>
      </c>
      <c r="R98" s="42" t="str">
        <f t="shared" si="3"/>
        <v>Within</v>
      </c>
      <c r="S98" s="41" t="str">
        <f t="shared" si="4"/>
        <v>Pass</v>
      </c>
      <c r="T98" s="30" t="str">
        <f t="shared" si="5"/>
        <v>FY 20-21</v>
      </c>
      <c r="U98" s="30" t="str">
        <f>VLOOKUP(MONTH(G98),Key!$F$3:$G$14,2,0)</f>
        <v>Jul</v>
      </c>
      <c r="V98" s="30" t="str">
        <f>IFERROR(IF(MATCH(F98,'Test 6'!C$5:C$9,0)&gt;0,"RP"),"NON-RP")</f>
        <v>NON-RP</v>
      </c>
    </row>
    <row r="99" spans="2:22" x14ac:dyDescent="0.5">
      <c r="B99" s="30">
        <v>95</v>
      </c>
      <c r="C99" s="30" t="s">
        <v>270</v>
      </c>
      <c r="D99" s="31">
        <v>202195</v>
      </c>
      <c r="E99" s="30" t="s">
        <v>271</v>
      </c>
      <c r="F99" s="53" t="s">
        <v>272</v>
      </c>
      <c r="G99" s="32">
        <v>44040</v>
      </c>
      <c r="H99" s="33">
        <v>0.52475885769356267</v>
      </c>
      <c r="I99" s="30" t="s">
        <v>216</v>
      </c>
      <c r="J99" s="34">
        <v>452640</v>
      </c>
      <c r="K99" s="35" t="s">
        <v>17</v>
      </c>
      <c r="L99" s="36">
        <v>81475.199999999997</v>
      </c>
      <c r="M99" s="30" t="s">
        <v>46</v>
      </c>
      <c r="N99" s="30" t="s">
        <v>51</v>
      </c>
      <c r="O99" s="30" t="s">
        <v>1542</v>
      </c>
      <c r="P99" s="30" t="s">
        <v>1542</v>
      </c>
      <c r="Q99" s="30" t="str">
        <f>VLOOKUP(WEEKDAY(G99),Key!$B$3:$C$9,2,0)</f>
        <v>Tuesday</v>
      </c>
      <c r="R99" s="42" t="str">
        <f t="shared" si="3"/>
        <v>Within</v>
      </c>
      <c r="S99" s="41" t="str">
        <f t="shared" si="4"/>
        <v>Pass</v>
      </c>
      <c r="T99" s="30" t="str">
        <f t="shared" si="5"/>
        <v>FY 20-21</v>
      </c>
      <c r="U99" s="30" t="str">
        <f>VLOOKUP(MONTH(G99),Key!$F$3:$G$14,2,0)</f>
        <v>Jul</v>
      </c>
      <c r="V99" s="30" t="str">
        <f>IFERROR(IF(MATCH(F99,'Test 6'!C$5:C$9,0)&gt;0,"RP"),"NON-RP")</f>
        <v>NON-RP</v>
      </c>
    </row>
    <row r="100" spans="2:22" x14ac:dyDescent="0.5">
      <c r="B100" s="30">
        <v>96</v>
      </c>
      <c r="C100" s="30" t="s">
        <v>273</v>
      </c>
      <c r="D100" s="31">
        <v>202196</v>
      </c>
      <c r="E100" s="30" t="s">
        <v>274</v>
      </c>
      <c r="F100" s="53" t="s">
        <v>81</v>
      </c>
      <c r="G100" s="32">
        <v>44041</v>
      </c>
      <c r="H100" s="33">
        <v>0.42209357047579232</v>
      </c>
      <c r="I100" s="30" t="s">
        <v>216</v>
      </c>
      <c r="J100" s="34">
        <v>363210</v>
      </c>
      <c r="K100" s="35" t="s">
        <v>17</v>
      </c>
      <c r="L100" s="36">
        <v>65377.799999999996</v>
      </c>
      <c r="M100" s="30" t="s">
        <v>18</v>
      </c>
      <c r="N100" s="30" t="s">
        <v>51</v>
      </c>
      <c r="O100" s="30" t="s">
        <v>1542</v>
      </c>
      <c r="P100" s="30" t="s">
        <v>1542</v>
      </c>
      <c r="Q100" s="30" t="str">
        <f>VLOOKUP(WEEKDAY(G100),Key!$B$3:$C$9,2,0)</f>
        <v>Wednesday</v>
      </c>
      <c r="R100" s="42" t="str">
        <f t="shared" si="3"/>
        <v>Within</v>
      </c>
      <c r="S100" s="41" t="str">
        <f t="shared" si="4"/>
        <v>Pass</v>
      </c>
      <c r="T100" s="30" t="str">
        <f t="shared" si="5"/>
        <v>FY 20-21</v>
      </c>
      <c r="U100" s="30" t="str">
        <f>VLOOKUP(MONTH(G100),Key!$F$3:$G$14,2,0)</f>
        <v>Jul</v>
      </c>
      <c r="V100" s="30" t="str">
        <f>IFERROR(IF(MATCH(F100,'Test 6'!C$5:C$9,0)&gt;0,"RP"),"NON-RP")</f>
        <v>NON-RP</v>
      </c>
    </row>
    <row r="101" spans="2:22" x14ac:dyDescent="0.5">
      <c r="B101" s="30">
        <v>97</v>
      </c>
      <c r="C101" s="30" t="s">
        <v>275</v>
      </c>
      <c r="D101" s="31">
        <v>202197</v>
      </c>
      <c r="E101" s="30" t="s">
        <v>276</v>
      </c>
      <c r="F101" s="53" t="s">
        <v>95</v>
      </c>
      <c r="G101" s="32">
        <v>44044</v>
      </c>
      <c r="H101" s="33">
        <v>0.71820706020096714</v>
      </c>
      <c r="I101" s="30" t="s">
        <v>277</v>
      </c>
      <c r="J101" s="34">
        <v>459610</v>
      </c>
      <c r="K101" s="35" t="s">
        <v>17</v>
      </c>
      <c r="L101" s="36">
        <v>82729.8</v>
      </c>
      <c r="M101" s="30" t="s">
        <v>61</v>
      </c>
      <c r="N101" s="30" t="s">
        <v>19</v>
      </c>
      <c r="O101" s="30" t="s">
        <v>1542</v>
      </c>
      <c r="P101" s="30" t="s">
        <v>1542</v>
      </c>
      <c r="Q101" s="30" t="str">
        <f>VLOOKUP(WEEKDAY(G101),Key!$B$3:$C$9,2,0)</f>
        <v>Saturday</v>
      </c>
      <c r="R101" s="42" t="str">
        <f t="shared" si="3"/>
        <v>Within</v>
      </c>
      <c r="S101" s="41" t="str">
        <f t="shared" si="4"/>
        <v>Pass</v>
      </c>
      <c r="T101" s="30" t="str">
        <f t="shared" si="5"/>
        <v>FY 20-21</v>
      </c>
      <c r="U101" s="30" t="str">
        <f>VLOOKUP(MONTH(G101),Key!$F$3:$G$14,2,0)</f>
        <v>Aug</v>
      </c>
      <c r="V101" s="30" t="str">
        <f>IFERROR(IF(MATCH(F101,'Test 6'!C$5:C$9,0)&gt;0,"RP"),"NON-RP")</f>
        <v>NON-RP</v>
      </c>
    </row>
    <row r="102" spans="2:22" x14ac:dyDescent="0.5">
      <c r="B102" s="30">
        <v>98</v>
      </c>
      <c r="C102" s="30" t="s">
        <v>278</v>
      </c>
      <c r="D102" s="31">
        <v>202198</v>
      </c>
      <c r="E102" s="30" t="s">
        <v>279</v>
      </c>
      <c r="F102" s="53" t="s">
        <v>195</v>
      </c>
      <c r="G102" s="32">
        <v>44046</v>
      </c>
      <c r="H102" s="33">
        <v>0.56031328012783377</v>
      </c>
      <c r="I102" s="30" t="s">
        <v>277</v>
      </c>
      <c r="J102" s="34">
        <v>468940</v>
      </c>
      <c r="K102" s="35" t="s">
        <v>17</v>
      </c>
      <c r="L102" s="36">
        <v>84409.2</v>
      </c>
      <c r="M102" s="30" t="s">
        <v>28</v>
      </c>
      <c r="N102" s="30" t="s">
        <v>24</v>
      </c>
      <c r="O102" s="30" t="s">
        <v>1542</v>
      </c>
      <c r="P102" s="30" t="s">
        <v>1542</v>
      </c>
      <c r="Q102" s="30" t="str">
        <f>VLOOKUP(WEEKDAY(G102),Key!$B$3:$C$9,2,0)</f>
        <v>Monday</v>
      </c>
      <c r="R102" s="42" t="str">
        <f t="shared" si="3"/>
        <v>Within</v>
      </c>
      <c r="S102" s="41" t="str">
        <f t="shared" si="4"/>
        <v>Pass</v>
      </c>
      <c r="T102" s="30" t="str">
        <f t="shared" si="5"/>
        <v>FY 20-21</v>
      </c>
      <c r="U102" s="30" t="str">
        <f>VLOOKUP(MONTH(G102),Key!$F$3:$G$14,2,0)</f>
        <v>Aug</v>
      </c>
      <c r="V102" s="30" t="str">
        <f>IFERROR(IF(MATCH(F102,'Test 6'!C$5:C$9,0)&gt;0,"RP"),"NON-RP")</f>
        <v>NON-RP</v>
      </c>
    </row>
    <row r="103" spans="2:22" x14ac:dyDescent="0.5">
      <c r="B103" s="30">
        <v>99</v>
      </c>
      <c r="C103" s="30" t="s">
        <v>280</v>
      </c>
      <c r="D103" s="31">
        <v>202199</v>
      </c>
      <c r="E103" s="30" t="s">
        <v>281</v>
      </c>
      <c r="F103" s="53" t="s">
        <v>87</v>
      </c>
      <c r="G103" s="32">
        <v>44046</v>
      </c>
      <c r="H103" s="33">
        <v>0.56127550017079753</v>
      </c>
      <c r="I103" s="30" t="s">
        <v>277</v>
      </c>
      <c r="J103" s="34">
        <v>386980</v>
      </c>
      <c r="K103" s="35" t="s">
        <v>17</v>
      </c>
      <c r="L103" s="36">
        <v>69656.399999999994</v>
      </c>
      <c r="M103" s="30" t="s">
        <v>18</v>
      </c>
      <c r="N103" s="30" t="s">
        <v>24</v>
      </c>
      <c r="O103" s="30" t="s">
        <v>1542</v>
      </c>
      <c r="P103" s="30" t="s">
        <v>1542</v>
      </c>
      <c r="Q103" s="30" t="str">
        <f>VLOOKUP(WEEKDAY(G103),Key!$B$3:$C$9,2,0)</f>
        <v>Monday</v>
      </c>
      <c r="R103" s="42" t="str">
        <f t="shared" si="3"/>
        <v>Within</v>
      </c>
      <c r="S103" s="41" t="str">
        <f t="shared" si="4"/>
        <v>Pass</v>
      </c>
      <c r="T103" s="30" t="str">
        <f t="shared" si="5"/>
        <v>FY 20-21</v>
      </c>
      <c r="U103" s="30" t="str">
        <f>VLOOKUP(MONTH(G103),Key!$F$3:$G$14,2,0)</f>
        <v>Aug</v>
      </c>
      <c r="V103" s="30" t="str">
        <f>IFERROR(IF(MATCH(F103,'Test 6'!C$5:C$9,0)&gt;0,"RP"),"NON-RP")</f>
        <v>NON-RP</v>
      </c>
    </row>
    <row r="104" spans="2:22" x14ac:dyDescent="0.5">
      <c r="B104" s="30">
        <v>100</v>
      </c>
      <c r="C104" s="30" t="s">
        <v>282</v>
      </c>
      <c r="D104" s="31">
        <v>2021100</v>
      </c>
      <c r="E104" s="30" t="s">
        <v>283</v>
      </c>
      <c r="F104" s="53" t="s">
        <v>269</v>
      </c>
      <c r="G104" s="32">
        <v>44048</v>
      </c>
      <c r="H104" s="33">
        <v>0.49357746392167567</v>
      </c>
      <c r="I104" s="30" t="s">
        <v>277</v>
      </c>
      <c r="J104" s="34">
        <v>384860</v>
      </c>
      <c r="K104" s="35" t="s">
        <v>17</v>
      </c>
      <c r="L104" s="36">
        <v>69274.8</v>
      </c>
      <c r="M104" s="30" t="s">
        <v>28</v>
      </c>
      <c r="N104" s="30" t="s">
        <v>19</v>
      </c>
      <c r="O104" s="30" t="s">
        <v>1542</v>
      </c>
      <c r="P104" s="30" t="s">
        <v>1542</v>
      </c>
      <c r="Q104" s="30" t="str">
        <f>VLOOKUP(WEEKDAY(G104),Key!$B$3:$C$9,2,0)</f>
        <v>Wednesday</v>
      </c>
      <c r="R104" s="42" t="str">
        <f t="shared" si="3"/>
        <v>Within</v>
      </c>
      <c r="S104" s="41" t="str">
        <f t="shared" si="4"/>
        <v>Pass</v>
      </c>
      <c r="T104" s="30" t="str">
        <f t="shared" si="5"/>
        <v>FY 20-21</v>
      </c>
      <c r="U104" s="30" t="str">
        <f>VLOOKUP(MONTH(G104),Key!$F$3:$G$14,2,0)</f>
        <v>Aug</v>
      </c>
      <c r="V104" s="30" t="str">
        <f>IFERROR(IF(MATCH(F104,'Test 6'!C$5:C$9,0)&gt;0,"RP"),"NON-RP")</f>
        <v>NON-RP</v>
      </c>
    </row>
    <row r="105" spans="2:22" x14ac:dyDescent="0.5">
      <c r="B105" s="30">
        <v>101</v>
      </c>
      <c r="C105" s="30" t="s">
        <v>284</v>
      </c>
      <c r="D105" s="31">
        <v>2021101</v>
      </c>
      <c r="E105" s="30" t="s">
        <v>285</v>
      </c>
      <c r="F105" s="53" t="s">
        <v>238</v>
      </c>
      <c r="G105" s="32">
        <v>44050</v>
      </c>
      <c r="H105" s="33">
        <v>0.54819077880189737</v>
      </c>
      <c r="I105" s="30" t="s">
        <v>216</v>
      </c>
      <c r="J105" s="34">
        <v>476490</v>
      </c>
      <c r="K105" s="35" t="s">
        <v>17</v>
      </c>
      <c r="L105" s="36">
        <v>85768.2</v>
      </c>
      <c r="M105" s="30" t="s">
        <v>46</v>
      </c>
      <c r="N105" s="30" t="s">
        <v>24</v>
      </c>
      <c r="O105" s="30" t="s">
        <v>1542</v>
      </c>
      <c r="P105" s="30" t="s">
        <v>1542</v>
      </c>
      <c r="Q105" s="30" t="str">
        <f>VLOOKUP(WEEKDAY(G105),Key!$B$3:$C$9,2,0)</f>
        <v>Friday</v>
      </c>
      <c r="R105" s="42" t="str">
        <f t="shared" si="3"/>
        <v>Within</v>
      </c>
      <c r="S105" s="41" t="str">
        <f t="shared" si="4"/>
        <v>Pass</v>
      </c>
      <c r="T105" s="30" t="str">
        <f t="shared" si="5"/>
        <v>FY 20-21</v>
      </c>
      <c r="U105" s="30" t="str">
        <f>VLOOKUP(MONTH(G105),Key!$F$3:$G$14,2,0)</f>
        <v>Aug</v>
      </c>
      <c r="V105" s="30" t="str">
        <f>IFERROR(IF(MATCH(F105,'Test 6'!C$5:C$9,0)&gt;0,"RP"),"NON-RP")</f>
        <v>NON-RP</v>
      </c>
    </row>
    <row r="106" spans="2:22" x14ac:dyDescent="0.5">
      <c r="B106" s="30">
        <v>102</v>
      </c>
      <c r="C106" s="30" t="s">
        <v>286</v>
      </c>
      <c r="D106" s="31">
        <v>2021102</v>
      </c>
      <c r="E106" s="30" t="s">
        <v>287</v>
      </c>
      <c r="F106" s="53" t="s">
        <v>111</v>
      </c>
      <c r="G106" s="32">
        <v>44055</v>
      </c>
      <c r="H106" s="33">
        <v>0.58740410289886125</v>
      </c>
      <c r="I106" s="30" t="s">
        <v>277</v>
      </c>
      <c r="J106" s="34">
        <v>221320</v>
      </c>
      <c r="K106" s="35" t="s">
        <v>17</v>
      </c>
      <c r="L106" s="36">
        <v>39837.599999999999</v>
      </c>
      <c r="M106" s="30" t="s">
        <v>23</v>
      </c>
      <c r="N106" s="30" t="s">
        <v>47</v>
      </c>
      <c r="O106" s="30" t="s">
        <v>1542</v>
      </c>
      <c r="P106" s="30" t="s">
        <v>1542</v>
      </c>
      <c r="Q106" s="30" t="str">
        <f>VLOOKUP(WEEKDAY(G106),Key!$B$3:$C$9,2,0)</f>
        <v>Wednesday</v>
      </c>
      <c r="R106" s="42" t="str">
        <f t="shared" si="3"/>
        <v>Within</v>
      </c>
      <c r="S106" s="41" t="str">
        <f t="shared" si="4"/>
        <v>Pass</v>
      </c>
      <c r="T106" s="30" t="str">
        <f t="shared" si="5"/>
        <v>FY 20-21</v>
      </c>
      <c r="U106" s="30" t="str">
        <f>VLOOKUP(MONTH(G106),Key!$F$3:$G$14,2,0)</f>
        <v>Aug</v>
      </c>
      <c r="V106" s="30" t="str">
        <f>IFERROR(IF(MATCH(F106,'Test 6'!C$5:C$9,0)&gt;0,"RP"),"NON-RP")</f>
        <v>RP</v>
      </c>
    </row>
    <row r="107" spans="2:22" x14ac:dyDescent="0.5">
      <c r="B107" s="30">
        <v>103</v>
      </c>
      <c r="C107" s="30" t="s">
        <v>288</v>
      </c>
      <c r="D107" s="31">
        <v>2021103</v>
      </c>
      <c r="E107" s="30" t="s">
        <v>289</v>
      </c>
      <c r="F107" s="53" t="s">
        <v>290</v>
      </c>
      <c r="G107" s="32">
        <v>44057</v>
      </c>
      <c r="H107" s="33">
        <v>0.44845496494898696</v>
      </c>
      <c r="I107" s="30" t="s">
        <v>277</v>
      </c>
      <c r="J107" s="34">
        <v>361170</v>
      </c>
      <c r="K107" s="35" t="s">
        <v>17</v>
      </c>
      <c r="L107" s="36">
        <v>65010.6</v>
      </c>
      <c r="M107" s="30" t="s">
        <v>23</v>
      </c>
      <c r="N107" s="30" t="s">
        <v>19</v>
      </c>
      <c r="O107" s="30" t="s">
        <v>1542</v>
      </c>
      <c r="P107" s="30" t="s">
        <v>1542</v>
      </c>
      <c r="Q107" s="30" t="str">
        <f>VLOOKUP(WEEKDAY(G107),Key!$B$3:$C$9,2,0)</f>
        <v>Friday</v>
      </c>
      <c r="R107" s="42" t="str">
        <f t="shared" si="3"/>
        <v>Within</v>
      </c>
      <c r="S107" s="41" t="str">
        <f t="shared" si="4"/>
        <v>Pass</v>
      </c>
      <c r="T107" s="30" t="str">
        <f t="shared" si="5"/>
        <v>FY 20-21</v>
      </c>
      <c r="U107" s="30" t="str">
        <f>VLOOKUP(MONTH(G107),Key!$F$3:$G$14,2,0)</f>
        <v>Aug</v>
      </c>
      <c r="V107" s="30" t="str">
        <f>IFERROR(IF(MATCH(F107,'Test 6'!C$5:C$9,0)&gt;0,"RP"),"NON-RP")</f>
        <v>NON-RP</v>
      </c>
    </row>
    <row r="108" spans="2:22" x14ac:dyDescent="0.5">
      <c r="B108" s="30">
        <v>104</v>
      </c>
      <c r="C108" s="30" t="s">
        <v>291</v>
      </c>
      <c r="D108" s="31">
        <v>2021104</v>
      </c>
      <c r="E108" s="30" t="s">
        <v>292</v>
      </c>
      <c r="F108" s="53" t="s">
        <v>293</v>
      </c>
      <c r="G108" s="32">
        <v>44060</v>
      </c>
      <c r="H108" s="33">
        <v>0.60438121987122684</v>
      </c>
      <c r="I108" s="30" t="s">
        <v>277</v>
      </c>
      <c r="J108" s="34">
        <v>468930</v>
      </c>
      <c r="K108" s="35" t="s">
        <v>17</v>
      </c>
      <c r="L108" s="36">
        <v>84407.4</v>
      </c>
      <c r="M108" s="30" t="s">
        <v>23</v>
      </c>
      <c r="N108" s="30" t="s">
        <v>51</v>
      </c>
      <c r="O108" s="30" t="s">
        <v>1542</v>
      </c>
      <c r="P108" s="30" t="s">
        <v>1542</v>
      </c>
      <c r="Q108" s="30" t="str">
        <f>VLOOKUP(WEEKDAY(G108),Key!$B$3:$C$9,2,0)</f>
        <v>Monday</v>
      </c>
      <c r="R108" s="42" t="str">
        <f t="shared" si="3"/>
        <v>Within</v>
      </c>
      <c r="S108" s="41" t="str">
        <f t="shared" si="4"/>
        <v>Pass</v>
      </c>
      <c r="T108" s="30" t="str">
        <f t="shared" si="5"/>
        <v>FY 20-21</v>
      </c>
      <c r="U108" s="30" t="str">
        <f>VLOOKUP(MONTH(G108),Key!$F$3:$G$14,2,0)</f>
        <v>Aug</v>
      </c>
      <c r="V108" s="30" t="str">
        <f>IFERROR(IF(MATCH(F108,'Test 6'!C$5:C$9,0)&gt;0,"RP"),"NON-RP")</f>
        <v>NON-RP</v>
      </c>
    </row>
    <row r="109" spans="2:22" x14ac:dyDescent="0.5">
      <c r="B109" s="30">
        <v>105</v>
      </c>
      <c r="C109" s="30" t="s">
        <v>294</v>
      </c>
      <c r="D109" s="31">
        <v>2021105</v>
      </c>
      <c r="E109" s="30" t="s">
        <v>295</v>
      </c>
      <c r="F109" s="53" t="s">
        <v>45</v>
      </c>
      <c r="G109" s="32">
        <v>44061</v>
      </c>
      <c r="H109" s="33">
        <v>0.60582536385022423</v>
      </c>
      <c r="I109" s="30" t="s">
        <v>277</v>
      </c>
      <c r="J109" s="34">
        <v>425960</v>
      </c>
      <c r="K109" s="35" t="s">
        <v>17</v>
      </c>
      <c r="L109" s="36">
        <v>76672.800000000003</v>
      </c>
      <c r="M109" s="30" t="s">
        <v>37</v>
      </c>
      <c r="N109" s="30" t="s">
        <v>51</v>
      </c>
      <c r="O109" s="30" t="s">
        <v>1542</v>
      </c>
      <c r="P109" s="30" t="s">
        <v>1542</v>
      </c>
      <c r="Q109" s="30" t="str">
        <f>VLOOKUP(WEEKDAY(G109),Key!$B$3:$C$9,2,0)</f>
        <v>Tuesday</v>
      </c>
      <c r="R109" s="42" t="str">
        <f t="shared" si="3"/>
        <v>Within</v>
      </c>
      <c r="S109" s="41" t="str">
        <f t="shared" si="4"/>
        <v>Pass</v>
      </c>
      <c r="T109" s="30" t="str">
        <f t="shared" si="5"/>
        <v>FY 20-21</v>
      </c>
      <c r="U109" s="30" t="str">
        <f>VLOOKUP(MONTH(G109),Key!$F$3:$G$14,2,0)</f>
        <v>Aug</v>
      </c>
      <c r="V109" s="30" t="str">
        <f>IFERROR(IF(MATCH(F109,'Test 6'!C$5:C$9,0)&gt;0,"RP"),"NON-RP")</f>
        <v>NON-RP</v>
      </c>
    </row>
    <row r="110" spans="2:22" x14ac:dyDescent="0.5">
      <c r="B110" s="30">
        <v>106</v>
      </c>
      <c r="C110" s="30" t="s">
        <v>296</v>
      </c>
      <c r="D110" s="31">
        <v>2021106</v>
      </c>
      <c r="E110" s="30" t="s">
        <v>297</v>
      </c>
      <c r="F110" s="53" t="s">
        <v>184</v>
      </c>
      <c r="G110" s="32">
        <v>44061</v>
      </c>
      <c r="H110" s="33">
        <v>0.64914195409403019</v>
      </c>
      <c r="I110" s="30" t="s">
        <v>277</v>
      </c>
      <c r="J110" s="34">
        <v>489420</v>
      </c>
      <c r="K110" s="35" t="s">
        <v>17</v>
      </c>
      <c r="L110" s="36">
        <v>88095.599999999991</v>
      </c>
      <c r="M110" s="30" t="s">
        <v>61</v>
      </c>
      <c r="N110" s="30" t="s">
        <v>24</v>
      </c>
      <c r="O110" s="30" t="s">
        <v>1542</v>
      </c>
      <c r="P110" s="30" t="s">
        <v>1542</v>
      </c>
      <c r="Q110" s="30" t="str">
        <f>VLOOKUP(WEEKDAY(G110),Key!$B$3:$C$9,2,0)</f>
        <v>Tuesday</v>
      </c>
      <c r="R110" s="42" t="str">
        <f t="shared" si="3"/>
        <v>Within</v>
      </c>
      <c r="S110" s="41" t="str">
        <f t="shared" si="4"/>
        <v>Pass</v>
      </c>
      <c r="T110" s="30" t="str">
        <f t="shared" si="5"/>
        <v>FY 20-21</v>
      </c>
      <c r="U110" s="30" t="str">
        <f>VLOOKUP(MONTH(G110),Key!$F$3:$G$14,2,0)</f>
        <v>Aug</v>
      </c>
      <c r="V110" s="30" t="str">
        <f>IFERROR(IF(MATCH(F110,'Test 6'!C$5:C$9,0)&gt;0,"RP"),"NON-RP")</f>
        <v>NON-RP</v>
      </c>
    </row>
    <row r="111" spans="2:22" x14ac:dyDescent="0.5">
      <c r="B111" s="30">
        <v>107</v>
      </c>
      <c r="C111" s="30" t="s">
        <v>298</v>
      </c>
      <c r="D111" s="31">
        <v>2021107</v>
      </c>
      <c r="E111" s="30" t="s">
        <v>299</v>
      </c>
      <c r="F111" s="53" t="s">
        <v>111</v>
      </c>
      <c r="G111" s="32">
        <v>44061</v>
      </c>
      <c r="H111" s="33">
        <v>0.420332776298945</v>
      </c>
      <c r="I111" s="30" t="s">
        <v>277</v>
      </c>
      <c r="J111" s="34">
        <v>487730</v>
      </c>
      <c r="K111" s="35" t="s">
        <v>17</v>
      </c>
      <c r="L111" s="36">
        <v>87791.4</v>
      </c>
      <c r="M111" s="30" t="s">
        <v>46</v>
      </c>
      <c r="N111" s="30" t="s">
        <v>47</v>
      </c>
      <c r="O111" s="30" t="s">
        <v>1542</v>
      </c>
      <c r="P111" s="30" t="s">
        <v>1542</v>
      </c>
      <c r="Q111" s="30" t="str">
        <f>VLOOKUP(WEEKDAY(G111),Key!$B$3:$C$9,2,0)</f>
        <v>Tuesday</v>
      </c>
      <c r="R111" s="42" t="str">
        <f t="shared" si="3"/>
        <v>Within</v>
      </c>
      <c r="S111" s="41" t="str">
        <f t="shared" si="4"/>
        <v>Pass</v>
      </c>
      <c r="T111" s="30" t="str">
        <f t="shared" si="5"/>
        <v>FY 20-21</v>
      </c>
      <c r="U111" s="30" t="str">
        <f>VLOOKUP(MONTH(G111),Key!$F$3:$G$14,2,0)</f>
        <v>Aug</v>
      </c>
      <c r="V111" s="30" t="str">
        <f>IFERROR(IF(MATCH(F111,'Test 6'!C$5:C$9,0)&gt;0,"RP"),"NON-RP")</f>
        <v>RP</v>
      </c>
    </row>
    <row r="112" spans="2:22" x14ac:dyDescent="0.5">
      <c r="B112" s="30">
        <v>108</v>
      </c>
      <c r="C112" s="30" t="s">
        <v>300</v>
      </c>
      <c r="D112" s="31">
        <v>2021108</v>
      </c>
      <c r="E112" s="30" t="s">
        <v>301</v>
      </c>
      <c r="F112" s="53" t="s">
        <v>143</v>
      </c>
      <c r="G112" s="32">
        <v>44062</v>
      </c>
      <c r="H112" s="33">
        <v>0.46780215341103354</v>
      </c>
      <c r="I112" s="30" t="s">
        <v>277</v>
      </c>
      <c r="J112" s="34">
        <v>5435440</v>
      </c>
      <c r="K112" s="35" t="s">
        <v>17</v>
      </c>
      <c r="L112" s="36">
        <v>978379.2</v>
      </c>
      <c r="M112" s="30" t="s">
        <v>41</v>
      </c>
      <c r="N112" s="30" t="s">
        <v>42</v>
      </c>
      <c r="O112" s="30" t="s">
        <v>1575</v>
      </c>
      <c r="P112" s="30" t="s">
        <v>1579</v>
      </c>
      <c r="Q112" s="30" t="str">
        <f>VLOOKUP(WEEKDAY(G112),Key!$B$3:$C$9,2,0)</f>
        <v>Wednesday</v>
      </c>
      <c r="R112" s="42" t="str">
        <f t="shared" si="3"/>
        <v>Within</v>
      </c>
      <c r="S112" s="41" t="str">
        <f t="shared" si="4"/>
        <v>Pass</v>
      </c>
      <c r="T112" s="30" t="str">
        <f t="shared" si="5"/>
        <v>FY 20-21</v>
      </c>
      <c r="U112" s="30" t="str">
        <f>VLOOKUP(MONTH(G112),Key!$F$3:$G$14,2,0)</f>
        <v>Aug</v>
      </c>
      <c r="V112" s="30" t="str">
        <f>IFERROR(IF(MATCH(F112,'Test 6'!C$5:C$9,0)&gt;0,"RP"),"NON-RP")</f>
        <v>NON-RP</v>
      </c>
    </row>
    <row r="113" spans="2:22" x14ac:dyDescent="0.5">
      <c r="B113" s="30">
        <v>109</v>
      </c>
      <c r="C113" s="30" t="s">
        <v>302</v>
      </c>
      <c r="D113" s="31">
        <v>2021109</v>
      </c>
      <c r="E113" s="30" t="s">
        <v>303</v>
      </c>
      <c r="F113" s="53" t="s">
        <v>195</v>
      </c>
      <c r="G113" s="32">
        <v>44063</v>
      </c>
      <c r="H113" s="33">
        <v>0.58307596859039701</v>
      </c>
      <c r="I113" s="30" t="s">
        <v>277</v>
      </c>
      <c r="J113" s="34">
        <v>228310</v>
      </c>
      <c r="K113" s="35" t="s">
        <v>17</v>
      </c>
      <c r="L113" s="36">
        <v>41095.799999999996</v>
      </c>
      <c r="M113" s="30" t="s">
        <v>37</v>
      </c>
      <c r="N113" s="30" t="s">
        <v>51</v>
      </c>
      <c r="O113" s="30" t="s">
        <v>1542</v>
      </c>
      <c r="P113" s="30" t="s">
        <v>1542</v>
      </c>
      <c r="Q113" s="30" t="str">
        <f>VLOOKUP(WEEKDAY(G113),Key!$B$3:$C$9,2,0)</f>
        <v>Thursday</v>
      </c>
      <c r="R113" s="42" t="str">
        <f t="shared" si="3"/>
        <v>Within</v>
      </c>
      <c r="S113" s="41" t="str">
        <f t="shared" si="4"/>
        <v>Pass</v>
      </c>
      <c r="T113" s="30" t="str">
        <f t="shared" si="5"/>
        <v>FY 20-21</v>
      </c>
      <c r="U113" s="30" t="str">
        <f>VLOOKUP(MONTH(G113),Key!$F$3:$G$14,2,0)</f>
        <v>Aug</v>
      </c>
      <c r="V113" s="30" t="str">
        <f>IFERROR(IF(MATCH(F113,'Test 6'!C$5:C$9,0)&gt;0,"RP"),"NON-RP")</f>
        <v>NON-RP</v>
      </c>
    </row>
    <row r="114" spans="2:22" x14ac:dyDescent="0.5">
      <c r="B114" s="30">
        <v>110</v>
      </c>
      <c r="C114" s="30" t="s">
        <v>304</v>
      </c>
      <c r="D114" s="31">
        <v>2021110</v>
      </c>
      <c r="E114" s="30" t="s">
        <v>305</v>
      </c>
      <c r="F114" s="53" t="s">
        <v>125</v>
      </c>
      <c r="G114" s="32">
        <v>44063</v>
      </c>
      <c r="H114" s="33">
        <v>0.5952661133261008</v>
      </c>
      <c r="I114" s="30" t="s">
        <v>277</v>
      </c>
      <c r="J114" s="34">
        <v>231130</v>
      </c>
      <c r="K114" s="35" t="s">
        <v>17</v>
      </c>
      <c r="L114" s="36">
        <v>41603.4</v>
      </c>
      <c r="M114" s="30" t="s">
        <v>61</v>
      </c>
      <c r="N114" s="30" t="s">
        <v>51</v>
      </c>
      <c r="O114" s="30" t="s">
        <v>1542</v>
      </c>
      <c r="P114" s="30" t="s">
        <v>1542</v>
      </c>
      <c r="Q114" s="30" t="str">
        <f>VLOOKUP(WEEKDAY(G114),Key!$B$3:$C$9,2,0)</f>
        <v>Thursday</v>
      </c>
      <c r="R114" s="42" t="str">
        <f t="shared" si="3"/>
        <v>Within</v>
      </c>
      <c r="S114" s="41" t="str">
        <f t="shared" si="4"/>
        <v>Pass</v>
      </c>
      <c r="T114" s="30" t="str">
        <f t="shared" si="5"/>
        <v>FY 20-21</v>
      </c>
      <c r="U114" s="30" t="str">
        <f>VLOOKUP(MONTH(G114),Key!$F$3:$G$14,2,0)</f>
        <v>Aug</v>
      </c>
      <c r="V114" s="30" t="str">
        <f>IFERROR(IF(MATCH(F114,'Test 6'!C$5:C$9,0)&gt;0,"RP"),"NON-RP")</f>
        <v>NON-RP</v>
      </c>
    </row>
    <row r="115" spans="2:22" x14ac:dyDescent="0.5">
      <c r="B115" s="30">
        <v>111</v>
      </c>
      <c r="C115" s="30" t="s">
        <v>306</v>
      </c>
      <c r="D115" s="31">
        <v>2021111</v>
      </c>
      <c r="E115" s="30" t="s">
        <v>307</v>
      </c>
      <c r="F115" s="53" t="s">
        <v>308</v>
      </c>
      <c r="G115" s="32">
        <v>44063</v>
      </c>
      <c r="H115" s="33">
        <v>0.65348159963052099</v>
      </c>
      <c r="I115" s="30" t="s">
        <v>277</v>
      </c>
      <c r="J115" s="34">
        <v>309860</v>
      </c>
      <c r="K115" s="35" t="s">
        <v>17</v>
      </c>
      <c r="L115" s="36">
        <v>55774.799999999996</v>
      </c>
      <c r="M115" s="30" t="s">
        <v>28</v>
      </c>
      <c r="N115" s="30" t="s">
        <v>19</v>
      </c>
      <c r="O115" s="30" t="s">
        <v>1542</v>
      </c>
      <c r="P115" s="30" t="s">
        <v>1542</v>
      </c>
      <c r="Q115" s="30" t="str">
        <f>VLOOKUP(WEEKDAY(G115),Key!$B$3:$C$9,2,0)</f>
        <v>Thursday</v>
      </c>
      <c r="R115" s="42" t="str">
        <f t="shared" si="3"/>
        <v>Within</v>
      </c>
      <c r="S115" s="41" t="str">
        <f t="shared" si="4"/>
        <v>Pass</v>
      </c>
      <c r="T115" s="30" t="str">
        <f t="shared" si="5"/>
        <v>FY 20-21</v>
      </c>
      <c r="U115" s="30" t="str">
        <f>VLOOKUP(MONTH(G115),Key!$F$3:$G$14,2,0)</f>
        <v>Aug</v>
      </c>
      <c r="V115" s="30" t="str">
        <f>IFERROR(IF(MATCH(F115,'Test 6'!C$5:C$9,0)&gt;0,"RP"),"NON-RP")</f>
        <v>RP</v>
      </c>
    </row>
    <row r="116" spans="2:22" x14ac:dyDescent="0.5">
      <c r="B116" s="30">
        <v>112</v>
      </c>
      <c r="C116" s="30" t="s">
        <v>309</v>
      </c>
      <c r="D116" s="31">
        <v>2021112</v>
      </c>
      <c r="E116" s="30" t="s">
        <v>310</v>
      </c>
      <c r="F116" s="53" t="s">
        <v>45</v>
      </c>
      <c r="G116" s="32">
        <v>44069</v>
      </c>
      <c r="H116" s="33">
        <v>0.51823771819696396</v>
      </c>
      <c r="I116" s="30" t="s">
        <v>277</v>
      </c>
      <c r="J116" s="34">
        <v>469290</v>
      </c>
      <c r="K116" s="35" t="s">
        <v>17</v>
      </c>
      <c r="L116" s="36">
        <v>84472.2</v>
      </c>
      <c r="M116" s="30" t="s">
        <v>32</v>
      </c>
      <c r="N116" s="30" t="s">
        <v>68</v>
      </c>
      <c r="O116" s="30" t="s">
        <v>1542</v>
      </c>
      <c r="P116" s="30" t="s">
        <v>1542</v>
      </c>
      <c r="Q116" s="30" t="str">
        <f>VLOOKUP(WEEKDAY(G116),Key!$B$3:$C$9,2,0)</f>
        <v>Wednesday</v>
      </c>
      <c r="R116" s="42" t="str">
        <f t="shared" si="3"/>
        <v>Within</v>
      </c>
      <c r="S116" s="41" t="str">
        <f t="shared" si="4"/>
        <v>Pass</v>
      </c>
      <c r="T116" s="30" t="str">
        <f t="shared" si="5"/>
        <v>FY 20-21</v>
      </c>
      <c r="U116" s="30" t="str">
        <f>VLOOKUP(MONTH(G116),Key!$F$3:$G$14,2,0)</f>
        <v>Aug</v>
      </c>
      <c r="V116" s="30" t="str">
        <f>IFERROR(IF(MATCH(F116,'Test 6'!C$5:C$9,0)&gt;0,"RP"),"NON-RP")</f>
        <v>NON-RP</v>
      </c>
    </row>
    <row r="117" spans="2:22" x14ac:dyDescent="0.5">
      <c r="B117" s="30">
        <v>113</v>
      </c>
      <c r="C117" s="30" t="s">
        <v>311</v>
      </c>
      <c r="D117" s="31">
        <v>2021113</v>
      </c>
      <c r="E117" s="30" t="s">
        <v>312</v>
      </c>
      <c r="F117" s="53" t="s">
        <v>122</v>
      </c>
      <c r="G117" s="32">
        <v>44069</v>
      </c>
      <c r="H117" s="33">
        <v>0.7025837973067679</v>
      </c>
      <c r="I117" s="30" t="s">
        <v>277</v>
      </c>
      <c r="J117" s="34">
        <v>485210</v>
      </c>
      <c r="K117" s="35" t="s">
        <v>17</v>
      </c>
      <c r="L117" s="36">
        <v>87337.8</v>
      </c>
      <c r="M117" s="30" t="s">
        <v>32</v>
      </c>
      <c r="N117" s="30" t="s">
        <v>51</v>
      </c>
      <c r="O117" s="30" t="s">
        <v>1542</v>
      </c>
      <c r="P117" s="30" t="s">
        <v>1542</v>
      </c>
      <c r="Q117" s="30" t="str">
        <f>VLOOKUP(WEEKDAY(G117),Key!$B$3:$C$9,2,0)</f>
        <v>Wednesday</v>
      </c>
      <c r="R117" s="42" t="str">
        <f t="shared" si="3"/>
        <v>Within</v>
      </c>
      <c r="S117" s="41" t="str">
        <f t="shared" si="4"/>
        <v>Pass</v>
      </c>
      <c r="T117" s="30" t="str">
        <f t="shared" si="5"/>
        <v>FY 20-21</v>
      </c>
      <c r="U117" s="30" t="str">
        <f>VLOOKUP(MONTH(G117),Key!$F$3:$G$14,2,0)</f>
        <v>Aug</v>
      </c>
      <c r="V117" s="30" t="str">
        <f>IFERROR(IF(MATCH(F117,'Test 6'!C$5:C$9,0)&gt;0,"RP"),"NON-RP")</f>
        <v>NON-RP</v>
      </c>
    </row>
    <row r="118" spans="2:22" x14ac:dyDescent="0.5">
      <c r="B118" s="30">
        <v>114</v>
      </c>
      <c r="C118" s="30" t="s">
        <v>313</v>
      </c>
      <c r="D118" s="31">
        <v>2021114</v>
      </c>
      <c r="E118" s="30" t="s">
        <v>314</v>
      </c>
      <c r="F118" s="53" t="s">
        <v>103</v>
      </c>
      <c r="G118" s="32">
        <v>44070</v>
      </c>
      <c r="H118" s="33">
        <v>0.68559788593357152</v>
      </c>
      <c r="I118" s="30" t="s">
        <v>277</v>
      </c>
      <c r="J118" s="34">
        <v>336440</v>
      </c>
      <c r="K118" s="35" t="s">
        <v>17</v>
      </c>
      <c r="L118" s="36">
        <v>60559.199999999997</v>
      </c>
      <c r="M118" s="30" t="s">
        <v>32</v>
      </c>
      <c r="N118" s="30" t="s">
        <v>24</v>
      </c>
      <c r="O118" s="30" t="s">
        <v>1542</v>
      </c>
      <c r="P118" s="30" t="s">
        <v>1542</v>
      </c>
      <c r="Q118" s="30" t="str">
        <f>VLOOKUP(WEEKDAY(G118),Key!$B$3:$C$9,2,0)</f>
        <v>Thursday</v>
      </c>
      <c r="R118" s="42" t="str">
        <f t="shared" si="3"/>
        <v>Within</v>
      </c>
      <c r="S118" s="41" t="str">
        <f t="shared" si="4"/>
        <v>Pass</v>
      </c>
      <c r="T118" s="30" t="str">
        <f t="shared" si="5"/>
        <v>FY 20-21</v>
      </c>
      <c r="U118" s="30" t="str">
        <f>VLOOKUP(MONTH(G118),Key!$F$3:$G$14,2,0)</f>
        <v>Aug</v>
      </c>
      <c r="V118" s="30" t="str">
        <f>IFERROR(IF(MATCH(F118,'Test 6'!C$5:C$9,0)&gt;0,"RP"),"NON-RP")</f>
        <v>NON-RP</v>
      </c>
    </row>
    <row r="119" spans="2:22" x14ac:dyDescent="0.5">
      <c r="B119" s="30">
        <v>115</v>
      </c>
      <c r="C119" s="30" t="s">
        <v>315</v>
      </c>
      <c r="D119" s="31">
        <v>2021115</v>
      </c>
      <c r="E119" s="30" t="s">
        <v>316</v>
      </c>
      <c r="F119" s="53" t="s">
        <v>81</v>
      </c>
      <c r="G119" s="32">
        <v>44074</v>
      </c>
      <c r="H119" s="33">
        <v>0.47166563410270057</v>
      </c>
      <c r="I119" s="30" t="s">
        <v>277</v>
      </c>
      <c r="J119" s="34">
        <v>230600</v>
      </c>
      <c r="K119" s="35" t="s">
        <v>17</v>
      </c>
      <c r="L119" s="36">
        <v>41508</v>
      </c>
      <c r="M119" s="30" t="s">
        <v>28</v>
      </c>
      <c r="N119" s="30" t="s">
        <v>51</v>
      </c>
      <c r="O119" s="30" t="s">
        <v>1542</v>
      </c>
      <c r="P119" s="30" t="s">
        <v>1542</v>
      </c>
      <c r="Q119" s="30" t="str">
        <f>VLOOKUP(WEEKDAY(G119),Key!$B$3:$C$9,2,0)</f>
        <v>Monday</v>
      </c>
      <c r="R119" s="42" t="str">
        <f t="shared" si="3"/>
        <v>Within</v>
      </c>
      <c r="S119" s="41" t="str">
        <f t="shared" si="4"/>
        <v>Pass</v>
      </c>
      <c r="T119" s="30" t="str">
        <f t="shared" si="5"/>
        <v>FY 20-21</v>
      </c>
      <c r="U119" s="30" t="str">
        <f>VLOOKUP(MONTH(G119),Key!$F$3:$G$14,2,0)</f>
        <v>Aug</v>
      </c>
      <c r="V119" s="30" t="str">
        <f>IFERROR(IF(MATCH(F119,'Test 6'!C$5:C$9,0)&gt;0,"RP"),"NON-RP")</f>
        <v>NON-RP</v>
      </c>
    </row>
    <row r="120" spans="2:22" x14ac:dyDescent="0.5">
      <c r="B120" s="30">
        <v>116</v>
      </c>
      <c r="C120" s="30" t="s">
        <v>317</v>
      </c>
      <c r="D120" s="31">
        <v>2021116</v>
      </c>
      <c r="E120" s="30" t="s">
        <v>318</v>
      </c>
      <c r="F120" s="53" t="s">
        <v>122</v>
      </c>
      <c r="G120" s="32">
        <v>44074</v>
      </c>
      <c r="H120" s="33">
        <v>0.57545491957598116</v>
      </c>
      <c r="I120" s="30" t="s">
        <v>277</v>
      </c>
      <c r="J120" s="34">
        <v>442130</v>
      </c>
      <c r="K120" s="35" t="s">
        <v>17</v>
      </c>
      <c r="L120" s="36">
        <v>79583.399999999994</v>
      </c>
      <c r="M120" s="30" t="s">
        <v>61</v>
      </c>
      <c r="N120" s="30" t="s">
        <v>19</v>
      </c>
      <c r="O120" s="30" t="s">
        <v>1542</v>
      </c>
      <c r="P120" s="30" t="s">
        <v>1542</v>
      </c>
      <c r="Q120" s="30" t="str">
        <f>VLOOKUP(WEEKDAY(G120),Key!$B$3:$C$9,2,0)</f>
        <v>Monday</v>
      </c>
      <c r="R120" s="42" t="str">
        <f t="shared" si="3"/>
        <v>Within</v>
      </c>
      <c r="S120" s="41" t="str">
        <f t="shared" si="4"/>
        <v>Pass</v>
      </c>
      <c r="T120" s="30" t="str">
        <f t="shared" si="5"/>
        <v>FY 20-21</v>
      </c>
      <c r="U120" s="30" t="str">
        <f>VLOOKUP(MONTH(G120),Key!$F$3:$G$14,2,0)</f>
        <v>Aug</v>
      </c>
      <c r="V120" s="30" t="str">
        <f>IFERROR(IF(MATCH(F120,'Test 6'!C$5:C$9,0)&gt;0,"RP"),"NON-RP")</f>
        <v>NON-RP</v>
      </c>
    </row>
    <row r="121" spans="2:22" x14ac:dyDescent="0.5">
      <c r="B121" s="30">
        <v>117</v>
      </c>
      <c r="C121" s="30" t="s">
        <v>319</v>
      </c>
      <c r="D121" s="31">
        <v>2021117</v>
      </c>
      <c r="E121" s="30" t="s">
        <v>320</v>
      </c>
      <c r="F121" s="53" t="s">
        <v>128</v>
      </c>
      <c r="G121" s="32">
        <v>44075</v>
      </c>
      <c r="H121" s="33">
        <v>0.71366246999667426</v>
      </c>
      <c r="I121" s="30" t="s">
        <v>321</v>
      </c>
      <c r="J121" s="34">
        <v>347590</v>
      </c>
      <c r="K121" s="35" t="s">
        <v>17</v>
      </c>
      <c r="L121" s="36">
        <v>62566.2</v>
      </c>
      <c r="M121" s="30" t="s">
        <v>61</v>
      </c>
      <c r="N121" s="30" t="s">
        <v>47</v>
      </c>
      <c r="O121" s="30" t="s">
        <v>1542</v>
      </c>
      <c r="P121" s="30" t="s">
        <v>1542</v>
      </c>
      <c r="Q121" s="30" t="str">
        <f>VLOOKUP(WEEKDAY(G121),Key!$B$3:$C$9,2,0)</f>
        <v>Tuesday</v>
      </c>
      <c r="R121" s="42" t="str">
        <f t="shared" si="3"/>
        <v>Within</v>
      </c>
      <c r="S121" s="41" t="str">
        <f t="shared" si="4"/>
        <v>Pass</v>
      </c>
      <c r="T121" s="30" t="str">
        <f t="shared" si="5"/>
        <v>FY 20-21</v>
      </c>
      <c r="U121" s="30" t="str">
        <f>VLOOKUP(MONTH(G121),Key!$F$3:$G$14,2,0)</f>
        <v>Sep</v>
      </c>
      <c r="V121" s="30" t="str">
        <f>IFERROR(IF(MATCH(F121,'Test 6'!C$5:C$9,0)&gt;0,"RP"),"NON-RP")</f>
        <v>NON-RP</v>
      </c>
    </row>
    <row r="122" spans="2:22" x14ac:dyDescent="0.5">
      <c r="B122" s="30">
        <v>118</v>
      </c>
      <c r="C122" s="30" t="s">
        <v>322</v>
      </c>
      <c r="D122" s="31">
        <v>2021118</v>
      </c>
      <c r="E122" s="30" t="s">
        <v>323</v>
      </c>
      <c r="F122" s="53" t="s">
        <v>190</v>
      </c>
      <c r="G122" s="32">
        <v>44075</v>
      </c>
      <c r="H122" s="33">
        <v>0.68114458404659006</v>
      </c>
      <c r="I122" s="30" t="s">
        <v>321</v>
      </c>
      <c r="J122" s="34">
        <v>484270</v>
      </c>
      <c r="K122" s="35" t="s">
        <v>17</v>
      </c>
      <c r="L122" s="36">
        <v>87168.599999999991</v>
      </c>
      <c r="M122" s="30" t="s">
        <v>46</v>
      </c>
      <c r="N122" s="30" t="s">
        <v>47</v>
      </c>
      <c r="O122" s="30" t="s">
        <v>1542</v>
      </c>
      <c r="P122" s="30" t="s">
        <v>1542</v>
      </c>
      <c r="Q122" s="30" t="str">
        <f>VLOOKUP(WEEKDAY(G122),Key!$B$3:$C$9,2,0)</f>
        <v>Tuesday</v>
      </c>
      <c r="R122" s="42" t="str">
        <f t="shared" si="3"/>
        <v>Within</v>
      </c>
      <c r="S122" s="41" t="str">
        <f t="shared" si="4"/>
        <v>Pass</v>
      </c>
      <c r="T122" s="30" t="str">
        <f t="shared" si="5"/>
        <v>FY 20-21</v>
      </c>
      <c r="U122" s="30" t="str">
        <f>VLOOKUP(MONTH(G122),Key!$F$3:$G$14,2,0)</f>
        <v>Sep</v>
      </c>
      <c r="V122" s="30" t="str">
        <f>IFERROR(IF(MATCH(F122,'Test 6'!C$5:C$9,0)&gt;0,"RP"),"NON-RP")</f>
        <v>NON-RP</v>
      </c>
    </row>
    <row r="123" spans="2:22" x14ac:dyDescent="0.5">
      <c r="B123" s="30">
        <v>119</v>
      </c>
      <c r="C123" s="30" t="s">
        <v>324</v>
      </c>
      <c r="D123" s="31">
        <v>2021119</v>
      </c>
      <c r="E123" s="30" t="s">
        <v>325</v>
      </c>
      <c r="F123" s="53" t="s">
        <v>40</v>
      </c>
      <c r="G123" s="32">
        <v>44075</v>
      </c>
      <c r="H123" s="33">
        <v>0.52439693526670805</v>
      </c>
      <c r="I123" s="30" t="s">
        <v>321</v>
      </c>
      <c r="J123" s="34">
        <v>371400</v>
      </c>
      <c r="K123" s="35" t="s">
        <v>17</v>
      </c>
      <c r="L123" s="36">
        <v>66852</v>
      </c>
      <c r="M123" s="30" t="s">
        <v>37</v>
      </c>
      <c r="N123" s="30" t="s">
        <v>19</v>
      </c>
      <c r="O123" s="30" t="s">
        <v>1542</v>
      </c>
      <c r="P123" s="30" t="s">
        <v>1542</v>
      </c>
      <c r="Q123" s="30" t="str">
        <f>VLOOKUP(WEEKDAY(G123),Key!$B$3:$C$9,2,0)</f>
        <v>Tuesday</v>
      </c>
      <c r="R123" s="42" t="str">
        <f t="shared" si="3"/>
        <v>Within</v>
      </c>
      <c r="S123" s="41" t="str">
        <f t="shared" si="4"/>
        <v>Pass</v>
      </c>
      <c r="T123" s="30" t="str">
        <f t="shared" si="5"/>
        <v>FY 20-21</v>
      </c>
      <c r="U123" s="30" t="str">
        <f>VLOOKUP(MONTH(G123),Key!$F$3:$G$14,2,0)</f>
        <v>Sep</v>
      </c>
      <c r="V123" s="30" t="str">
        <f>IFERROR(IF(MATCH(F123,'Test 6'!C$5:C$9,0)&gt;0,"RP"),"NON-RP")</f>
        <v>NON-RP</v>
      </c>
    </row>
    <row r="124" spans="2:22" x14ac:dyDescent="0.5">
      <c r="B124" s="30">
        <v>120</v>
      </c>
      <c r="C124" s="30" t="s">
        <v>326</v>
      </c>
      <c r="D124" s="31">
        <v>2021120</v>
      </c>
      <c r="E124" s="30" t="s">
        <v>327</v>
      </c>
      <c r="F124" s="53" t="s">
        <v>64</v>
      </c>
      <c r="G124" s="32">
        <v>44078</v>
      </c>
      <c r="H124" s="33">
        <v>0.61418672242552075</v>
      </c>
      <c r="I124" s="30" t="s">
        <v>321</v>
      </c>
      <c r="J124" s="34">
        <v>413860</v>
      </c>
      <c r="K124" s="35" t="s">
        <v>17</v>
      </c>
      <c r="L124" s="36">
        <v>74494.8</v>
      </c>
      <c r="M124" s="30" t="s">
        <v>61</v>
      </c>
      <c r="N124" s="30" t="s">
        <v>19</v>
      </c>
      <c r="O124" s="30" t="s">
        <v>1542</v>
      </c>
      <c r="P124" s="30" t="s">
        <v>1542</v>
      </c>
      <c r="Q124" s="30" t="str">
        <f>VLOOKUP(WEEKDAY(G124),Key!$B$3:$C$9,2,0)</f>
        <v>Friday</v>
      </c>
      <c r="R124" s="42" t="str">
        <f t="shared" si="3"/>
        <v>Within</v>
      </c>
      <c r="S124" s="41" t="str">
        <f t="shared" si="4"/>
        <v>Pass</v>
      </c>
      <c r="T124" s="30" t="str">
        <f t="shared" si="5"/>
        <v>FY 20-21</v>
      </c>
      <c r="U124" s="30" t="str">
        <f>VLOOKUP(MONTH(G124),Key!$F$3:$G$14,2,0)</f>
        <v>Sep</v>
      </c>
      <c r="V124" s="30" t="str">
        <f>IFERROR(IF(MATCH(F124,'Test 6'!C$5:C$9,0)&gt;0,"RP"),"NON-RP")</f>
        <v>NON-RP</v>
      </c>
    </row>
    <row r="125" spans="2:22" x14ac:dyDescent="0.5">
      <c r="B125" s="30">
        <v>121</v>
      </c>
      <c r="C125" s="30" t="s">
        <v>328</v>
      </c>
      <c r="D125" s="31">
        <v>2021121</v>
      </c>
      <c r="E125" s="30" t="s">
        <v>329</v>
      </c>
      <c r="F125" s="53" t="s">
        <v>87</v>
      </c>
      <c r="G125" s="32">
        <v>44081</v>
      </c>
      <c r="H125" s="33">
        <v>0.46102581616919019</v>
      </c>
      <c r="I125" s="30" t="s">
        <v>321</v>
      </c>
      <c r="J125" s="34">
        <v>496390</v>
      </c>
      <c r="K125" s="35" t="s">
        <v>17</v>
      </c>
      <c r="L125" s="36">
        <v>89350.2</v>
      </c>
      <c r="M125" s="30" t="s">
        <v>46</v>
      </c>
      <c r="N125" s="30" t="s">
        <v>24</v>
      </c>
      <c r="O125" s="30" t="s">
        <v>1542</v>
      </c>
      <c r="P125" s="30" t="s">
        <v>1542</v>
      </c>
      <c r="Q125" s="30" t="str">
        <f>VLOOKUP(WEEKDAY(G125),Key!$B$3:$C$9,2,0)</f>
        <v>Monday</v>
      </c>
      <c r="R125" s="42" t="str">
        <f t="shared" si="3"/>
        <v>Within</v>
      </c>
      <c r="S125" s="41" t="str">
        <f t="shared" si="4"/>
        <v>Pass</v>
      </c>
      <c r="T125" s="30" t="str">
        <f t="shared" si="5"/>
        <v>FY 20-21</v>
      </c>
      <c r="U125" s="30" t="str">
        <f>VLOOKUP(MONTH(G125),Key!$F$3:$G$14,2,0)</f>
        <v>Sep</v>
      </c>
      <c r="V125" s="30" t="str">
        <f>IFERROR(IF(MATCH(F125,'Test 6'!C$5:C$9,0)&gt;0,"RP"),"NON-RP")</f>
        <v>NON-RP</v>
      </c>
    </row>
    <row r="126" spans="2:22" x14ac:dyDescent="0.5">
      <c r="B126" s="30">
        <v>122</v>
      </c>
      <c r="C126" s="30" t="s">
        <v>330</v>
      </c>
      <c r="D126" s="31">
        <v>2021122</v>
      </c>
      <c r="E126" s="30" t="s">
        <v>331</v>
      </c>
      <c r="F126" s="53" t="s">
        <v>332</v>
      </c>
      <c r="G126" s="32">
        <v>44081</v>
      </c>
      <c r="H126" s="33">
        <v>0.74916130553839955</v>
      </c>
      <c r="I126" s="30" t="s">
        <v>321</v>
      </c>
      <c r="J126" s="34">
        <v>265640</v>
      </c>
      <c r="K126" s="35" t="s">
        <v>17</v>
      </c>
      <c r="L126" s="36">
        <v>47815.199999999997</v>
      </c>
      <c r="M126" s="30" t="s">
        <v>23</v>
      </c>
      <c r="N126" s="30" t="s">
        <v>68</v>
      </c>
      <c r="O126" s="30" t="s">
        <v>1542</v>
      </c>
      <c r="P126" s="30" t="s">
        <v>1542</v>
      </c>
      <c r="Q126" s="30" t="str">
        <f>VLOOKUP(WEEKDAY(G126),Key!$B$3:$C$9,2,0)</f>
        <v>Monday</v>
      </c>
      <c r="R126" s="42" t="str">
        <f t="shared" si="3"/>
        <v>Within</v>
      </c>
      <c r="S126" s="41" t="str">
        <f t="shared" si="4"/>
        <v>Pass</v>
      </c>
      <c r="T126" s="30" t="str">
        <f t="shared" si="5"/>
        <v>FY 20-21</v>
      </c>
      <c r="U126" s="30" t="str">
        <f>VLOOKUP(MONTH(G126),Key!$F$3:$G$14,2,0)</f>
        <v>Sep</v>
      </c>
      <c r="V126" s="30" t="str">
        <f>IFERROR(IF(MATCH(F126,'Test 6'!C$5:C$9,0)&gt;0,"RP"),"NON-RP")</f>
        <v>NON-RP</v>
      </c>
    </row>
    <row r="127" spans="2:22" x14ac:dyDescent="0.5">
      <c r="B127" s="30">
        <v>123</v>
      </c>
      <c r="C127" s="30" t="s">
        <v>333</v>
      </c>
      <c r="D127" s="31">
        <v>2021123</v>
      </c>
      <c r="E127" s="30" t="s">
        <v>334</v>
      </c>
      <c r="F127" s="53" t="s">
        <v>195</v>
      </c>
      <c r="G127" s="32">
        <v>44082</v>
      </c>
      <c r="H127" s="33">
        <v>0.43567348781649917</v>
      </c>
      <c r="I127" s="30" t="s">
        <v>277</v>
      </c>
      <c r="J127" s="34">
        <v>287540</v>
      </c>
      <c r="K127" s="35" t="s">
        <v>17</v>
      </c>
      <c r="L127" s="36">
        <v>51757.2</v>
      </c>
      <c r="M127" s="30" t="s">
        <v>23</v>
      </c>
      <c r="N127" s="30" t="s">
        <v>51</v>
      </c>
      <c r="O127" s="30" t="s">
        <v>1542</v>
      </c>
      <c r="P127" s="30" t="s">
        <v>1542</v>
      </c>
      <c r="Q127" s="30" t="str">
        <f>VLOOKUP(WEEKDAY(G127),Key!$B$3:$C$9,2,0)</f>
        <v>Tuesday</v>
      </c>
      <c r="R127" s="42" t="str">
        <f t="shared" si="3"/>
        <v>Within</v>
      </c>
      <c r="S127" s="41" t="str">
        <f t="shared" si="4"/>
        <v>Pass</v>
      </c>
      <c r="T127" s="30" t="str">
        <f t="shared" si="5"/>
        <v>FY 20-21</v>
      </c>
      <c r="U127" s="30" t="str">
        <f>VLOOKUP(MONTH(G127),Key!$F$3:$G$14,2,0)</f>
        <v>Sep</v>
      </c>
      <c r="V127" s="30" t="str">
        <f>IFERROR(IF(MATCH(F127,'Test 6'!C$5:C$9,0)&gt;0,"RP"),"NON-RP")</f>
        <v>NON-RP</v>
      </c>
    </row>
    <row r="128" spans="2:22" x14ac:dyDescent="0.5">
      <c r="B128" s="30">
        <v>124</v>
      </c>
      <c r="C128" s="30" t="s">
        <v>335</v>
      </c>
      <c r="D128" s="31">
        <v>2021124</v>
      </c>
      <c r="E128" s="30" t="s">
        <v>336</v>
      </c>
      <c r="F128" s="53" t="s">
        <v>60</v>
      </c>
      <c r="G128" s="32">
        <v>44083</v>
      </c>
      <c r="H128" s="33">
        <v>0.59071342138994543</v>
      </c>
      <c r="I128" s="30" t="s">
        <v>321</v>
      </c>
      <c r="J128" s="34">
        <v>320190</v>
      </c>
      <c r="K128" s="35" t="s">
        <v>17</v>
      </c>
      <c r="L128" s="36">
        <v>57634.2</v>
      </c>
      <c r="M128" s="30" t="s">
        <v>18</v>
      </c>
      <c r="N128" s="30" t="s">
        <v>19</v>
      </c>
      <c r="O128" s="30" t="s">
        <v>1542</v>
      </c>
      <c r="P128" s="30" t="s">
        <v>1542</v>
      </c>
      <c r="Q128" s="30" t="str">
        <f>VLOOKUP(WEEKDAY(G128),Key!$B$3:$C$9,2,0)</f>
        <v>Wednesday</v>
      </c>
      <c r="R128" s="42" t="str">
        <f t="shared" si="3"/>
        <v>Within</v>
      </c>
      <c r="S128" s="41" t="str">
        <f t="shared" si="4"/>
        <v>Pass</v>
      </c>
      <c r="T128" s="30" t="str">
        <f t="shared" si="5"/>
        <v>FY 20-21</v>
      </c>
      <c r="U128" s="30" t="str">
        <f>VLOOKUP(MONTH(G128),Key!$F$3:$G$14,2,0)</f>
        <v>Sep</v>
      </c>
      <c r="V128" s="30" t="str">
        <f>IFERROR(IF(MATCH(F128,'Test 6'!C$5:C$9,0)&gt;0,"RP"),"NON-RP")</f>
        <v>NON-RP</v>
      </c>
    </row>
    <row r="129" spans="2:22" x14ac:dyDescent="0.5">
      <c r="B129" s="30">
        <v>125</v>
      </c>
      <c r="C129" s="30" t="s">
        <v>337</v>
      </c>
      <c r="D129" s="31">
        <v>2021125</v>
      </c>
      <c r="E129" s="30" t="s">
        <v>338</v>
      </c>
      <c r="F129" s="53" t="s">
        <v>195</v>
      </c>
      <c r="G129" s="32">
        <v>44085</v>
      </c>
      <c r="H129" s="33">
        <v>0.46715862242549183</v>
      </c>
      <c r="I129" s="30" t="s">
        <v>321</v>
      </c>
      <c r="J129" s="34">
        <v>31200</v>
      </c>
      <c r="K129" s="35" t="s">
        <v>17</v>
      </c>
      <c r="L129" s="36">
        <v>5616</v>
      </c>
      <c r="M129" s="30" t="s">
        <v>78</v>
      </c>
      <c r="N129" s="30" t="s">
        <v>18</v>
      </c>
      <c r="O129" s="30" t="s">
        <v>1542</v>
      </c>
      <c r="P129" s="30" t="s">
        <v>1542</v>
      </c>
      <c r="Q129" s="30" t="str">
        <f>VLOOKUP(WEEKDAY(G129),Key!$B$3:$C$9,2,0)</f>
        <v>Friday</v>
      </c>
      <c r="R129" s="42" t="str">
        <f t="shared" si="3"/>
        <v>Within</v>
      </c>
      <c r="S129" s="41" t="str">
        <f t="shared" si="4"/>
        <v>Pass</v>
      </c>
      <c r="T129" s="30" t="str">
        <f t="shared" si="5"/>
        <v>FY 20-21</v>
      </c>
      <c r="U129" s="30" t="str">
        <f>VLOOKUP(MONTH(G129),Key!$F$3:$G$14,2,0)</f>
        <v>Sep</v>
      </c>
      <c r="V129" s="30" t="str">
        <f>IFERROR(IF(MATCH(F129,'Test 6'!C$5:C$9,0)&gt;0,"RP"),"NON-RP")</f>
        <v>NON-RP</v>
      </c>
    </row>
    <row r="130" spans="2:22" x14ac:dyDescent="0.5">
      <c r="B130" s="30">
        <v>126</v>
      </c>
      <c r="C130" s="30" t="s">
        <v>339</v>
      </c>
      <c r="D130" s="31">
        <v>2021126</v>
      </c>
      <c r="E130" s="30" t="s">
        <v>340</v>
      </c>
      <c r="F130" s="53" t="s">
        <v>22</v>
      </c>
      <c r="G130" s="32">
        <v>44085</v>
      </c>
      <c r="H130" s="33">
        <v>0.58616351373642073</v>
      </c>
      <c r="I130" s="30" t="s">
        <v>321</v>
      </c>
      <c r="J130" s="34">
        <v>261830</v>
      </c>
      <c r="K130" s="35" t="s">
        <v>17</v>
      </c>
      <c r="L130" s="36">
        <v>47129.4</v>
      </c>
      <c r="M130" s="30" t="s">
        <v>46</v>
      </c>
      <c r="N130" s="30" t="s">
        <v>24</v>
      </c>
      <c r="O130" s="30" t="s">
        <v>1542</v>
      </c>
      <c r="P130" s="30" t="s">
        <v>1542</v>
      </c>
      <c r="Q130" s="30" t="str">
        <f>VLOOKUP(WEEKDAY(G130),Key!$B$3:$C$9,2,0)</f>
        <v>Friday</v>
      </c>
      <c r="R130" s="42" t="str">
        <f t="shared" si="3"/>
        <v>Within</v>
      </c>
      <c r="S130" s="41" t="str">
        <f t="shared" si="4"/>
        <v>Pass</v>
      </c>
      <c r="T130" s="30" t="str">
        <f t="shared" si="5"/>
        <v>FY 20-21</v>
      </c>
      <c r="U130" s="30" t="str">
        <f>VLOOKUP(MONTH(G130),Key!$F$3:$G$14,2,0)</f>
        <v>Sep</v>
      </c>
      <c r="V130" s="30" t="str">
        <f>IFERROR(IF(MATCH(F130,'Test 6'!C$5:C$9,0)&gt;0,"RP"),"NON-RP")</f>
        <v>NON-RP</v>
      </c>
    </row>
    <row r="131" spans="2:22" x14ac:dyDescent="0.5">
      <c r="B131" s="30">
        <v>127</v>
      </c>
      <c r="C131" s="30" t="s">
        <v>341</v>
      </c>
      <c r="D131" s="31">
        <v>2021127</v>
      </c>
      <c r="E131" s="30" t="s">
        <v>342</v>
      </c>
      <c r="F131" s="53" t="s">
        <v>54</v>
      </c>
      <c r="G131" s="32">
        <v>44090</v>
      </c>
      <c r="H131" s="33">
        <v>0.7185760145494805</v>
      </c>
      <c r="I131" s="30" t="s">
        <v>321</v>
      </c>
      <c r="J131" s="34">
        <v>409610</v>
      </c>
      <c r="K131" s="35" t="s">
        <v>17</v>
      </c>
      <c r="L131" s="36">
        <v>73729.8</v>
      </c>
      <c r="M131" s="30" t="s">
        <v>23</v>
      </c>
      <c r="N131" s="30" t="s">
        <v>24</v>
      </c>
      <c r="O131" s="30" t="s">
        <v>1542</v>
      </c>
      <c r="P131" s="30" t="s">
        <v>1542</v>
      </c>
      <c r="Q131" s="30" t="str">
        <f>VLOOKUP(WEEKDAY(G131),Key!$B$3:$C$9,2,0)</f>
        <v>Wednesday</v>
      </c>
      <c r="R131" s="42" t="str">
        <f t="shared" si="3"/>
        <v>Within</v>
      </c>
      <c r="S131" s="41" t="str">
        <f t="shared" si="4"/>
        <v>Pass</v>
      </c>
      <c r="T131" s="30" t="str">
        <f t="shared" si="5"/>
        <v>FY 20-21</v>
      </c>
      <c r="U131" s="30" t="str">
        <f>VLOOKUP(MONTH(G131),Key!$F$3:$G$14,2,0)</f>
        <v>Sep</v>
      </c>
      <c r="V131" s="30" t="str">
        <f>IFERROR(IF(MATCH(F131,'Test 6'!C$5:C$9,0)&gt;0,"RP"),"NON-RP")</f>
        <v>NON-RP</v>
      </c>
    </row>
    <row r="132" spans="2:22" x14ac:dyDescent="0.5">
      <c r="B132" s="30">
        <v>128</v>
      </c>
      <c r="C132" s="30" t="s">
        <v>343</v>
      </c>
      <c r="D132" s="31">
        <v>2021128</v>
      </c>
      <c r="E132" s="30" t="s">
        <v>344</v>
      </c>
      <c r="F132" s="53" t="s">
        <v>262</v>
      </c>
      <c r="G132" s="32">
        <v>44090</v>
      </c>
      <c r="H132" s="33">
        <v>0.43322083506790365</v>
      </c>
      <c r="I132" s="30" t="s">
        <v>321</v>
      </c>
      <c r="J132" s="34">
        <v>436450</v>
      </c>
      <c r="K132" s="35" t="s">
        <v>17</v>
      </c>
      <c r="L132" s="36">
        <v>78561</v>
      </c>
      <c r="M132" s="30" t="s">
        <v>28</v>
      </c>
      <c r="N132" s="30" t="s">
        <v>19</v>
      </c>
      <c r="O132" s="30" t="s">
        <v>1542</v>
      </c>
      <c r="P132" s="30" t="s">
        <v>1542</v>
      </c>
      <c r="Q132" s="30" t="str">
        <f>VLOOKUP(WEEKDAY(G132),Key!$B$3:$C$9,2,0)</f>
        <v>Wednesday</v>
      </c>
      <c r="R132" s="42" t="str">
        <f t="shared" si="3"/>
        <v>Within</v>
      </c>
      <c r="S132" s="41" t="str">
        <f t="shared" si="4"/>
        <v>Pass</v>
      </c>
      <c r="T132" s="30" t="str">
        <f t="shared" si="5"/>
        <v>FY 20-21</v>
      </c>
      <c r="U132" s="30" t="str">
        <f>VLOOKUP(MONTH(G132),Key!$F$3:$G$14,2,0)</f>
        <v>Sep</v>
      </c>
      <c r="V132" s="30" t="str">
        <f>IFERROR(IF(MATCH(F132,'Test 6'!C$5:C$9,0)&gt;0,"RP"),"NON-RP")</f>
        <v>NON-RP</v>
      </c>
    </row>
    <row r="133" spans="2:22" x14ac:dyDescent="0.5">
      <c r="B133" s="30">
        <v>129</v>
      </c>
      <c r="C133" s="30" t="s">
        <v>345</v>
      </c>
      <c r="D133" s="31">
        <v>2021129</v>
      </c>
      <c r="E133" s="30" t="s">
        <v>346</v>
      </c>
      <c r="F133" s="53" t="s">
        <v>35</v>
      </c>
      <c r="G133" s="32">
        <v>44092</v>
      </c>
      <c r="H133" s="33">
        <v>0.45096189320067825</v>
      </c>
      <c r="I133" s="30" t="s">
        <v>321</v>
      </c>
      <c r="J133" s="34">
        <v>396810</v>
      </c>
      <c r="K133" s="35" t="s">
        <v>17</v>
      </c>
      <c r="L133" s="36">
        <v>71425.8</v>
      </c>
      <c r="M133" s="30" t="s">
        <v>32</v>
      </c>
      <c r="N133" s="30" t="s">
        <v>47</v>
      </c>
      <c r="O133" s="30" t="s">
        <v>1542</v>
      </c>
      <c r="P133" s="30" t="s">
        <v>1542</v>
      </c>
      <c r="Q133" s="30" t="str">
        <f>VLOOKUP(WEEKDAY(G133),Key!$B$3:$C$9,2,0)</f>
        <v>Friday</v>
      </c>
      <c r="R133" s="42" t="str">
        <f t="shared" ref="R133:R196" si="6">IF(AND(H133&lt;TIME(18,0,0),H133&gt;TIME(10,0,0)),"Within","Outside")</f>
        <v>Within</v>
      </c>
      <c r="S133" s="41" t="str">
        <f t="shared" si="4"/>
        <v>Pass</v>
      </c>
      <c r="T133" s="30" t="str">
        <f t="shared" si="5"/>
        <v>FY 20-21</v>
      </c>
      <c r="U133" s="30" t="str">
        <f>VLOOKUP(MONTH(G133),Key!$F$3:$G$14,2,0)</f>
        <v>Sep</v>
      </c>
      <c r="V133" s="30" t="str">
        <f>IFERROR(IF(MATCH(F133,'Test 6'!C$5:C$9,0)&gt;0,"RP"),"NON-RP")</f>
        <v>NON-RP</v>
      </c>
    </row>
    <row r="134" spans="2:22" x14ac:dyDescent="0.5">
      <c r="B134" s="30">
        <v>130</v>
      </c>
      <c r="C134" s="30" t="s">
        <v>347</v>
      </c>
      <c r="D134" s="31">
        <v>2021130</v>
      </c>
      <c r="E134" s="30" t="s">
        <v>348</v>
      </c>
      <c r="F134" s="53" t="s">
        <v>95</v>
      </c>
      <c r="G134" s="32">
        <v>44093</v>
      </c>
      <c r="H134" s="33">
        <v>0.59402657027656769</v>
      </c>
      <c r="I134" s="30" t="s">
        <v>321</v>
      </c>
      <c r="J134" s="34">
        <v>357630</v>
      </c>
      <c r="K134" s="35" t="s">
        <v>17</v>
      </c>
      <c r="L134" s="36">
        <v>64373.399999999994</v>
      </c>
      <c r="M134" s="30" t="s">
        <v>32</v>
      </c>
      <c r="N134" s="30" t="s">
        <v>51</v>
      </c>
      <c r="O134" s="30" t="s">
        <v>1542</v>
      </c>
      <c r="P134" s="30" t="s">
        <v>1542</v>
      </c>
      <c r="Q134" s="30" t="str">
        <f>VLOOKUP(WEEKDAY(G134),Key!$B$3:$C$9,2,0)</f>
        <v>Saturday</v>
      </c>
      <c r="R134" s="42" t="str">
        <f t="shared" si="6"/>
        <v>Within</v>
      </c>
      <c r="S134" s="41" t="str">
        <f t="shared" ref="S134:S197" si="7">IF(OR(Q134="Sunday",R134="outside"),"Red Flag","Pass")</f>
        <v>Pass</v>
      </c>
      <c r="T134" s="30" t="str">
        <f t="shared" ref="T134:T197" si="8">IF(AND(DATE(2021,4,1)&lt;=G134,G134&lt;=DATE(2022,3,31)),"FY 21-22","FY 20-21")</f>
        <v>FY 20-21</v>
      </c>
      <c r="U134" s="30" t="str">
        <f>VLOOKUP(MONTH(G134),Key!$F$3:$G$14,2,0)</f>
        <v>Sep</v>
      </c>
      <c r="V134" s="30" t="str">
        <f>IFERROR(IF(MATCH(F134,'Test 6'!C$5:C$9,0)&gt;0,"RP"),"NON-RP")</f>
        <v>NON-RP</v>
      </c>
    </row>
    <row r="135" spans="2:22" x14ac:dyDescent="0.5">
      <c r="B135" s="30">
        <v>131</v>
      </c>
      <c r="C135" s="30" t="s">
        <v>349</v>
      </c>
      <c r="D135" s="31">
        <v>2021131</v>
      </c>
      <c r="E135" s="30" t="s">
        <v>350</v>
      </c>
      <c r="F135" s="53" t="s">
        <v>27</v>
      </c>
      <c r="G135" s="32">
        <v>44095</v>
      </c>
      <c r="H135" s="33">
        <v>0.53784986714483562</v>
      </c>
      <c r="I135" s="30" t="s">
        <v>321</v>
      </c>
      <c r="J135" s="34">
        <v>257380</v>
      </c>
      <c r="K135" s="35" t="s">
        <v>17</v>
      </c>
      <c r="L135" s="36">
        <v>46328.4</v>
      </c>
      <c r="M135" s="30" t="s">
        <v>32</v>
      </c>
      <c r="N135" s="30" t="s">
        <v>47</v>
      </c>
      <c r="O135" s="30" t="s">
        <v>1542</v>
      </c>
      <c r="P135" s="30" t="s">
        <v>1542</v>
      </c>
      <c r="Q135" s="30" t="str">
        <f>VLOOKUP(WEEKDAY(G135),Key!$B$3:$C$9,2,0)</f>
        <v>Monday</v>
      </c>
      <c r="R135" s="42" t="str">
        <f t="shared" si="6"/>
        <v>Within</v>
      </c>
      <c r="S135" s="41" t="str">
        <f t="shared" si="7"/>
        <v>Pass</v>
      </c>
      <c r="T135" s="30" t="str">
        <f t="shared" si="8"/>
        <v>FY 20-21</v>
      </c>
      <c r="U135" s="30" t="str">
        <f>VLOOKUP(MONTH(G135),Key!$F$3:$G$14,2,0)</f>
        <v>Sep</v>
      </c>
      <c r="V135" s="30" t="str">
        <f>IFERROR(IF(MATCH(F135,'Test 6'!C$5:C$9,0)&gt;0,"RP"),"NON-RP")</f>
        <v>NON-RP</v>
      </c>
    </row>
    <row r="136" spans="2:22" x14ac:dyDescent="0.5">
      <c r="B136" s="30">
        <v>132</v>
      </c>
      <c r="C136" s="30" t="s">
        <v>351</v>
      </c>
      <c r="D136" s="31">
        <v>2021132</v>
      </c>
      <c r="E136" s="30" t="s">
        <v>352</v>
      </c>
      <c r="F136" s="53" t="s">
        <v>103</v>
      </c>
      <c r="G136" s="32">
        <v>44095</v>
      </c>
      <c r="H136" s="33">
        <v>0.63346522275283124</v>
      </c>
      <c r="I136" s="30" t="s">
        <v>321</v>
      </c>
      <c r="J136" s="34">
        <v>260190</v>
      </c>
      <c r="K136" s="35" t="s">
        <v>17</v>
      </c>
      <c r="L136" s="36">
        <v>46834.2</v>
      </c>
      <c r="M136" s="30" t="s">
        <v>32</v>
      </c>
      <c r="N136" s="30" t="s">
        <v>51</v>
      </c>
      <c r="O136" s="30" t="s">
        <v>1542</v>
      </c>
      <c r="P136" s="30" t="s">
        <v>1542</v>
      </c>
      <c r="Q136" s="30" t="str">
        <f>VLOOKUP(WEEKDAY(G136),Key!$B$3:$C$9,2,0)</f>
        <v>Monday</v>
      </c>
      <c r="R136" s="42" t="str">
        <f t="shared" si="6"/>
        <v>Within</v>
      </c>
      <c r="S136" s="41" t="str">
        <f t="shared" si="7"/>
        <v>Pass</v>
      </c>
      <c r="T136" s="30" t="str">
        <f t="shared" si="8"/>
        <v>FY 20-21</v>
      </c>
      <c r="U136" s="30" t="str">
        <f>VLOOKUP(MONTH(G136),Key!$F$3:$G$14,2,0)</f>
        <v>Sep</v>
      </c>
      <c r="V136" s="30" t="str">
        <f>IFERROR(IF(MATCH(F136,'Test 6'!C$5:C$9,0)&gt;0,"RP"),"NON-RP")</f>
        <v>NON-RP</v>
      </c>
    </row>
    <row r="137" spans="2:22" x14ac:dyDescent="0.5">
      <c r="B137" s="30">
        <v>133</v>
      </c>
      <c r="C137" s="30" t="s">
        <v>1308</v>
      </c>
      <c r="D137" s="31">
        <v>2021133</v>
      </c>
      <c r="E137" s="30" t="s">
        <v>353</v>
      </c>
      <c r="F137" s="53" t="s">
        <v>57</v>
      </c>
      <c r="G137" s="32">
        <v>44096</v>
      </c>
      <c r="H137" s="33">
        <v>0.55774837309734271</v>
      </c>
      <c r="I137" s="30" t="s">
        <v>321</v>
      </c>
      <c r="J137" s="34">
        <v>425730</v>
      </c>
      <c r="K137" s="35" t="s">
        <v>17</v>
      </c>
      <c r="L137" s="36">
        <v>76631.399999999994</v>
      </c>
      <c r="M137" s="30" t="s">
        <v>37</v>
      </c>
      <c r="N137" s="30" t="s">
        <v>68</v>
      </c>
      <c r="O137" s="30" t="s">
        <v>1542</v>
      </c>
      <c r="P137" s="30" t="s">
        <v>1542</v>
      </c>
      <c r="Q137" s="30" t="str">
        <f>VLOOKUP(WEEKDAY(G137),Key!$B$3:$C$9,2,0)</f>
        <v>Tuesday</v>
      </c>
      <c r="R137" s="42" t="str">
        <f t="shared" si="6"/>
        <v>Within</v>
      </c>
      <c r="S137" s="41" t="str">
        <f t="shared" si="7"/>
        <v>Pass</v>
      </c>
      <c r="T137" s="30" t="str">
        <f t="shared" si="8"/>
        <v>FY 20-21</v>
      </c>
      <c r="U137" s="30" t="str">
        <f>VLOOKUP(MONTH(G137),Key!$F$3:$G$14,2,0)</f>
        <v>Sep</v>
      </c>
      <c r="V137" s="30" t="str">
        <f>IFERROR(IF(MATCH(F137,'Test 6'!C$5:C$9,0)&gt;0,"RP"),"NON-RP")</f>
        <v>NON-RP</v>
      </c>
    </row>
    <row r="138" spans="2:22" x14ac:dyDescent="0.5">
      <c r="B138" s="30">
        <v>134</v>
      </c>
      <c r="C138" s="30" t="s">
        <v>354</v>
      </c>
      <c r="D138" s="31">
        <v>2021134</v>
      </c>
      <c r="E138" s="30" t="s">
        <v>355</v>
      </c>
      <c r="F138" s="53" t="s">
        <v>125</v>
      </c>
      <c r="G138" s="32">
        <v>44097</v>
      </c>
      <c r="H138" s="33">
        <v>0.42510842034011354</v>
      </c>
      <c r="I138" s="30" t="s">
        <v>321</v>
      </c>
      <c r="J138" s="34">
        <v>499520</v>
      </c>
      <c r="K138" s="35" t="s">
        <v>17</v>
      </c>
      <c r="L138" s="36">
        <v>89913.599999999991</v>
      </c>
      <c r="M138" s="30" t="s">
        <v>32</v>
      </c>
      <c r="N138" s="30" t="s">
        <v>68</v>
      </c>
      <c r="O138" s="30" t="s">
        <v>1542</v>
      </c>
      <c r="P138" s="30" t="s">
        <v>1542</v>
      </c>
      <c r="Q138" s="30" t="str">
        <f>VLOOKUP(WEEKDAY(G138),Key!$B$3:$C$9,2,0)</f>
        <v>Wednesday</v>
      </c>
      <c r="R138" s="42" t="str">
        <f t="shared" si="6"/>
        <v>Within</v>
      </c>
      <c r="S138" s="41" t="str">
        <f t="shared" si="7"/>
        <v>Pass</v>
      </c>
      <c r="T138" s="30" t="str">
        <f t="shared" si="8"/>
        <v>FY 20-21</v>
      </c>
      <c r="U138" s="30" t="str">
        <f>VLOOKUP(MONTH(G138),Key!$F$3:$G$14,2,0)</f>
        <v>Sep</v>
      </c>
      <c r="V138" s="30" t="str">
        <f>IFERROR(IF(MATCH(F138,'Test 6'!C$5:C$9,0)&gt;0,"RP"),"NON-RP")</f>
        <v>NON-RP</v>
      </c>
    </row>
    <row r="139" spans="2:22" x14ac:dyDescent="0.5">
      <c r="B139" s="30">
        <v>135</v>
      </c>
      <c r="C139" s="30" t="s">
        <v>356</v>
      </c>
      <c r="D139" s="31">
        <v>2021135</v>
      </c>
      <c r="E139" s="30" t="s">
        <v>357</v>
      </c>
      <c r="F139" s="53" t="s">
        <v>269</v>
      </c>
      <c r="G139" s="32">
        <v>44098</v>
      </c>
      <c r="H139" s="33">
        <v>0.69800037656231384</v>
      </c>
      <c r="I139" s="30" t="s">
        <v>321</v>
      </c>
      <c r="J139" s="34">
        <v>344930</v>
      </c>
      <c r="K139" s="35" t="s">
        <v>17</v>
      </c>
      <c r="L139" s="36">
        <v>62087.399999999994</v>
      </c>
      <c r="M139" s="30" t="s">
        <v>32</v>
      </c>
      <c r="N139" s="30" t="s">
        <v>47</v>
      </c>
      <c r="O139" s="30" t="s">
        <v>1542</v>
      </c>
      <c r="P139" s="30" t="s">
        <v>1542</v>
      </c>
      <c r="Q139" s="30" t="str">
        <f>VLOOKUP(WEEKDAY(G139),Key!$B$3:$C$9,2,0)</f>
        <v>Thursday</v>
      </c>
      <c r="R139" s="42" t="str">
        <f t="shared" si="6"/>
        <v>Within</v>
      </c>
      <c r="S139" s="41" t="str">
        <f t="shared" si="7"/>
        <v>Pass</v>
      </c>
      <c r="T139" s="30" t="str">
        <f t="shared" si="8"/>
        <v>FY 20-21</v>
      </c>
      <c r="U139" s="30" t="str">
        <f>VLOOKUP(MONTH(G139),Key!$F$3:$G$14,2,0)</f>
        <v>Sep</v>
      </c>
      <c r="V139" s="30" t="str">
        <f>IFERROR(IF(MATCH(F139,'Test 6'!C$5:C$9,0)&gt;0,"RP"),"NON-RP")</f>
        <v>NON-RP</v>
      </c>
    </row>
    <row r="140" spans="2:22" x14ac:dyDescent="0.5">
      <c r="B140" s="30">
        <v>136</v>
      </c>
      <c r="C140" s="30" t="s">
        <v>358</v>
      </c>
      <c r="D140" s="31">
        <v>2021136</v>
      </c>
      <c r="E140" s="30" t="s">
        <v>359</v>
      </c>
      <c r="F140" s="53" t="s">
        <v>35</v>
      </c>
      <c r="G140" s="32">
        <v>44098</v>
      </c>
      <c r="H140" s="33">
        <v>0.71518820043632969</v>
      </c>
      <c r="I140" s="30" t="s">
        <v>321</v>
      </c>
      <c r="J140" s="34">
        <v>272690</v>
      </c>
      <c r="K140" s="35" t="s">
        <v>17</v>
      </c>
      <c r="L140" s="36">
        <v>49084.2</v>
      </c>
      <c r="M140" s="30" t="s">
        <v>46</v>
      </c>
      <c r="N140" s="30" t="s">
        <v>51</v>
      </c>
      <c r="O140" s="30" t="s">
        <v>1542</v>
      </c>
      <c r="P140" s="30" t="s">
        <v>1542</v>
      </c>
      <c r="Q140" s="30" t="str">
        <f>VLOOKUP(WEEKDAY(G140),Key!$B$3:$C$9,2,0)</f>
        <v>Thursday</v>
      </c>
      <c r="R140" s="42" t="str">
        <f t="shared" si="6"/>
        <v>Within</v>
      </c>
      <c r="S140" s="41" t="str">
        <f t="shared" si="7"/>
        <v>Pass</v>
      </c>
      <c r="T140" s="30" t="str">
        <f t="shared" si="8"/>
        <v>FY 20-21</v>
      </c>
      <c r="U140" s="30" t="str">
        <f>VLOOKUP(MONTH(G140),Key!$F$3:$G$14,2,0)</f>
        <v>Sep</v>
      </c>
      <c r="V140" s="30" t="str">
        <f>IFERROR(IF(MATCH(F140,'Test 6'!C$5:C$9,0)&gt;0,"RP"),"NON-RP")</f>
        <v>NON-RP</v>
      </c>
    </row>
    <row r="141" spans="2:22" x14ac:dyDescent="0.5">
      <c r="B141" s="30">
        <v>137</v>
      </c>
      <c r="C141" s="30" t="s">
        <v>360</v>
      </c>
      <c r="D141" s="31">
        <v>2021137</v>
      </c>
      <c r="E141" s="30" t="s">
        <v>361</v>
      </c>
      <c r="F141" s="53" t="s">
        <v>293</v>
      </c>
      <c r="G141" s="32">
        <v>44099</v>
      </c>
      <c r="H141" s="33">
        <v>0.57685425275325086</v>
      </c>
      <c r="I141" s="30" t="s">
        <v>321</v>
      </c>
      <c r="J141" s="34">
        <v>253760</v>
      </c>
      <c r="K141" s="35" t="s">
        <v>17</v>
      </c>
      <c r="L141" s="36">
        <v>45676.799999999996</v>
      </c>
      <c r="M141" s="30" t="s">
        <v>23</v>
      </c>
      <c r="N141" s="30" t="s">
        <v>24</v>
      </c>
      <c r="O141" s="30" t="s">
        <v>1542</v>
      </c>
      <c r="P141" s="30" t="s">
        <v>1542</v>
      </c>
      <c r="Q141" s="30" t="str">
        <f>VLOOKUP(WEEKDAY(G141),Key!$B$3:$C$9,2,0)</f>
        <v>Friday</v>
      </c>
      <c r="R141" s="42" t="str">
        <f t="shared" si="6"/>
        <v>Within</v>
      </c>
      <c r="S141" s="41" t="str">
        <f t="shared" si="7"/>
        <v>Pass</v>
      </c>
      <c r="T141" s="30" t="str">
        <f t="shared" si="8"/>
        <v>FY 20-21</v>
      </c>
      <c r="U141" s="30" t="str">
        <f>VLOOKUP(MONTH(G141),Key!$F$3:$G$14,2,0)</f>
        <v>Sep</v>
      </c>
      <c r="V141" s="30" t="str">
        <f>IFERROR(IF(MATCH(F141,'Test 6'!C$5:C$9,0)&gt;0,"RP"),"NON-RP")</f>
        <v>NON-RP</v>
      </c>
    </row>
    <row r="142" spans="2:22" x14ac:dyDescent="0.5">
      <c r="B142" s="30">
        <v>138</v>
      </c>
      <c r="C142" s="30" t="s">
        <v>362</v>
      </c>
      <c r="D142" s="31">
        <v>2021138</v>
      </c>
      <c r="E142" s="30" t="s">
        <v>363</v>
      </c>
      <c r="F142" s="53" t="s">
        <v>119</v>
      </c>
      <c r="G142" s="32">
        <v>44100</v>
      </c>
      <c r="H142" s="33">
        <v>0.44979992232241756</v>
      </c>
      <c r="I142" s="30" t="s">
        <v>321</v>
      </c>
      <c r="J142" s="34">
        <v>361660</v>
      </c>
      <c r="K142" s="35" t="s">
        <v>17</v>
      </c>
      <c r="L142" s="36">
        <v>65098.799999999996</v>
      </c>
      <c r="M142" s="30" t="s">
        <v>61</v>
      </c>
      <c r="N142" s="30" t="s">
        <v>51</v>
      </c>
      <c r="O142" s="30" t="s">
        <v>1542</v>
      </c>
      <c r="P142" s="30" t="s">
        <v>1542</v>
      </c>
      <c r="Q142" s="30" t="str">
        <f>VLOOKUP(WEEKDAY(G142),Key!$B$3:$C$9,2,0)</f>
        <v>Saturday</v>
      </c>
      <c r="R142" s="42" t="str">
        <f t="shared" si="6"/>
        <v>Within</v>
      </c>
      <c r="S142" s="41" t="str">
        <f t="shared" si="7"/>
        <v>Pass</v>
      </c>
      <c r="T142" s="30" t="str">
        <f t="shared" si="8"/>
        <v>FY 20-21</v>
      </c>
      <c r="U142" s="30" t="str">
        <f>VLOOKUP(MONTH(G142),Key!$F$3:$G$14,2,0)</f>
        <v>Sep</v>
      </c>
      <c r="V142" s="30" t="str">
        <f>IFERROR(IF(MATCH(F142,'Test 6'!C$5:C$9,0)&gt;0,"RP"),"NON-RP")</f>
        <v>NON-RP</v>
      </c>
    </row>
    <row r="143" spans="2:22" x14ac:dyDescent="0.5">
      <c r="B143" s="30">
        <v>139</v>
      </c>
      <c r="C143" s="30" t="s">
        <v>364</v>
      </c>
      <c r="D143" s="31">
        <v>2021139</v>
      </c>
      <c r="E143" s="30" t="s">
        <v>365</v>
      </c>
      <c r="F143" s="53" t="s">
        <v>40</v>
      </c>
      <c r="G143" s="32">
        <v>44102</v>
      </c>
      <c r="H143" s="33">
        <v>0.6502186723415051</v>
      </c>
      <c r="I143" s="30" t="s">
        <v>321</v>
      </c>
      <c r="J143" s="34">
        <v>325730</v>
      </c>
      <c r="K143" s="35" t="s">
        <v>17</v>
      </c>
      <c r="L143" s="36">
        <v>58631.4</v>
      </c>
      <c r="M143" s="30" t="s">
        <v>37</v>
      </c>
      <c r="N143" s="30" t="s">
        <v>47</v>
      </c>
      <c r="O143" s="30" t="s">
        <v>1542</v>
      </c>
      <c r="P143" s="30" t="s">
        <v>1542</v>
      </c>
      <c r="Q143" s="30" t="str">
        <f>VLOOKUP(WEEKDAY(G143),Key!$B$3:$C$9,2,0)</f>
        <v>Monday</v>
      </c>
      <c r="R143" s="42" t="str">
        <f t="shared" si="6"/>
        <v>Within</v>
      </c>
      <c r="S143" s="41" t="str">
        <f t="shared" si="7"/>
        <v>Pass</v>
      </c>
      <c r="T143" s="30" t="str">
        <f t="shared" si="8"/>
        <v>FY 20-21</v>
      </c>
      <c r="U143" s="30" t="str">
        <f>VLOOKUP(MONTH(G143),Key!$F$3:$G$14,2,0)</f>
        <v>Sep</v>
      </c>
      <c r="V143" s="30" t="str">
        <f>IFERROR(IF(MATCH(F143,'Test 6'!C$5:C$9,0)&gt;0,"RP"),"NON-RP")</f>
        <v>NON-RP</v>
      </c>
    </row>
    <row r="144" spans="2:22" x14ac:dyDescent="0.5">
      <c r="B144" s="30">
        <v>140</v>
      </c>
      <c r="C144" s="30" t="s">
        <v>366</v>
      </c>
      <c r="D144" s="31">
        <v>2021140</v>
      </c>
      <c r="E144" s="30" t="s">
        <v>367</v>
      </c>
      <c r="F144" s="53" t="s">
        <v>262</v>
      </c>
      <c r="G144" s="32">
        <v>44103</v>
      </c>
      <c r="H144" s="33">
        <v>0.53464118635229485</v>
      </c>
      <c r="I144" s="30" t="s">
        <v>321</v>
      </c>
      <c r="J144" s="34">
        <v>343420</v>
      </c>
      <c r="K144" s="35" t="s">
        <v>17</v>
      </c>
      <c r="L144" s="36">
        <v>61815.6</v>
      </c>
      <c r="M144" s="30" t="s">
        <v>28</v>
      </c>
      <c r="N144" s="30" t="s">
        <v>68</v>
      </c>
      <c r="O144" s="30" t="s">
        <v>1542</v>
      </c>
      <c r="P144" s="30" t="s">
        <v>1542</v>
      </c>
      <c r="Q144" s="30" t="str">
        <f>VLOOKUP(WEEKDAY(G144),Key!$B$3:$C$9,2,0)</f>
        <v>Tuesday</v>
      </c>
      <c r="R144" s="42" t="str">
        <f t="shared" si="6"/>
        <v>Within</v>
      </c>
      <c r="S144" s="41" t="str">
        <f t="shared" si="7"/>
        <v>Pass</v>
      </c>
      <c r="T144" s="30" t="str">
        <f t="shared" si="8"/>
        <v>FY 20-21</v>
      </c>
      <c r="U144" s="30" t="str">
        <f>VLOOKUP(MONTH(G144),Key!$F$3:$G$14,2,0)</f>
        <v>Sep</v>
      </c>
      <c r="V144" s="30" t="str">
        <f>IFERROR(IF(MATCH(F144,'Test 6'!C$5:C$9,0)&gt;0,"RP"),"NON-RP")</f>
        <v>NON-RP</v>
      </c>
    </row>
    <row r="145" spans="2:22" x14ac:dyDescent="0.5">
      <c r="B145" s="30">
        <v>141</v>
      </c>
      <c r="C145" s="30" t="s">
        <v>368</v>
      </c>
      <c r="D145" s="31">
        <v>2021141</v>
      </c>
      <c r="E145" s="30" t="s">
        <v>369</v>
      </c>
      <c r="F145" s="53" t="s">
        <v>203</v>
      </c>
      <c r="G145" s="32">
        <v>44103</v>
      </c>
      <c r="H145" s="33">
        <v>0.55622925187951489</v>
      </c>
      <c r="I145" s="30" t="s">
        <v>321</v>
      </c>
      <c r="J145" s="34">
        <v>413230</v>
      </c>
      <c r="K145" s="35" t="s">
        <v>17</v>
      </c>
      <c r="L145" s="36">
        <v>74381.399999999994</v>
      </c>
      <c r="M145" s="30" t="s">
        <v>28</v>
      </c>
      <c r="N145" s="30" t="s">
        <v>47</v>
      </c>
      <c r="O145" s="30" t="s">
        <v>1542</v>
      </c>
      <c r="P145" s="30" t="s">
        <v>1542</v>
      </c>
      <c r="Q145" s="30" t="str">
        <f>VLOOKUP(WEEKDAY(G145),Key!$B$3:$C$9,2,0)</f>
        <v>Tuesday</v>
      </c>
      <c r="R145" s="42" t="str">
        <f t="shared" si="6"/>
        <v>Within</v>
      </c>
      <c r="S145" s="41" t="str">
        <f t="shared" si="7"/>
        <v>Pass</v>
      </c>
      <c r="T145" s="30" t="str">
        <f t="shared" si="8"/>
        <v>FY 20-21</v>
      </c>
      <c r="U145" s="30" t="str">
        <f>VLOOKUP(MONTH(G145),Key!$F$3:$G$14,2,0)</f>
        <v>Sep</v>
      </c>
      <c r="V145" s="30" t="str">
        <f>IFERROR(IF(MATCH(F145,'Test 6'!C$5:C$9,0)&gt;0,"RP"),"NON-RP")</f>
        <v>NON-RP</v>
      </c>
    </row>
    <row r="146" spans="2:22" x14ac:dyDescent="0.5">
      <c r="B146" s="30">
        <v>142</v>
      </c>
      <c r="C146" s="30" t="s">
        <v>370</v>
      </c>
      <c r="D146" s="31">
        <v>2021142</v>
      </c>
      <c r="E146" s="30" t="s">
        <v>371</v>
      </c>
      <c r="F146" s="53" t="s">
        <v>184</v>
      </c>
      <c r="G146" s="32">
        <v>44104</v>
      </c>
      <c r="H146" s="33">
        <v>0.52631118849912173</v>
      </c>
      <c r="I146" s="30" t="s">
        <v>321</v>
      </c>
      <c r="J146" s="34">
        <v>287450</v>
      </c>
      <c r="K146" s="35" t="s">
        <v>17</v>
      </c>
      <c r="L146" s="36">
        <v>51741</v>
      </c>
      <c r="M146" s="30" t="s">
        <v>37</v>
      </c>
      <c r="N146" s="30" t="s">
        <v>47</v>
      </c>
      <c r="O146" s="30" t="s">
        <v>1542</v>
      </c>
      <c r="P146" s="30" t="s">
        <v>1542</v>
      </c>
      <c r="Q146" s="30" t="str">
        <f>VLOOKUP(WEEKDAY(G146),Key!$B$3:$C$9,2,0)</f>
        <v>Wednesday</v>
      </c>
      <c r="R146" s="42" t="str">
        <f t="shared" si="6"/>
        <v>Within</v>
      </c>
      <c r="S146" s="41" t="str">
        <f t="shared" si="7"/>
        <v>Pass</v>
      </c>
      <c r="T146" s="30" t="str">
        <f t="shared" si="8"/>
        <v>FY 20-21</v>
      </c>
      <c r="U146" s="30" t="str">
        <f>VLOOKUP(MONTH(G146),Key!$F$3:$G$14,2,0)</f>
        <v>Sep</v>
      </c>
      <c r="V146" s="30" t="str">
        <f>IFERROR(IF(MATCH(F146,'Test 6'!C$5:C$9,0)&gt;0,"RP"),"NON-RP")</f>
        <v>NON-RP</v>
      </c>
    </row>
    <row r="147" spans="2:22" x14ac:dyDescent="0.5">
      <c r="B147" s="30">
        <v>143</v>
      </c>
      <c r="C147" s="30" t="s">
        <v>372</v>
      </c>
      <c r="D147" s="31">
        <v>2021143</v>
      </c>
      <c r="E147" s="30" t="s">
        <v>373</v>
      </c>
      <c r="F147" s="53" t="s">
        <v>87</v>
      </c>
      <c r="G147" s="32">
        <v>44104</v>
      </c>
      <c r="H147" s="33">
        <v>0.48472645693277916</v>
      </c>
      <c r="I147" s="30" t="s">
        <v>321</v>
      </c>
      <c r="J147" s="34">
        <v>465230</v>
      </c>
      <c r="K147" s="35" t="s">
        <v>17</v>
      </c>
      <c r="L147" s="36">
        <v>83741.399999999994</v>
      </c>
      <c r="M147" s="30" t="s">
        <v>18</v>
      </c>
      <c r="N147" s="30" t="s">
        <v>24</v>
      </c>
      <c r="O147" s="30" t="s">
        <v>1542</v>
      </c>
      <c r="P147" s="30" t="s">
        <v>1542</v>
      </c>
      <c r="Q147" s="30" t="str">
        <f>VLOOKUP(WEEKDAY(G147),Key!$B$3:$C$9,2,0)</f>
        <v>Wednesday</v>
      </c>
      <c r="R147" s="42" t="str">
        <f t="shared" si="6"/>
        <v>Within</v>
      </c>
      <c r="S147" s="41" t="str">
        <f t="shared" si="7"/>
        <v>Pass</v>
      </c>
      <c r="T147" s="30" t="str">
        <f t="shared" si="8"/>
        <v>FY 20-21</v>
      </c>
      <c r="U147" s="30" t="str">
        <f>VLOOKUP(MONTH(G147),Key!$F$3:$G$14,2,0)</f>
        <v>Sep</v>
      </c>
      <c r="V147" s="30" t="str">
        <f>IFERROR(IF(MATCH(F147,'Test 6'!C$5:C$9,0)&gt;0,"RP"),"NON-RP")</f>
        <v>NON-RP</v>
      </c>
    </row>
    <row r="148" spans="2:22" x14ac:dyDescent="0.5">
      <c r="B148" s="30">
        <v>144</v>
      </c>
      <c r="C148" s="30" t="s">
        <v>374</v>
      </c>
      <c r="D148" s="31">
        <v>2021144</v>
      </c>
      <c r="E148" s="30" t="s">
        <v>375</v>
      </c>
      <c r="F148" s="53" t="s">
        <v>54</v>
      </c>
      <c r="G148" s="32">
        <v>44104</v>
      </c>
      <c r="H148" s="33">
        <v>0.66954043409403963</v>
      </c>
      <c r="I148" s="30" t="s">
        <v>321</v>
      </c>
      <c r="J148" s="34">
        <v>459200</v>
      </c>
      <c r="K148" s="35" t="s">
        <v>17</v>
      </c>
      <c r="L148" s="36">
        <v>82656</v>
      </c>
      <c r="M148" s="30" t="s">
        <v>23</v>
      </c>
      <c r="N148" s="30" t="s">
        <v>24</v>
      </c>
      <c r="O148" s="30" t="s">
        <v>1542</v>
      </c>
      <c r="P148" s="30" t="s">
        <v>1542</v>
      </c>
      <c r="Q148" s="30" t="str">
        <f>VLOOKUP(WEEKDAY(G148),Key!$B$3:$C$9,2,0)</f>
        <v>Wednesday</v>
      </c>
      <c r="R148" s="42" t="str">
        <f t="shared" si="6"/>
        <v>Within</v>
      </c>
      <c r="S148" s="41" t="str">
        <f t="shared" si="7"/>
        <v>Pass</v>
      </c>
      <c r="T148" s="30" t="str">
        <f t="shared" si="8"/>
        <v>FY 20-21</v>
      </c>
      <c r="U148" s="30" t="str">
        <f>VLOOKUP(MONTH(G148),Key!$F$3:$G$14,2,0)</f>
        <v>Sep</v>
      </c>
      <c r="V148" s="30" t="str">
        <f>IFERROR(IF(MATCH(F148,'Test 6'!C$5:C$9,0)&gt;0,"RP"),"NON-RP")</f>
        <v>NON-RP</v>
      </c>
    </row>
    <row r="149" spans="2:22" x14ac:dyDescent="0.5">
      <c r="B149" s="30">
        <v>145</v>
      </c>
      <c r="C149" s="30" t="s">
        <v>376</v>
      </c>
      <c r="D149" s="31">
        <v>2021145</v>
      </c>
      <c r="E149" s="30" t="s">
        <v>377</v>
      </c>
      <c r="F149" s="53" t="s">
        <v>378</v>
      </c>
      <c r="G149" s="32">
        <v>44104</v>
      </c>
      <c r="H149" s="33">
        <v>0.47969645566360219</v>
      </c>
      <c r="I149" s="30" t="s">
        <v>321</v>
      </c>
      <c r="J149" s="34">
        <v>363610</v>
      </c>
      <c r="K149" s="35" t="s">
        <v>17</v>
      </c>
      <c r="L149" s="36">
        <v>65449.799999999996</v>
      </c>
      <c r="M149" s="30" t="s">
        <v>37</v>
      </c>
      <c r="N149" s="30" t="s">
        <v>24</v>
      </c>
      <c r="O149" s="30" t="s">
        <v>1542</v>
      </c>
      <c r="P149" s="30" t="s">
        <v>1542</v>
      </c>
      <c r="Q149" s="30" t="str">
        <f>VLOOKUP(WEEKDAY(G149),Key!$B$3:$C$9,2,0)</f>
        <v>Wednesday</v>
      </c>
      <c r="R149" s="42" t="str">
        <f t="shared" si="6"/>
        <v>Within</v>
      </c>
      <c r="S149" s="41" t="str">
        <f t="shared" si="7"/>
        <v>Pass</v>
      </c>
      <c r="T149" s="30" t="str">
        <f t="shared" si="8"/>
        <v>FY 20-21</v>
      </c>
      <c r="U149" s="30" t="str">
        <f>VLOOKUP(MONTH(G149),Key!$F$3:$G$14,2,0)</f>
        <v>Sep</v>
      </c>
      <c r="V149" s="30" t="str">
        <f>IFERROR(IF(MATCH(F149,'Test 6'!C$5:C$9,0)&gt;0,"RP"),"NON-RP")</f>
        <v>RP</v>
      </c>
    </row>
    <row r="150" spans="2:22" x14ac:dyDescent="0.5">
      <c r="B150" s="30">
        <v>146</v>
      </c>
      <c r="C150" s="30" t="s">
        <v>379</v>
      </c>
      <c r="D150" s="31">
        <v>2021146</v>
      </c>
      <c r="E150" s="30" t="s">
        <v>380</v>
      </c>
      <c r="F150" s="53" t="s">
        <v>87</v>
      </c>
      <c r="G150" s="32">
        <v>44104</v>
      </c>
      <c r="H150" s="33">
        <v>0.63619208370231128</v>
      </c>
      <c r="I150" s="30" t="s">
        <v>321</v>
      </c>
      <c r="J150" s="34">
        <v>324490</v>
      </c>
      <c r="K150" s="35" t="s">
        <v>17</v>
      </c>
      <c r="L150" s="36">
        <v>58408.2</v>
      </c>
      <c r="M150" s="30" t="s">
        <v>23</v>
      </c>
      <c r="N150" s="30" t="s">
        <v>24</v>
      </c>
      <c r="O150" s="30" t="s">
        <v>1542</v>
      </c>
      <c r="P150" s="30" t="s">
        <v>1542</v>
      </c>
      <c r="Q150" s="30" t="str">
        <f>VLOOKUP(WEEKDAY(G150),Key!$B$3:$C$9,2,0)</f>
        <v>Wednesday</v>
      </c>
      <c r="R150" s="42" t="str">
        <f t="shared" si="6"/>
        <v>Within</v>
      </c>
      <c r="S150" s="41" t="str">
        <f t="shared" si="7"/>
        <v>Pass</v>
      </c>
      <c r="T150" s="30" t="str">
        <f t="shared" si="8"/>
        <v>FY 20-21</v>
      </c>
      <c r="U150" s="30" t="str">
        <f>VLOOKUP(MONTH(G150),Key!$F$3:$G$14,2,0)</f>
        <v>Sep</v>
      </c>
      <c r="V150" s="30" t="str">
        <f>IFERROR(IF(MATCH(F150,'Test 6'!C$5:C$9,0)&gt;0,"RP"),"NON-RP")</f>
        <v>NON-RP</v>
      </c>
    </row>
    <row r="151" spans="2:22" x14ac:dyDescent="0.5">
      <c r="B151" s="30">
        <v>147</v>
      </c>
      <c r="C151" s="30" t="s">
        <v>381</v>
      </c>
      <c r="D151" s="31">
        <v>2021147</v>
      </c>
      <c r="E151" s="30" t="s">
        <v>382</v>
      </c>
      <c r="F151" s="53" t="s">
        <v>119</v>
      </c>
      <c r="G151" s="32">
        <v>44105</v>
      </c>
      <c r="H151" s="33">
        <v>0.72444047359605146</v>
      </c>
      <c r="I151" s="30" t="s">
        <v>383</v>
      </c>
      <c r="J151" s="34">
        <v>477100</v>
      </c>
      <c r="K151" s="35" t="s">
        <v>17</v>
      </c>
      <c r="L151" s="36">
        <v>85878</v>
      </c>
      <c r="M151" s="30" t="s">
        <v>18</v>
      </c>
      <c r="N151" s="30" t="s">
        <v>68</v>
      </c>
      <c r="O151" s="30" t="s">
        <v>1542</v>
      </c>
      <c r="P151" s="30" t="s">
        <v>1542</v>
      </c>
      <c r="Q151" s="30" t="str">
        <f>VLOOKUP(WEEKDAY(G151),Key!$B$3:$C$9,2,0)</f>
        <v>Thursday</v>
      </c>
      <c r="R151" s="42" t="str">
        <f t="shared" si="6"/>
        <v>Within</v>
      </c>
      <c r="S151" s="41" t="str">
        <f t="shared" si="7"/>
        <v>Pass</v>
      </c>
      <c r="T151" s="30" t="str">
        <f t="shared" si="8"/>
        <v>FY 20-21</v>
      </c>
      <c r="U151" s="30" t="str">
        <f>VLOOKUP(MONTH(G151),Key!$F$3:$G$14,2,0)</f>
        <v>Oct</v>
      </c>
      <c r="V151" s="30" t="str">
        <f>IFERROR(IF(MATCH(F151,'Test 6'!C$5:C$9,0)&gt;0,"RP"),"NON-RP")</f>
        <v>NON-RP</v>
      </c>
    </row>
    <row r="152" spans="2:22" x14ac:dyDescent="0.5">
      <c r="B152" s="30">
        <v>148</v>
      </c>
      <c r="C152" s="30" t="s">
        <v>384</v>
      </c>
      <c r="D152" s="31">
        <v>2021148</v>
      </c>
      <c r="E152" s="30" t="s">
        <v>385</v>
      </c>
      <c r="F152" s="53" t="s">
        <v>67</v>
      </c>
      <c r="G152" s="32">
        <v>44106</v>
      </c>
      <c r="H152" s="33">
        <v>0.50806740923066296</v>
      </c>
      <c r="I152" s="30" t="s">
        <v>321</v>
      </c>
      <c r="J152" s="34">
        <v>277730</v>
      </c>
      <c r="K152" s="35" t="s">
        <v>17</v>
      </c>
      <c r="L152" s="36">
        <v>49991.4</v>
      </c>
      <c r="M152" s="30" t="s">
        <v>23</v>
      </c>
      <c r="N152" s="30" t="s">
        <v>24</v>
      </c>
      <c r="O152" s="30" t="s">
        <v>1542</v>
      </c>
      <c r="P152" s="30" t="s">
        <v>1542</v>
      </c>
      <c r="Q152" s="30" t="str">
        <f>VLOOKUP(WEEKDAY(G152),Key!$B$3:$C$9,2,0)</f>
        <v>Friday</v>
      </c>
      <c r="R152" s="42" t="str">
        <f t="shared" si="6"/>
        <v>Within</v>
      </c>
      <c r="S152" s="41" t="str">
        <f t="shared" si="7"/>
        <v>Pass</v>
      </c>
      <c r="T152" s="30" t="str">
        <f t="shared" si="8"/>
        <v>FY 20-21</v>
      </c>
      <c r="U152" s="30" t="str">
        <f>VLOOKUP(MONTH(G152),Key!$F$3:$G$14,2,0)</f>
        <v>Oct</v>
      </c>
      <c r="V152" s="30" t="str">
        <f>IFERROR(IF(MATCH(F152,'Test 6'!C$5:C$9,0)&gt;0,"RP"),"NON-RP")</f>
        <v>NON-RP</v>
      </c>
    </row>
    <row r="153" spans="2:22" x14ac:dyDescent="0.5">
      <c r="B153" s="30">
        <v>149</v>
      </c>
      <c r="C153" s="30" t="s">
        <v>386</v>
      </c>
      <c r="D153" s="31">
        <v>2021149</v>
      </c>
      <c r="E153" s="30" t="s">
        <v>387</v>
      </c>
      <c r="F153" s="53" t="s">
        <v>64</v>
      </c>
      <c r="G153" s="32">
        <v>44106</v>
      </c>
      <c r="H153" s="33">
        <v>0.58431751942477461</v>
      </c>
      <c r="I153" s="30" t="s">
        <v>321</v>
      </c>
      <c r="J153" s="34">
        <v>338510</v>
      </c>
      <c r="K153" s="35" t="s">
        <v>17</v>
      </c>
      <c r="L153" s="36">
        <v>60931.799999999996</v>
      </c>
      <c r="M153" s="30" t="s">
        <v>61</v>
      </c>
      <c r="N153" s="30" t="s">
        <v>51</v>
      </c>
      <c r="O153" s="30" t="s">
        <v>1542</v>
      </c>
      <c r="P153" s="30" t="s">
        <v>1542</v>
      </c>
      <c r="Q153" s="30" t="str">
        <f>VLOOKUP(WEEKDAY(G153),Key!$B$3:$C$9,2,0)</f>
        <v>Friday</v>
      </c>
      <c r="R153" s="42" t="str">
        <f t="shared" si="6"/>
        <v>Within</v>
      </c>
      <c r="S153" s="41" t="str">
        <f t="shared" si="7"/>
        <v>Pass</v>
      </c>
      <c r="T153" s="30" t="str">
        <f t="shared" si="8"/>
        <v>FY 20-21</v>
      </c>
      <c r="U153" s="30" t="str">
        <f>VLOOKUP(MONTH(G153),Key!$F$3:$G$14,2,0)</f>
        <v>Oct</v>
      </c>
      <c r="V153" s="30" t="str">
        <f>IFERROR(IF(MATCH(F153,'Test 6'!C$5:C$9,0)&gt;0,"RP"),"NON-RP")</f>
        <v>NON-RP</v>
      </c>
    </row>
    <row r="154" spans="2:22" x14ac:dyDescent="0.5">
      <c r="B154" s="30">
        <v>150</v>
      </c>
      <c r="C154" s="30" t="s">
        <v>388</v>
      </c>
      <c r="D154" s="31">
        <v>2021150</v>
      </c>
      <c r="E154" s="30" t="s">
        <v>389</v>
      </c>
      <c r="F154" s="53" t="s">
        <v>143</v>
      </c>
      <c r="G154" s="32">
        <v>44113</v>
      </c>
      <c r="H154" s="33">
        <v>0.54985888763746094</v>
      </c>
      <c r="I154" s="30" t="s">
        <v>321</v>
      </c>
      <c r="J154" s="34">
        <v>494440</v>
      </c>
      <c r="K154" s="35" t="s">
        <v>17</v>
      </c>
      <c r="L154" s="36">
        <v>88999.2</v>
      </c>
      <c r="M154" s="30" t="s">
        <v>32</v>
      </c>
      <c r="N154" s="30" t="s">
        <v>51</v>
      </c>
      <c r="O154" s="30" t="s">
        <v>1542</v>
      </c>
      <c r="P154" s="30" t="s">
        <v>1542</v>
      </c>
      <c r="Q154" s="30" t="str">
        <f>VLOOKUP(WEEKDAY(G154),Key!$B$3:$C$9,2,0)</f>
        <v>Friday</v>
      </c>
      <c r="R154" s="42" t="str">
        <f t="shared" si="6"/>
        <v>Within</v>
      </c>
      <c r="S154" s="41" t="str">
        <f t="shared" si="7"/>
        <v>Pass</v>
      </c>
      <c r="T154" s="30" t="str">
        <f t="shared" si="8"/>
        <v>FY 20-21</v>
      </c>
      <c r="U154" s="30" t="str">
        <f>VLOOKUP(MONTH(G154),Key!$F$3:$G$14,2,0)</f>
        <v>Oct</v>
      </c>
      <c r="V154" s="30" t="str">
        <f>IFERROR(IF(MATCH(F154,'Test 6'!C$5:C$9,0)&gt;0,"RP"),"NON-RP")</f>
        <v>NON-RP</v>
      </c>
    </row>
    <row r="155" spans="2:22" x14ac:dyDescent="0.5">
      <c r="B155" s="30">
        <v>151</v>
      </c>
      <c r="C155" s="30" t="s">
        <v>390</v>
      </c>
      <c r="D155" s="31">
        <v>2021151</v>
      </c>
      <c r="E155" s="30" t="s">
        <v>391</v>
      </c>
      <c r="F155" s="53" t="s">
        <v>195</v>
      </c>
      <c r="G155" s="32">
        <v>44114</v>
      </c>
      <c r="H155" s="33">
        <v>0.47118531840067218</v>
      </c>
      <c r="I155" s="30" t="s">
        <v>383</v>
      </c>
      <c r="J155" s="34">
        <v>354520</v>
      </c>
      <c r="K155" s="35" t="s">
        <v>17</v>
      </c>
      <c r="L155" s="36">
        <v>63813.599999999999</v>
      </c>
      <c r="M155" s="30" t="s">
        <v>23</v>
      </c>
      <c r="N155" s="30" t="s">
        <v>47</v>
      </c>
      <c r="O155" s="30" t="s">
        <v>1542</v>
      </c>
      <c r="P155" s="30" t="s">
        <v>1542</v>
      </c>
      <c r="Q155" s="30" t="str">
        <f>VLOOKUP(WEEKDAY(G155),Key!$B$3:$C$9,2,0)</f>
        <v>Saturday</v>
      </c>
      <c r="R155" s="42" t="str">
        <f t="shared" si="6"/>
        <v>Within</v>
      </c>
      <c r="S155" s="41" t="str">
        <f t="shared" si="7"/>
        <v>Pass</v>
      </c>
      <c r="T155" s="30" t="str">
        <f t="shared" si="8"/>
        <v>FY 20-21</v>
      </c>
      <c r="U155" s="30" t="str">
        <f>VLOOKUP(MONTH(G155),Key!$F$3:$G$14,2,0)</f>
        <v>Oct</v>
      </c>
      <c r="V155" s="30" t="str">
        <f>IFERROR(IF(MATCH(F155,'Test 6'!C$5:C$9,0)&gt;0,"RP"),"NON-RP")</f>
        <v>NON-RP</v>
      </c>
    </row>
    <row r="156" spans="2:22" x14ac:dyDescent="0.5">
      <c r="B156" s="30">
        <v>152</v>
      </c>
      <c r="C156" s="30" t="s">
        <v>392</v>
      </c>
      <c r="D156" s="31">
        <v>2021152</v>
      </c>
      <c r="E156" s="30" t="s">
        <v>393</v>
      </c>
      <c r="F156" s="53" t="s">
        <v>128</v>
      </c>
      <c r="G156" s="32">
        <v>44114</v>
      </c>
      <c r="H156" s="33">
        <v>0.53723260509131321</v>
      </c>
      <c r="I156" s="30" t="s">
        <v>383</v>
      </c>
      <c r="J156" s="34">
        <v>236430</v>
      </c>
      <c r="K156" s="35" t="s">
        <v>17</v>
      </c>
      <c r="L156" s="36">
        <v>42557.4</v>
      </c>
      <c r="M156" s="30" t="s">
        <v>28</v>
      </c>
      <c r="N156" s="30" t="s">
        <v>24</v>
      </c>
      <c r="O156" s="30" t="s">
        <v>1542</v>
      </c>
      <c r="P156" s="30" t="s">
        <v>1542</v>
      </c>
      <c r="Q156" s="30" t="str">
        <f>VLOOKUP(WEEKDAY(G156),Key!$B$3:$C$9,2,0)</f>
        <v>Saturday</v>
      </c>
      <c r="R156" s="42" t="str">
        <f t="shared" si="6"/>
        <v>Within</v>
      </c>
      <c r="S156" s="41" t="str">
        <f t="shared" si="7"/>
        <v>Pass</v>
      </c>
      <c r="T156" s="30" t="str">
        <f t="shared" si="8"/>
        <v>FY 20-21</v>
      </c>
      <c r="U156" s="30" t="str">
        <f>VLOOKUP(MONTH(G156),Key!$F$3:$G$14,2,0)</f>
        <v>Oct</v>
      </c>
      <c r="V156" s="30" t="str">
        <f>IFERROR(IF(MATCH(F156,'Test 6'!C$5:C$9,0)&gt;0,"RP"),"NON-RP")</f>
        <v>NON-RP</v>
      </c>
    </row>
    <row r="157" spans="2:22" x14ac:dyDescent="0.5">
      <c r="B157" s="30">
        <v>153</v>
      </c>
      <c r="C157" s="30" t="s">
        <v>394</v>
      </c>
      <c r="D157" s="31">
        <v>2021153</v>
      </c>
      <c r="E157" s="30" t="s">
        <v>395</v>
      </c>
      <c r="F157" s="53" t="s">
        <v>60</v>
      </c>
      <c r="G157" s="32">
        <v>44114</v>
      </c>
      <c r="H157" s="33">
        <v>0.42057590796707689</v>
      </c>
      <c r="I157" s="30" t="s">
        <v>383</v>
      </c>
      <c r="J157" s="34">
        <v>269550</v>
      </c>
      <c r="K157" s="35" t="s">
        <v>17</v>
      </c>
      <c r="L157" s="36">
        <v>48519</v>
      </c>
      <c r="M157" s="30" t="s">
        <v>18</v>
      </c>
      <c r="N157" s="30" t="s">
        <v>24</v>
      </c>
      <c r="O157" s="30" t="s">
        <v>1542</v>
      </c>
      <c r="P157" s="30" t="s">
        <v>1542</v>
      </c>
      <c r="Q157" s="30" t="str">
        <f>VLOOKUP(WEEKDAY(G157),Key!$B$3:$C$9,2,0)</f>
        <v>Saturday</v>
      </c>
      <c r="R157" s="42" t="str">
        <f t="shared" si="6"/>
        <v>Within</v>
      </c>
      <c r="S157" s="41" t="str">
        <f t="shared" si="7"/>
        <v>Pass</v>
      </c>
      <c r="T157" s="30" t="str">
        <f t="shared" si="8"/>
        <v>FY 20-21</v>
      </c>
      <c r="U157" s="30" t="str">
        <f>VLOOKUP(MONTH(G157),Key!$F$3:$G$14,2,0)</f>
        <v>Oct</v>
      </c>
      <c r="V157" s="30" t="str">
        <f>IFERROR(IF(MATCH(F157,'Test 6'!C$5:C$9,0)&gt;0,"RP"),"NON-RP")</f>
        <v>NON-RP</v>
      </c>
    </row>
    <row r="158" spans="2:22" x14ac:dyDescent="0.5">
      <c r="B158" s="30">
        <v>154</v>
      </c>
      <c r="C158" s="30" t="s">
        <v>396</v>
      </c>
      <c r="D158" s="31">
        <v>2021154</v>
      </c>
      <c r="E158" s="30" t="s">
        <v>397</v>
      </c>
      <c r="F158" s="53" t="s">
        <v>184</v>
      </c>
      <c r="G158" s="32">
        <v>44116</v>
      </c>
      <c r="H158" s="33">
        <v>0.70299790674246532</v>
      </c>
      <c r="I158" s="30" t="s">
        <v>383</v>
      </c>
      <c r="J158" s="34">
        <v>4699400</v>
      </c>
      <c r="K158" s="35" t="s">
        <v>17</v>
      </c>
      <c r="L158" s="36">
        <v>845892</v>
      </c>
      <c r="M158" s="30" t="s">
        <v>41</v>
      </c>
      <c r="N158" s="30" t="s">
        <v>42</v>
      </c>
      <c r="O158" s="30" t="s">
        <v>1542</v>
      </c>
      <c r="P158" s="30" t="s">
        <v>1542</v>
      </c>
      <c r="Q158" s="30" t="str">
        <f>VLOOKUP(WEEKDAY(G158),Key!$B$3:$C$9,2,0)</f>
        <v>Monday</v>
      </c>
      <c r="R158" s="42" t="str">
        <f t="shared" si="6"/>
        <v>Within</v>
      </c>
      <c r="S158" s="41" t="str">
        <f t="shared" si="7"/>
        <v>Pass</v>
      </c>
      <c r="T158" s="30" t="str">
        <f t="shared" si="8"/>
        <v>FY 20-21</v>
      </c>
      <c r="U158" s="30" t="str">
        <f>VLOOKUP(MONTH(G158),Key!$F$3:$G$14,2,0)</f>
        <v>Oct</v>
      </c>
      <c r="V158" s="30" t="str">
        <f>IFERROR(IF(MATCH(F158,'Test 6'!C$5:C$9,0)&gt;0,"RP"),"NON-RP")</f>
        <v>NON-RP</v>
      </c>
    </row>
    <row r="159" spans="2:22" x14ac:dyDescent="0.5">
      <c r="B159" s="30">
        <v>155</v>
      </c>
      <c r="C159" s="30" t="s">
        <v>398</v>
      </c>
      <c r="D159" s="31">
        <v>2021155</v>
      </c>
      <c r="E159" s="30" t="s">
        <v>399</v>
      </c>
      <c r="F159" s="53" t="s">
        <v>153</v>
      </c>
      <c r="G159" s="32">
        <v>44116</v>
      </c>
      <c r="H159" s="33">
        <v>0.4762961092493444</v>
      </c>
      <c r="I159" s="30" t="s">
        <v>383</v>
      </c>
      <c r="J159" s="34">
        <v>40290</v>
      </c>
      <c r="K159" s="35" t="s">
        <v>17</v>
      </c>
      <c r="L159" s="36">
        <v>7252.2</v>
      </c>
      <c r="M159" s="30" t="s">
        <v>36</v>
      </c>
      <c r="N159" s="30" t="s">
        <v>18</v>
      </c>
      <c r="O159" s="30" t="s">
        <v>1542</v>
      </c>
      <c r="P159" s="30" t="s">
        <v>1542</v>
      </c>
      <c r="Q159" s="30" t="str">
        <f>VLOOKUP(WEEKDAY(G159),Key!$B$3:$C$9,2,0)</f>
        <v>Monday</v>
      </c>
      <c r="R159" s="42" t="str">
        <f t="shared" si="6"/>
        <v>Within</v>
      </c>
      <c r="S159" s="41" t="str">
        <f t="shared" si="7"/>
        <v>Pass</v>
      </c>
      <c r="T159" s="30" t="str">
        <f t="shared" si="8"/>
        <v>FY 20-21</v>
      </c>
      <c r="U159" s="30" t="str">
        <f>VLOOKUP(MONTH(G159),Key!$F$3:$G$14,2,0)</f>
        <v>Oct</v>
      </c>
      <c r="V159" s="30" t="str">
        <f>IFERROR(IF(MATCH(F159,'Test 6'!C$5:C$9,0)&gt;0,"RP"),"NON-RP")</f>
        <v>NON-RP</v>
      </c>
    </row>
    <row r="160" spans="2:22" x14ac:dyDescent="0.5">
      <c r="B160" s="30">
        <v>156</v>
      </c>
      <c r="C160" s="30" t="s">
        <v>400</v>
      </c>
      <c r="D160" s="31">
        <v>2021156</v>
      </c>
      <c r="E160" s="30" t="s">
        <v>401</v>
      </c>
      <c r="F160" s="53" t="s">
        <v>50</v>
      </c>
      <c r="G160" s="32">
        <v>44120</v>
      </c>
      <c r="H160" s="33">
        <v>0.70830253683997935</v>
      </c>
      <c r="I160" s="30" t="s">
        <v>383</v>
      </c>
      <c r="J160" s="34">
        <v>427530</v>
      </c>
      <c r="K160" s="35" t="s">
        <v>17</v>
      </c>
      <c r="L160" s="36">
        <v>76955.399999999994</v>
      </c>
      <c r="M160" s="30" t="s">
        <v>23</v>
      </c>
      <c r="N160" s="30" t="s">
        <v>51</v>
      </c>
      <c r="O160" s="30" t="s">
        <v>1542</v>
      </c>
      <c r="P160" s="30" t="s">
        <v>1542</v>
      </c>
      <c r="Q160" s="30" t="str">
        <f>VLOOKUP(WEEKDAY(G160),Key!$B$3:$C$9,2,0)</f>
        <v>Friday</v>
      </c>
      <c r="R160" s="42" t="str">
        <f t="shared" si="6"/>
        <v>Within</v>
      </c>
      <c r="S160" s="41" t="str">
        <f t="shared" si="7"/>
        <v>Pass</v>
      </c>
      <c r="T160" s="30" t="str">
        <f t="shared" si="8"/>
        <v>FY 20-21</v>
      </c>
      <c r="U160" s="30" t="str">
        <f>VLOOKUP(MONTH(G160),Key!$F$3:$G$14,2,0)</f>
        <v>Oct</v>
      </c>
      <c r="V160" s="30" t="str">
        <f>IFERROR(IF(MATCH(F160,'Test 6'!C$5:C$9,0)&gt;0,"RP"),"NON-RP")</f>
        <v>NON-RP</v>
      </c>
    </row>
    <row r="161" spans="2:22" x14ac:dyDescent="0.5">
      <c r="B161" s="30">
        <v>157</v>
      </c>
      <c r="C161" s="30" t="s">
        <v>402</v>
      </c>
      <c r="D161" s="31">
        <v>2021157</v>
      </c>
      <c r="E161" s="30" t="s">
        <v>403</v>
      </c>
      <c r="F161" s="53" t="s">
        <v>195</v>
      </c>
      <c r="G161" s="32">
        <v>44121</v>
      </c>
      <c r="H161" s="33">
        <v>0.46525463608195966</v>
      </c>
      <c r="I161" s="30" t="s">
        <v>383</v>
      </c>
      <c r="J161" s="34">
        <v>375010</v>
      </c>
      <c r="K161" s="35" t="s">
        <v>17</v>
      </c>
      <c r="L161" s="36">
        <v>67501.8</v>
      </c>
      <c r="M161" s="30" t="s">
        <v>23</v>
      </c>
      <c r="N161" s="30" t="s">
        <v>51</v>
      </c>
      <c r="O161" s="30" t="s">
        <v>1542</v>
      </c>
      <c r="P161" s="30" t="s">
        <v>1542</v>
      </c>
      <c r="Q161" s="30" t="str">
        <f>VLOOKUP(WEEKDAY(G161),Key!$B$3:$C$9,2,0)</f>
        <v>Saturday</v>
      </c>
      <c r="R161" s="42" t="str">
        <f t="shared" si="6"/>
        <v>Within</v>
      </c>
      <c r="S161" s="41" t="str">
        <f t="shared" si="7"/>
        <v>Pass</v>
      </c>
      <c r="T161" s="30" t="str">
        <f t="shared" si="8"/>
        <v>FY 20-21</v>
      </c>
      <c r="U161" s="30" t="str">
        <f>VLOOKUP(MONTH(G161),Key!$F$3:$G$14,2,0)</f>
        <v>Oct</v>
      </c>
      <c r="V161" s="30" t="str">
        <f>IFERROR(IF(MATCH(F161,'Test 6'!C$5:C$9,0)&gt;0,"RP"),"NON-RP")</f>
        <v>NON-RP</v>
      </c>
    </row>
    <row r="162" spans="2:22" x14ac:dyDescent="0.5">
      <c r="B162" s="30">
        <v>158</v>
      </c>
      <c r="C162" s="30" t="s">
        <v>404</v>
      </c>
      <c r="D162" s="31">
        <v>2021158</v>
      </c>
      <c r="E162" s="30" t="s">
        <v>405</v>
      </c>
      <c r="F162" s="53" t="s">
        <v>128</v>
      </c>
      <c r="G162" s="32">
        <v>44125</v>
      </c>
      <c r="H162" s="33">
        <v>0.53598446068457917</v>
      </c>
      <c r="I162" s="30" t="s">
        <v>383</v>
      </c>
      <c r="J162" s="34">
        <v>233840</v>
      </c>
      <c r="K162" s="35" t="s">
        <v>17</v>
      </c>
      <c r="L162" s="36">
        <v>42091.199999999997</v>
      </c>
      <c r="M162" s="30" t="s">
        <v>37</v>
      </c>
      <c r="N162" s="30" t="s">
        <v>47</v>
      </c>
      <c r="O162" s="30" t="s">
        <v>1542</v>
      </c>
      <c r="P162" s="30" t="s">
        <v>1542</v>
      </c>
      <c r="Q162" s="30" t="str">
        <f>VLOOKUP(WEEKDAY(G162),Key!$B$3:$C$9,2,0)</f>
        <v>Wednesday</v>
      </c>
      <c r="R162" s="42" t="str">
        <f t="shared" si="6"/>
        <v>Within</v>
      </c>
      <c r="S162" s="41" t="str">
        <f t="shared" si="7"/>
        <v>Pass</v>
      </c>
      <c r="T162" s="30" t="str">
        <f t="shared" si="8"/>
        <v>FY 20-21</v>
      </c>
      <c r="U162" s="30" t="str">
        <f>VLOOKUP(MONTH(G162),Key!$F$3:$G$14,2,0)</f>
        <v>Oct</v>
      </c>
      <c r="V162" s="30" t="str">
        <f>IFERROR(IF(MATCH(F162,'Test 6'!C$5:C$9,0)&gt;0,"RP"),"NON-RP")</f>
        <v>NON-RP</v>
      </c>
    </row>
    <row r="163" spans="2:22" x14ac:dyDescent="0.5">
      <c r="B163" s="30">
        <v>159</v>
      </c>
      <c r="C163" s="30" t="s">
        <v>406</v>
      </c>
      <c r="D163" s="31">
        <v>2021159</v>
      </c>
      <c r="E163" s="30" t="s">
        <v>407</v>
      </c>
      <c r="F163" s="53" t="s">
        <v>293</v>
      </c>
      <c r="G163" s="32">
        <v>44125</v>
      </c>
      <c r="H163" s="33">
        <v>0.42038815477690417</v>
      </c>
      <c r="I163" s="30" t="s">
        <v>383</v>
      </c>
      <c r="J163" s="34">
        <v>486560</v>
      </c>
      <c r="K163" s="35" t="s">
        <v>17</v>
      </c>
      <c r="L163" s="36">
        <v>87580.800000000003</v>
      </c>
      <c r="M163" s="30" t="s">
        <v>18</v>
      </c>
      <c r="N163" s="30" t="s">
        <v>51</v>
      </c>
      <c r="O163" s="30" t="s">
        <v>1542</v>
      </c>
      <c r="P163" s="30" t="s">
        <v>1542</v>
      </c>
      <c r="Q163" s="30" t="str">
        <f>VLOOKUP(WEEKDAY(G163),Key!$B$3:$C$9,2,0)</f>
        <v>Wednesday</v>
      </c>
      <c r="R163" s="42" t="str">
        <f t="shared" si="6"/>
        <v>Within</v>
      </c>
      <c r="S163" s="41" t="str">
        <f t="shared" si="7"/>
        <v>Pass</v>
      </c>
      <c r="T163" s="30" t="str">
        <f t="shared" si="8"/>
        <v>FY 20-21</v>
      </c>
      <c r="U163" s="30" t="str">
        <f>VLOOKUP(MONTH(G163),Key!$F$3:$G$14,2,0)</f>
        <v>Oct</v>
      </c>
      <c r="V163" s="30" t="str">
        <f>IFERROR(IF(MATCH(F163,'Test 6'!C$5:C$9,0)&gt;0,"RP"),"NON-RP")</f>
        <v>NON-RP</v>
      </c>
    </row>
    <row r="164" spans="2:22" x14ac:dyDescent="0.5">
      <c r="B164" s="30">
        <v>160</v>
      </c>
      <c r="C164" s="30" t="s">
        <v>408</v>
      </c>
      <c r="D164" s="31">
        <v>2021160</v>
      </c>
      <c r="E164" s="30" t="s">
        <v>409</v>
      </c>
      <c r="F164" s="53" t="s">
        <v>203</v>
      </c>
      <c r="G164" s="32">
        <v>44126</v>
      </c>
      <c r="H164" s="33">
        <v>0.54936089502691976</v>
      </c>
      <c r="I164" s="30" t="s">
        <v>383</v>
      </c>
      <c r="J164" s="34">
        <v>394840</v>
      </c>
      <c r="K164" s="35" t="s">
        <v>17</v>
      </c>
      <c r="L164" s="36">
        <v>71071.199999999997</v>
      </c>
      <c r="M164" s="30" t="s">
        <v>37</v>
      </c>
      <c r="N164" s="30" t="s">
        <v>68</v>
      </c>
      <c r="O164" s="30" t="s">
        <v>1542</v>
      </c>
      <c r="P164" s="30" t="s">
        <v>1542</v>
      </c>
      <c r="Q164" s="30" t="str">
        <f>VLOOKUP(WEEKDAY(G164),Key!$B$3:$C$9,2,0)</f>
        <v>Thursday</v>
      </c>
      <c r="R164" s="42" t="str">
        <f t="shared" si="6"/>
        <v>Within</v>
      </c>
      <c r="S164" s="41" t="str">
        <f t="shared" si="7"/>
        <v>Pass</v>
      </c>
      <c r="T164" s="30" t="str">
        <f t="shared" si="8"/>
        <v>FY 20-21</v>
      </c>
      <c r="U164" s="30" t="str">
        <f>VLOOKUP(MONTH(G164),Key!$F$3:$G$14,2,0)</f>
        <v>Oct</v>
      </c>
      <c r="V164" s="30" t="str">
        <f>IFERROR(IF(MATCH(F164,'Test 6'!C$5:C$9,0)&gt;0,"RP"),"NON-RP")</f>
        <v>NON-RP</v>
      </c>
    </row>
    <row r="165" spans="2:22" x14ac:dyDescent="0.5">
      <c r="B165" s="30">
        <v>161</v>
      </c>
      <c r="C165" s="30" t="s">
        <v>410</v>
      </c>
      <c r="D165" s="31">
        <v>2021161</v>
      </c>
      <c r="E165" s="30" t="s">
        <v>411</v>
      </c>
      <c r="F165" s="53" t="s">
        <v>229</v>
      </c>
      <c r="G165" s="32">
        <v>44127</v>
      </c>
      <c r="H165" s="33">
        <v>0.55174673266043051</v>
      </c>
      <c r="I165" s="30" t="s">
        <v>383</v>
      </c>
      <c r="J165" s="34">
        <v>496620</v>
      </c>
      <c r="K165" s="35" t="s">
        <v>17</v>
      </c>
      <c r="L165" s="36">
        <v>89391.599999999991</v>
      </c>
      <c r="M165" s="30" t="s">
        <v>37</v>
      </c>
      <c r="N165" s="30" t="s">
        <v>68</v>
      </c>
      <c r="O165" s="30" t="s">
        <v>1542</v>
      </c>
      <c r="P165" s="30" t="s">
        <v>1542</v>
      </c>
      <c r="Q165" s="30" t="str">
        <f>VLOOKUP(WEEKDAY(G165),Key!$B$3:$C$9,2,0)</f>
        <v>Friday</v>
      </c>
      <c r="R165" s="42" t="str">
        <f t="shared" si="6"/>
        <v>Within</v>
      </c>
      <c r="S165" s="41" t="str">
        <f t="shared" si="7"/>
        <v>Pass</v>
      </c>
      <c r="T165" s="30" t="str">
        <f t="shared" si="8"/>
        <v>FY 20-21</v>
      </c>
      <c r="U165" s="30" t="str">
        <f>VLOOKUP(MONTH(G165),Key!$F$3:$G$14,2,0)</f>
        <v>Oct</v>
      </c>
      <c r="V165" s="30" t="str">
        <f>IFERROR(IF(MATCH(F165,'Test 6'!C$5:C$9,0)&gt;0,"RP"),"NON-RP")</f>
        <v>NON-RP</v>
      </c>
    </row>
    <row r="166" spans="2:22" x14ac:dyDescent="0.5">
      <c r="B166" s="30">
        <v>162</v>
      </c>
      <c r="C166" s="30" t="s">
        <v>412</v>
      </c>
      <c r="D166" s="31">
        <v>2021162</v>
      </c>
      <c r="E166" s="30" t="s">
        <v>413</v>
      </c>
      <c r="F166" s="53" t="s">
        <v>153</v>
      </c>
      <c r="G166" s="32">
        <v>44127</v>
      </c>
      <c r="H166" s="33">
        <v>0.50136762493587672</v>
      </c>
      <c r="I166" s="30" t="s">
        <v>383</v>
      </c>
      <c r="J166" s="34">
        <v>423630</v>
      </c>
      <c r="K166" s="35" t="s">
        <v>17</v>
      </c>
      <c r="L166" s="36">
        <v>76253.399999999994</v>
      </c>
      <c r="M166" s="30" t="s">
        <v>32</v>
      </c>
      <c r="N166" s="30" t="s">
        <v>47</v>
      </c>
      <c r="O166" s="30" t="s">
        <v>1542</v>
      </c>
      <c r="P166" s="30" t="s">
        <v>1542</v>
      </c>
      <c r="Q166" s="30" t="str">
        <f>VLOOKUP(WEEKDAY(G166),Key!$B$3:$C$9,2,0)</f>
        <v>Friday</v>
      </c>
      <c r="R166" s="42" t="str">
        <f t="shared" si="6"/>
        <v>Within</v>
      </c>
      <c r="S166" s="41" t="str">
        <f t="shared" si="7"/>
        <v>Pass</v>
      </c>
      <c r="T166" s="30" t="str">
        <f t="shared" si="8"/>
        <v>FY 20-21</v>
      </c>
      <c r="U166" s="30" t="str">
        <f>VLOOKUP(MONTH(G166),Key!$F$3:$G$14,2,0)</f>
        <v>Oct</v>
      </c>
      <c r="V166" s="30" t="str">
        <f>IFERROR(IF(MATCH(F166,'Test 6'!C$5:C$9,0)&gt;0,"RP"),"NON-RP")</f>
        <v>NON-RP</v>
      </c>
    </row>
    <row r="167" spans="2:22" x14ac:dyDescent="0.5">
      <c r="B167" s="30">
        <v>163</v>
      </c>
      <c r="C167" s="30" t="s">
        <v>414</v>
      </c>
      <c r="D167" s="31">
        <v>2021163</v>
      </c>
      <c r="E167" s="30" t="s">
        <v>415</v>
      </c>
      <c r="F167" s="53" t="s">
        <v>22</v>
      </c>
      <c r="G167" s="32">
        <v>44130</v>
      </c>
      <c r="H167" s="33">
        <v>0.48970970315527185</v>
      </c>
      <c r="I167" s="30" t="s">
        <v>383</v>
      </c>
      <c r="J167" s="34">
        <v>342230</v>
      </c>
      <c r="K167" s="35" t="s">
        <v>17</v>
      </c>
      <c r="L167" s="36">
        <v>61601.399999999994</v>
      </c>
      <c r="M167" s="30" t="s">
        <v>18</v>
      </c>
      <c r="N167" s="30" t="s">
        <v>19</v>
      </c>
      <c r="O167" s="30" t="s">
        <v>1542</v>
      </c>
      <c r="P167" s="30" t="s">
        <v>1542</v>
      </c>
      <c r="Q167" s="30" t="str">
        <f>VLOOKUP(WEEKDAY(G167),Key!$B$3:$C$9,2,0)</f>
        <v>Monday</v>
      </c>
      <c r="R167" s="42" t="str">
        <f t="shared" si="6"/>
        <v>Within</v>
      </c>
      <c r="S167" s="41" t="str">
        <f t="shared" si="7"/>
        <v>Pass</v>
      </c>
      <c r="T167" s="30" t="str">
        <f t="shared" si="8"/>
        <v>FY 20-21</v>
      </c>
      <c r="U167" s="30" t="str">
        <f>VLOOKUP(MONTH(G167),Key!$F$3:$G$14,2,0)</f>
        <v>Oct</v>
      </c>
      <c r="V167" s="30" t="str">
        <f>IFERROR(IF(MATCH(F167,'Test 6'!C$5:C$9,0)&gt;0,"RP"),"NON-RP")</f>
        <v>NON-RP</v>
      </c>
    </row>
    <row r="168" spans="2:22" x14ac:dyDescent="0.5">
      <c r="B168" s="30">
        <v>164</v>
      </c>
      <c r="C168" s="30" t="s">
        <v>416</v>
      </c>
      <c r="D168" s="31">
        <v>2021164</v>
      </c>
      <c r="E168" s="30" t="s">
        <v>417</v>
      </c>
      <c r="F168" s="53" t="s">
        <v>128</v>
      </c>
      <c r="G168" s="32">
        <v>44131</v>
      </c>
      <c r="H168" s="33">
        <v>0.48069258269571169</v>
      </c>
      <c r="I168" s="30" t="s">
        <v>383</v>
      </c>
      <c r="J168" s="34">
        <v>313120</v>
      </c>
      <c r="K168" s="35" t="s">
        <v>17</v>
      </c>
      <c r="L168" s="36">
        <v>56361.599999999999</v>
      </c>
      <c r="M168" s="30" t="s">
        <v>18</v>
      </c>
      <c r="N168" s="30" t="s">
        <v>24</v>
      </c>
      <c r="O168" s="30" t="s">
        <v>1542</v>
      </c>
      <c r="P168" s="30" t="s">
        <v>1542</v>
      </c>
      <c r="Q168" s="30" t="str">
        <f>VLOOKUP(WEEKDAY(G168),Key!$B$3:$C$9,2,0)</f>
        <v>Tuesday</v>
      </c>
      <c r="R168" s="42" t="str">
        <f t="shared" si="6"/>
        <v>Within</v>
      </c>
      <c r="S168" s="41" t="str">
        <f t="shared" si="7"/>
        <v>Pass</v>
      </c>
      <c r="T168" s="30" t="str">
        <f t="shared" si="8"/>
        <v>FY 20-21</v>
      </c>
      <c r="U168" s="30" t="str">
        <f>VLOOKUP(MONTH(G168),Key!$F$3:$G$14,2,0)</f>
        <v>Oct</v>
      </c>
      <c r="V168" s="30" t="str">
        <f>IFERROR(IF(MATCH(F168,'Test 6'!C$5:C$9,0)&gt;0,"RP"),"NON-RP")</f>
        <v>NON-RP</v>
      </c>
    </row>
    <row r="169" spans="2:22" x14ac:dyDescent="0.5">
      <c r="B169" s="30">
        <v>165</v>
      </c>
      <c r="C169" s="30" t="s">
        <v>418</v>
      </c>
      <c r="D169" s="31">
        <v>2021165</v>
      </c>
      <c r="E169" s="30" t="s">
        <v>419</v>
      </c>
      <c r="F169" s="53" t="s">
        <v>241</v>
      </c>
      <c r="G169" s="32">
        <v>44132</v>
      </c>
      <c r="H169" s="33">
        <v>0.65626006403049453</v>
      </c>
      <c r="I169" s="30" t="s">
        <v>383</v>
      </c>
      <c r="J169" s="34">
        <v>482500</v>
      </c>
      <c r="K169" s="35" t="s">
        <v>17</v>
      </c>
      <c r="L169" s="36">
        <v>86850</v>
      </c>
      <c r="M169" s="30" t="s">
        <v>18</v>
      </c>
      <c r="N169" s="30" t="s">
        <v>24</v>
      </c>
      <c r="O169" s="30" t="s">
        <v>1542</v>
      </c>
      <c r="P169" s="30" t="s">
        <v>1542</v>
      </c>
      <c r="Q169" s="30" t="str">
        <f>VLOOKUP(WEEKDAY(G169),Key!$B$3:$C$9,2,0)</f>
        <v>Wednesday</v>
      </c>
      <c r="R169" s="42" t="str">
        <f t="shared" si="6"/>
        <v>Within</v>
      </c>
      <c r="S169" s="41" t="str">
        <f t="shared" si="7"/>
        <v>Pass</v>
      </c>
      <c r="T169" s="30" t="str">
        <f t="shared" si="8"/>
        <v>FY 20-21</v>
      </c>
      <c r="U169" s="30" t="str">
        <f>VLOOKUP(MONTH(G169),Key!$F$3:$G$14,2,0)</f>
        <v>Oct</v>
      </c>
      <c r="V169" s="30" t="str">
        <f>IFERROR(IF(MATCH(F169,'Test 6'!C$5:C$9,0)&gt;0,"RP"),"NON-RP")</f>
        <v>RP</v>
      </c>
    </row>
    <row r="170" spans="2:22" x14ac:dyDescent="0.5">
      <c r="B170" s="30">
        <v>166</v>
      </c>
      <c r="C170" s="30" t="s">
        <v>420</v>
      </c>
      <c r="D170" s="31">
        <v>2021166</v>
      </c>
      <c r="E170" s="30" t="s">
        <v>421</v>
      </c>
      <c r="F170" s="53" t="s">
        <v>272</v>
      </c>
      <c r="G170" s="32">
        <v>44133</v>
      </c>
      <c r="H170" s="33">
        <v>0.42279327112314019</v>
      </c>
      <c r="I170" s="30" t="s">
        <v>383</v>
      </c>
      <c r="J170" s="34">
        <v>228570</v>
      </c>
      <c r="K170" s="35" t="s">
        <v>17</v>
      </c>
      <c r="L170" s="36">
        <v>41142.6</v>
      </c>
      <c r="M170" s="30" t="s">
        <v>18</v>
      </c>
      <c r="N170" s="30" t="s">
        <v>51</v>
      </c>
      <c r="O170" s="30" t="s">
        <v>1542</v>
      </c>
      <c r="P170" s="30" t="s">
        <v>1542</v>
      </c>
      <c r="Q170" s="30" t="str">
        <f>VLOOKUP(WEEKDAY(G170),Key!$B$3:$C$9,2,0)</f>
        <v>Thursday</v>
      </c>
      <c r="R170" s="42" t="str">
        <f t="shared" si="6"/>
        <v>Within</v>
      </c>
      <c r="S170" s="41" t="str">
        <f t="shared" si="7"/>
        <v>Pass</v>
      </c>
      <c r="T170" s="30" t="str">
        <f t="shared" si="8"/>
        <v>FY 20-21</v>
      </c>
      <c r="U170" s="30" t="str">
        <f>VLOOKUP(MONTH(G170),Key!$F$3:$G$14,2,0)</f>
        <v>Oct</v>
      </c>
      <c r="V170" s="30" t="str">
        <f>IFERROR(IF(MATCH(F170,'Test 6'!C$5:C$9,0)&gt;0,"RP"),"NON-RP")</f>
        <v>NON-RP</v>
      </c>
    </row>
    <row r="171" spans="2:22" x14ac:dyDescent="0.5">
      <c r="B171" s="30">
        <v>167</v>
      </c>
      <c r="C171" s="30" t="s">
        <v>422</v>
      </c>
      <c r="D171" s="31">
        <v>2021167</v>
      </c>
      <c r="E171" s="30" t="s">
        <v>423</v>
      </c>
      <c r="F171" s="53" t="s">
        <v>190</v>
      </c>
      <c r="G171" s="32">
        <v>44135</v>
      </c>
      <c r="H171" s="33">
        <v>0.60546980654793814</v>
      </c>
      <c r="I171" s="30" t="s">
        <v>383</v>
      </c>
      <c r="J171" s="34">
        <v>374680</v>
      </c>
      <c r="K171" s="35" t="s">
        <v>17</v>
      </c>
      <c r="L171" s="36">
        <v>67442.399999999994</v>
      </c>
      <c r="M171" s="30" t="s">
        <v>61</v>
      </c>
      <c r="N171" s="30" t="s">
        <v>68</v>
      </c>
      <c r="O171" s="30" t="s">
        <v>1542</v>
      </c>
      <c r="P171" s="30" t="s">
        <v>1542</v>
      </c>
      <c r="Q171" s="30" t="str">
        <f>VLOOKUP(WEEKDAY(G171),Key!$B$3:$C$9,2,0)</f>
        <v>Saturday</v>
      </c>
      <c r="R171" s="42" t="str">
        <f t="shared" si="6"/>
        <v>Within</v>
      </c>
      <c r="S171" s="41" t="str">
        <f t="shared" si="7"/>
        <v>Pass</v>
      </c>
      <c r="T171" s="30" t="str">
        <f t="shared" si="8"/>
        <v>FY 20-21</v>
      </c>
      <c r="U171" s="30" t="str">
        <f>VLOOKUP(MONTH(G171),Key!$F$3:$G$14,2,0)</f>
        <v>Oct</v>
      </c>
      <c r="V171" s="30" t="str">
        <f>IFERROR(IF(MATCH(F171,'Test 6'!C$5:C$9,0)&gt;0,"RP"),"NON-RP")</f>
        <v>NON-RP</v>
      </c>
    </row>
    <row r="172" spans="2:22" x14ac:dyDescent="0.5">
      <c r="B172" s="30">
        <v>168</v>
      </c>
      <c r="C172" s="30" t="s">
        <v>424</v>
      </c>
      <c r="D172" s="31">
        <v>2021168</v>
      </c>
      <c r="E172" s="30" t="s">
        <v>425</v>
      </c>
      <c r="F172" s="53" t="s">
        <v>95</v>
      </c>
      <c r="G172" s="32">
        <v>44135</v>
      </c>
      <c r="H172" s="33">
        <v>0.52830915803891143</v>
      </c>
      <c r="I172" s="30" t="s">
        <v>383</v>
      </c>
      <c r="J172" s="34">
        <v>270290</v>
      </c>
      <c r="K172" s="35" t="s">
        <v>17</v>
      </c>
      <c r="L172" s="36">
        <v>48652.2</v>
      </c>
      <c r="M172" s="30" t="s">
        <v>46</v>
      </c>
      <c r="N172" s="30" t="s">
        <v>47</v>
      </c>
      <c r="O172" s="30" t="s">
        <v>1542</v>
      </c>
      <c r="P172" s="30" t="s">
        <v>1542</v>
      </c>
      <c r="Q172" s="30" t="str">
        <f>VLOOKUP(WEEKDAY(G172),Key!$B$3:$C$9,2,0)</f>
        <v>Saturday</v>
      </c>
      <c r="R172" s="42" t="str">
        <f t="shared" si="6"/>
        <v>Within</v>
      </c>
      <c r="S172" s="41" t="str">
        <f t="shared" si="7"/>
        <v>Pass</v>
      </c>
      <c r="T172" s="30" t="str">
        <f t="shared" si="8"/>
        <v>FY 20-21</v>
      </c>
      <c r="U172" s="30" t="str">
        <f>VLOOKUP(MONTH(G172),Key!$F$3:$G$14,2,0)</f>
        <v>Oct</v>
      </c>
      <c r="V172" s="30" t="str">
        <f>IFERROR(IF(MATCH(F172,'Test 6'!C$5:C$9,0)&gt;0,"RP"),"NON-RP")</f>
        <v>NON-RP</v>
      </c>
    </row>
    <row r="173" spans="2:22" x14ac:dyDescent="0.5">
      <c r="B173" s="30">
        <v>169</v>
      </c>
      <c r="C173" s="30" t="s">
        <v>426</v>
      </c>
      <c r="D173" s="31">
        <v>2021169</v>
      </c>
      <c r="E173" s="30" t="s">
        <v>427</v>
      </c>
      <c r="F173" s="53" t="s">
        <v>143</v>
      </c>
      <c r="G173" s="32">
        <v>44140</v>
      </c>
      <c r="H173" s="33">
        <v>0.49985919118023503</v>
      </c>
      <c r="I173" s="30" t="s">
        <v>428</v>
      </c>
      <c r="J173" s="34">
        <v>230290</v>
      </c>
      <c r="K173" s="35" t="s">
        <v>17</v>
      </c>
      <c r="L173" s="36">
        <v>41452.199999999997</v>
      </c>
      <c r="M173" s="30" t="s">
        <v>28</v>
      </c>
      <c r="N173" s="30" t="s">
        <v>19</v>
      </c>
      <c r="O173" s="30" t="s">
        <v>1542</v>
      </c>
      <c r="P173" s="30" t="s">
        <v>1542</v>
      </c>
      <c r="Q173" s="30" t="str">
        <f>VLOOKUP(WEEKDAY(G173),Key!$B$3:$C$9,2,0)</f>
        <v>Thursday</v>
      </c>
      <c r="R173" s="42" t="str">
        <f t="shared" si="6"/>
        <v>Within</v>
      </c>
      <c r="S173" s="41" t="str">
        <f t="shared" si="7"/>
        <v>Pass</v>
      </c>
      <c r="T173" s="30" t="str">
        <f t="shared" si="8"/>
        <v>FY 20-21</v>
      </c>
      <c r="U173" s="30" t="str">
        <f>VLOOKUP(MONTH(G173),Key!$F$3:$G$14,2,0)</f>
        <v>Nov</v>
      </c>
      <c r="V173" s="30" t="str">
        <f>IFERROR(IF(MATCH(F173,'Test 6'!C$5:C$9,0)&gt;0,"RP"),"NON-RP")</f>
        <v>NON-RP</v>
      </c>
    </row>
    <row r="174" spans="2:22" x14ac:dyDescent="0.5">
      <c r="B174" s="30">
        <v>170</v>
      </c>
      <c r="C174" s="30" t="s">
        <v>429</v>
      </c>
      <c r="D174" s="31">
        <v>2021170</v>
      </c>
      <c r="E174" s="30" t="s">
        <v>430</v>
      </c>
      <c r="F174" s="53" t="s">
        <v>269</v>
      </c>
      <c r="G174" s="32">
        <v>44140</v>
      </c>
      <c r="H174" s="33">
        <v>0.44380099141234025</v>
      </c>
      <c r="I174" s="30" t="s">
        <v>428</v>
      </c>
      <c r="J174" s="34">
        <v>204300</v>
      </c>
      <c r="K174" s="35" t="s">
        <v>17</v>
      </c>
      <c r="L174" s="36">
        <v>36774</v>
      </c>
      <c r="M174" s="30" t="s">
        <v>23</v>
      </c>
      <c r="N174" s="30" t="s">
        <v>68</v>
      </c>
      <c r="O174" s="30" t="s">
        <v>1542</v>
      </c>
      <c r="P174" s="30" t="s">
        <v>1542</v>
      </c>
      <c r="Q174" s="30" t="str">
        <f>VLOOKUP(WEEKDAY(G174),Key!$B$3:$C$9,2,0)</f>
        <v>Thursday</v>
      </c>
      <c r="R174" s="42" t="str">
        <f t="shared" si="6"/>
        <v>Within</v>
      </c>
      <c r="S174" s="41" t="str">
        <f t="shared" si="7"/>
        <v>Pass</v>
      </c>
      <c r="T174" s="30" t="str">
        <f t="shared" si="8"/>
        <v>FY 20-21</v>
      </c>
      <c r="U174" s="30" t="str">
        <f>VLOOKUP(MONTH(G174),Key!$F$3:$G$14,2,0)</f>
        <v>Nov</v>
      </c>
      <c r="V174" s="30" t="str">
        <f>IFERROR(IF(MATCH(F174,'Test 6'!C$5:C$9,0)&gt;0,"RP"),"NON-RP")</f>
        <v>NON-RP</v>
      </c>
    </row>
    <row r="175" spans="2:22" x14ac:dyDescent="0.5">
      <c r="B175" s="30">
        <v>171</v>
      </c>
      <c r="C175" s="30" t="s">
        <v>431</v>
      </c>
      <c r="D175" s="31">
        <v>2021171</v>
      </c>
      <c r="E175" s="30" t="s">
        <v>432</v>
      </c>
      <c r="F175" s="53" t="s">
        <v>184</v>
      </c>
      <c r="G175" s="32">
        <v>44140</v>
      </c>
      <c r="H175" s="33">
        <v>0.47036539875965705</v>
      </c>
      <c r="I175" s="30" t="s">
        <v>428</v>
      </c>
      <c r="J175" s="34">
        <v>429430</v>
      </c>
      <c r="K175" s="35" t="s">
        <v>17</v>
      </c>
      <c r="L175" s="36">
        <v>77297.399999999994</v>
      </c>
      <c r="M175" s="30" t="s">
        <v>28</v>
      </c>
      <c r="N175" s="30" t="s">
        <v>68</v>
      </c>
      <c r="O175" s="30" t="s">
        <v>1542</v>
      </c>
      <c r="P175" s="30" t="s">
        <v>1542</v>
      </c>
      <c r="Q175" s="30" t="str">
        <f>VLOOKUP(WEEKDAY(G175),Key!$B$3:$C$9,2,0)</f>
        <v>Thursday</v>
      </c>
      <c r="R175" s="42" t="str">
        <f t="shared" si="6"/>
        <v>Within</v>
      </c>
      <c r="S175" s="41" t="str">
        <f t="shared" si="7"/>
        <v>Pass</v>
      </c>
      <c r="T175" s="30" t="str">
        <f t="shared" si="8"/>
        <v>FY 20-21</v>
      </c>
      <c r="U175" s="30" t="str">
        <f>VLOOKUP(MONTH(G175),Key!$F$3:$G$14,2,0)</f>
        <v>Nov</v>
      </c>
      <c r="V175" s="30" t="str">
        <f>IFERROR(IF(MATCH(F175,'Test 6'!C$5:C$9,0)&gt;0,"RP"),"NON-RP")</f>
        <v>NON-RP</v>
      </c>
    </row>
    <row r="176" spans="2:22" x14ac:dyDescent="0.5">
      <c r="B176" s="30">
        <v>172</v>
      </c>
      <c r="C176" s="30" t="s">
        <v>433</v>
      </c>
      <c r="D176" s="31">
        <v>2021172</v>
      </c>
      <c r="E176" s="30" t="s">
        <v>434</v>
      </c>
      <c r="F176" s="53" t="s">
        <v>87</v>
      </c>
      <c r="G176" s="32">
        <v>44141</v>
      </c>
      <c r="H176" s="33">
        <v>0.63467311777669022</v>
      </c>
      <c r="I176" s="30" t="s">
        <v>428</v>
      </c>
      <c r="J176" s="34">
        <v>208840</v>
      </c>
      <c r="K176" s="35" t="s">
        <v>17</v>
      </c>
      <c r="L176" s="36">
        <v>37591.199999999997</v>
      </c>
      <c r="M176" s="30" t="s">
        <v>23</v>
      </c>
      <c r="N176" s="30" t="s">
        <v>47</v>
      </c>
      <c r="O176" s="30" t="s">
        <v>1542</v>
      </c>
      <c r="P176" s="30" t="s">
        <v>1542</v>
      </c>
      <c r="Q176" s="30" t="str">
        <f>VLOOKUP(WEEKDAY(G176),Key!$B$3:$C$9,2,0)</f>
        <v>Friday</v>
      </c>
      <c r="R176" s="42" t="str">
        <f t="shared" si="6"/>
        <v>Within</v>
      </c>
      <c r="S176" s="41" t="str">
        <f t="shared" si="7"/>
        <v>Pass</v>
      </c>
      <c r="T176" s="30" t="str">
        <f t="shared" si="8"/>
        <v>FY 20-21</v>
      </c>
      <c r="U176" s="30" t="str">
        <f>VLOOKUP(MONTH(G176),Key!$F$3:$G$14,2,0)</f>
        <v>Nov</v>
      </c>
      <c r="V176" s="30" t="str">
        <f>IFERROR(IF(MATCH(F176,'Test 6'!C$5:C$9,0)&gt;0,"RP"),"NON-RP")</f>
        <v>NON-RP</v>
      </c>
    </row>
    <row r="177" spans="2:22" x14ac:dyDescent="0.5">
      <c r="B177" s="30">
        <v>173</v>
      </c>
      <c r="C177" s="30" t="s">
        <v>435</v>
      </c>
      <c r="D177" s="31">
        <v>2021173</v>
      </c>
      <c r="E177" s="30" t="s">
        <v>436</v>
      </c>
      <c r="F177" s="53" t="s">
        <v>54</v>
      </c>
      <c r="G177" s="32">
        <v>44142</v>
      </c>
      <c r="H177" s="33">
        <v>0.67636092287649241</v>
      </c>
      <c r="I177" s="30" t="s">
        <v>428</v>
      </c>
      <c r="J177" s="34">
        <v>459190</v>
      </c>
      <c r="K177" s="35" t="s">
        <v>17</v>
      </c>
      <c r="L177" s="36">
        <v>82654.2</v>
      </c>
      <c r="M177" s="30" t="s">
        <v>23</v>
      </c>
      <c r="N177" s="30" t="s">
        <v>47</v>
      </c>
      <c r="O177" s="30" t="s">
        <v>1542</v>
      </c>
      <c r="P177" s="30" t="s">
        <v>1542</v>
      </c>
      <c r="Q177" s="30" t="str">
        <f>VLOOKUP(WEEKDAY(G177),Key!$B$3:$C$9,2,0)</f>
        <v>Saturday</v>
      </c>
      <c r="R177" s="42" t="str">
        <f t="shared" si="6"/>
        <v>Within</v>
      </c>
      <c r="S177" s="41" t="str">
        <f t="shared" si="7"/>
        <v>Pass</v>
      </c>
      <c r="T177" s="30" t="str">
        <f t="shared" si="8"/>
        <v>FY 20-21</v>
      </c>
      <c r="U177" s="30" t="str">
        <f>VLOOKUP(MONTH(G177),Key!$F$3:$G$14,2,0)</f>
        <v>Nov</v>
      </c>
      <c r="V177" s="30" t="str">
        <f>IFERROR(IF(MATCH(F177,'Test 6'!C$5:C$9,0)&gt;0,"RP"),"NON-RP")</f>
        <v>NON-RP</v>
      </c>
    </row>
    <row r="178" spans="2:22" x14ac:dyDescent="0.5">
      <c r="B178" s="30">
        <v>174</v>
      </c>
      <c r="C178" s="30" t="s">
        <v>437</v>
      </c>
      <c r="D178" s="31">
        <v>2021174</v>
      </c>
      <c r="E178" s="30" t="s">
        <v>438</v>
      </c>
      <c r="F178" s="53" t="s">
        <v>54</v>
      </c>
      <c r="G178" s="32">
        <v>44142</v>
      </c>
      <c r="H178" s="33">
        <v>0.65583953074058532</v>
      </c>
      <c r="I178" s="30" t="s">
        <v>383</v>
      </c>
      <c r="J178" s="34">
        <v>356940</v>
      </c>
      <c r="K178" s="35" t="s">
        <v>17</v>
      </c>
      <c r="L178" s="36">
        <v>64249.2</v>
      </c>
      <c r="M178" s="30" t="s">
        <v>46</v>
      </c>
      <c r="N178" s="30" t="s">
        <v>24</v>
      </c>
      <c r="O178" s="30" t="s">
        <v>1542</v>
      </c>
      <c r="P178" s="30" t="s">
        <v>1542</v>
      </c>
      <c r="Q178" s="30" t="str">
        <f>VLOOKUP(WEEKDAY(G178),Key!$B$3:$C$9,2,0)</f>
        <v>Saturday</v>
      </c>
      <c r="R178" s="42" t="str">
        <f t="shared" si="6"/>
        <v>Within</v>
      </c>
      <c r="S178" s="41" t="str">
        <f t="shared" si="7"/>
        <v>Pass</v>
      </c>
      <c r="T178" s="30" t="str">
        <f t="shared" si="8"/>
        <v>FY 20-21</v>
      </c>
      <c r="U178" s="30" t="str">
        <f>VLOOKUP(MONTH(G178),Key!$F$3:$G$14,2,0)</f>
        <v>Nov</v>
      </c>
      <c r="V178" s="30" t="str">
        <f>IFERROR(IF(MATCH(F178,'Test 6'!C$5:C$9,0)&gt;0,"RP"),"NON-RP")</f>
        <v>NON-RP</v>
      </c>
    </row>
    <row r="179" spans="2:22" x14ac:dyDescent="0.5">
      <c r="B179" s="30">
        <v>175</v>
      </c>
      <c r="C179" s="30" t="s">
        <v>439</v>
      </c>
      <c r="D179" s="31">
        <v>2021175</v>
      </c>
      <c r="E179" s="30" t="s">
        <v>440</v>
      </c>
      <c r="F179" s="53" t="s">
        <v>122</v>
      </c>
      <c r="G179" s="32">
        <v>44148</v>
      </c>
      <c r="H179" s="33">
        <v>0.72530041550376989</v>
      </c>
      <c r="I179" s="30" t="s">
        <v>428</v>
      </c>
      <c r="J179" s="34">
        <v>205260</v>
      </c>
      <c r="K179" s="35" t="s">
        <v>17</v>
      </c>
      <c r="L179" s="36">
        <v>36946.799999999996</v>
      </c>
      <c r="M179" s="30" t="s">
        <v>37</v>
      </c>
      <c r="N179" s="30" t="s">
        <v>19</v>
      </c>
      <c r="O179" s="30" t="s">
        <v>1542</v>
      </c>
      <c r="P179" s="30" t="s">
        <v>1542</v>
      </c>
      <c r="Q179" s="30" t="str">
        <f>VLOOKUP(WEEKDAY(G179),Key!$B$3:$C$9,2,0)</f>
        <v>Friday</v>
      </c>
      <c r="R179" s="42" t="str">
        <f t="shared" si="6"/>
        <v>Within</v>
      </c>
      <c r="S179" s="41" t="str">
        <f t="shared" si="7"/>
        <v>Pass</v>
      </c>
      <c r="T179" s="30" t="str">
        <f t="shared" si="8"/>
        <v>FY 20-21</v>
      </c>
      <c r="U179" s="30" t="str">
        <f>VLOOKUP(MONTH(G179),Key!$F$3:$G$14,2,0)</f>
        <v>Nov</v>
      </c>
      <c r="V179" s="30" t="str">
        <f>IFERROR(IF(MATCH(F179,'Test 6'!C$5:C$9,0)&gt;0,"RP"),"NON-RP")</f>
        <v>NON-RP</v>
      </c>
    </row>
    <row r="180" spans="2:22" x14ac:dyDescent="0.5">
      <c r="B180" s="30">
        <v>176</v>
      </c>
      <c r="C180" s="30" t="s">
        <v>441</v>
      </c>
      <c r="D180" s="31">
        <v>2021176</v>
      </c>
      <c r="E180" s="30" t="s">
        <v>442</v>
      </c>
      <c r="F180" s="53" t="s">
        <v>272</v>
      </c>
      <c r="G180" s="32">
        <v>44148</v>
      </c>
      <c r="H180" s="33">
        <v>0.69274303212057431</v>
      </c>
      <c r="I180" s="30" t="s">
        <v>428</v>
      </c>
      <c r="J180" s="34">
        <v>397250</v>
      </c>
      <c r="K180" s="35" t="s">
        <v>17</v>
      </c>
      <c r="L180" s="36">
        <v>71505</v>
      </c>
      <c r="M180" s="30" t="s">
        <v>61</v>
      </c>
      <c r="N180" s="30" t="s">
        <v>24</v>
      </c>
      <c r="O180" s="30" t="s">
        <v>1542</v>
      </c>
      <c r="P180" s="30" t="s">
        <v>1542</v>
      </c>
      <c r="Q180" s="30" t="str">
        <f>VLOOKUP(WEEKDAY(G180),Key!$B$3:$C$9,2,0)</f>
        <v>Friday</v>
      </c>
      <c r="R180" s="42" t="str">
        <f t="shared" si="6"/>
        <v>Within</v>
      </c>
      <c r="S180" s="41" t="str">
        <f t="shared" si="7"/>
        <v>Pass</v>
      </c>
      <c r="T180" s="30" t="str">
        <f t="shared" si="8"/>
        <v>FY 20-21</v>
      </c>
      <c r="U180" s="30" t="str">
        <f>VLOOKUP(MONTH(G180),Key!$F$3:$G$14,2,0)</f>
        <v>Nov</v>
      </c>
      <c r="V180" s="30" t="str">
        <f>IFERROR(IF(MATCH(F180,'Test 6'!C$5:C$9,0)&gt;0,"RP"),"NON-RP")</f>
        <v>NON-RP</v>
      </c>
    </row>
    <row r="181" spans="2:22" x14ac:dyDescent="0.5">
      <c r="B181" s="30">
        <v>177</v>
      </c>
      <c r="C181" s="30" t="s">
        <v>443</v>
      </c>
      <c r="D181" s="31">
        <v>2021177</v>
      </c>
      <c r="E181" s="30" t="s">
        <v>444</v>
      </c>
      <c r="F181" s="53" t="s">
        <v>45</v>
      </c>
      <c r="G181" s="32">
        <v>44148</v>
      </c>
      <c r="H181" s="33">
        <v>0.42337013781593963</v>
      </c>
      <c r="I181" s="30" t="s">
        <v>428</v>
      </c>
      <c r="J181" s="34">
        <v>473010</v>
      </c>
      <c r="K181" s="35" t="s">
        <v>17</v>
      </c>
      <c r="L181" s="36">
        <v>85141.8</v>
      </c>
      <c r="M181" s="30" t="s">
        <v>18</v>
      </c>
      <c r="N181" s="30" t="s">
        <v>51</v>
      </c>
      <c r="O181" s="30" t="s">
        <v>1542</v>
      </c>
      <c r="P181" s="30" t="s">
        <v>1542</v>
      </c>
      <c r="Q181" s="30" t="str">
        <f>VLOOKUP(WEEKDAY(G181),Key!$B$3:$C$9,2,0)</f>
        <v>Friday</v>
      </c>
      <c r="R181" s="42" t="str">
        <f t="shared" si="6"/>
        <v>Within</v>
      </c>
      <c r="S181" s="41" t="str">
        <f t="shared" si="7"/>
        <v>Pass</v>
      </c>
      <c r="T181" s="30" t="str">
        <f t="shared" si="8"/>
        <v>FY 20-21</v>
      </c>
      <c r="U181" s="30" t="str">
        <f>VLOOKUP(MONTH(G181),Key!$F$3:$G$14,2,0)</f>
        <v>Nov</v>
      </c>
      <c r="V181" s="30" t="str">
        <f>IFERROR(IF(MATCH(F181,'Test 6'!C$5:C$9,0)&gt;0,"RP"),"NON-RP")</f>
        <v>NON-RP</v>
      </c>
    </row>
    <row r="182" spans="2:22" x14ac:dyDescent="0.5">
      <c r="B182" s="30">
        <v>178</v>
      </c>
      <c r="C182" s="30" t="s">
        <v>445</v>
      </c>
      <c r="D182" s="31">
        <v>2021178</v>
      </c>
      <c r="E182" s="30" t="s">
        <v>446</v>
      </c>
      <c r="F182" s="53" t="s">
        <v>67</v>
      </c>
      <c r="G182" s="32">
        <v>44153</v>
      </c>
      <c r="H182" s="33">
        <v>0.59257246331305302</v>
      </c>
      <c r="I182" s="30" t="s">
        <v>428</v>
      </c>
      <c r="J182" s="34">
        <v>497830</v>
      </c>
      <c r="K182" s="35" t="s">
        <v>17</v>
      </c>
      <c r="L182" s="36">
        <v>89609.4</v>
      </c>
      <c r="M182" s="30" t="s">
        <v>18</v>
      </c>
      <c r="N182" s="30" t="s">
        <v>51</v>
      </c>
      <c r="O182" s="30" t="s">
        <v>1542</v>
      </c>
      <c r="P182" s="30" t="s">
        <v>1542</v>
      </c>
      <c r="Q182" s="30" t="str">
        <f>VLOOKUP(WEEKDAY(G182),Key!$B$3:$C$9,2,0)</f>
        <v>Wednesday</v>
      </c>
      <c r="R182" s="42" t="str">
        <f t="shared" si="6"/>
        <v>Within</v>
      </c>
      <c r="S182" s="41" t="str">
        <f t="shared" si="7"/>
        <v>Pass</v>
      </c>
      <c r="T182" s="30" t="str">
        <f t="shared" si="8"/>
        <v>FY 20-21</v>
      </c>
      <c r="U182" s="30" t="str">
        <f>VLOOKUP(MONTH(G182),Key!$F$3:$G$14,2,0)</f>
        <v>Nov</v>
      </c>
      <c r="V182" s="30" t="str">
        <f>IFERROR(IF(MATCH(F182,'Test 6'!C$5:C$9,0)&gt;0,"RP"),"NON-RP")</f>
        <v>NON-RP</v>
      </c>
    </row>
    <row r="183" spans="2:22" x14ac:dyDescent="0.5">
      <c r="B183" s="30">
        <v>179</v>
      </c>
      <c r="C183" s="30" t="s">
        <v>447</v>
      </c>
      <c r="D183" s="31">
        <v>2021179</v>
      </c>
      <c r="E183" s="30" t="s">
        <v>448</v>
      </c>
      <c r="F183" s="53" t="s">
        <v>269</v>
      </c>
      <c r="G183" s="32">
        <v>44154</v>
      </c>
      <c r="H183" s="33">
        <v>0.57346061709790908</v>
      </c>
      <c r="I183" s="30" t="s">
        <v>428</v>
      </c>
      <c r="J183" s="34">
        <v>260110</v>
      </c>
      <c r="K183" s="35" t="s">
        <v>17</v>
      </c>
      <c r="L183" s="36">
        <v>46819.799999999996</v>
      </c>
      <c r="M183" s="30" t="s">
        <v>61</v>
      </c>
      <c r="N183" s="30" t="s">
        <v>19</v>
      </c>
      <c r="O183" s="30" t="s">
        <v>1542</v>
      </c>
      <c r="P183" s="30" t="s">
        <v>1542</v>
      </c>
      <c r="Q183" s="30" t="str">
        <f>VLOOKUP(WEEKDAY(G183),Key!$B$3:$C$9,2,0)</f>
        <v>Thursday</v>
      </c>
      <c r="R183" s="42" t="str">
        <f t="shared" si="6"/>
        <v>Within</v>
      </c>
      <c r="S183" s="41" t="str">
        <f t="shared" si="7"/>
        <v>Pass</v>
      </c>
      <c r="T183" s="30" t="str">
        <f t="shared" si="8"/>
        <v>FY 20-21</v>
      </c>
      <c r="U183" s="30" t="str">
        <f>VLOOKUP(MONTH(G183),Key!$F$3:$G$14,2,0)</f>
        <v>Nov</v>
      </c>
      <c r="V183" s="30" t="str">
        <f>IFERROR(IF(MATCH(F183,'Test 6'!C$5:C$9,0)&gt;0,"RP"),"NON-RP")</f>
        <v>NON-RP</v>
      </c>
    </row>
    <row r="184" spans="2:22" x14ac:dyDescent="0.5">
      <c r="B184" s="30">
        <v>180</v>
      </c>
      <c r="C184" s="30" t="s">
        <v>449</v>
      </c>
      <c r="D184" s="31">
        <v>2021180</v>
      </c>
      <c r="E184" s="30" t="s">
        <v>450</v>
      </c>
      <c r="F184" s="53" t="s">
        <v>131</v>
      </c>
      <c r="G184" s="32">
        <v>44155</v>
      </c>
      <c r="H184" s="33">
        <v>0.67642286637961035</v>
      </c>
      <c r="I184" s="30" t="s">
        <v>428</v>
      </c>
      <c r="J184" s="34">
        <v>270080</v>
      </c>
      <c r="K184" s="35" t="s">
        <v>17</v>
      </c>
      <c r="L184" s="36">
        <v>48614.400000000001</v>
      </c>
      <c r="M184" s="30" t="s">
        <v>32</v>
      </c>
      <c r="N184" s="30" t="s">
        <v>19</v>
      </c>
      <c r="O184" s="30" t="s">
        <v>1542</v>
      </c>
      <c r="P184" s="30" t="s">
        <v>1542</v>
      </c>
      <c r="Q184" s="30" t="str">
        <f>VLOOKUP(WEEKDAY(G184),Key!$B$3:$C$9,2,0)</f>
        <v>Friday</v>
      </c>
      <c r="R184" s="42" t="str">
        <f t="shared" si="6"/>
        <v>Within</v>
      </c>
      <c r="S184" s="41" t="str">
        <f t="shared" si="7"/>
        <v>Pass</v>
      </c>
      <c r="T184" s="30" t="str">
        <f t="shared" si="8"/>
        <v>FY 20-21</v>
      </c>
      <c r="U184" s="30" t="str">
        <f>VLOOKUP(MONTH(G184),Key!$F$3:$G$14,2,0)</f>
        <v>Nov</v>
      </c>
      <c r="V184" s="30" t="str">
        <f>IFERROR(IF(MATCH(F184,'Test 6'!C$5:C$9,0)&gt;0,"RP"),"NON-RP")</f>
        <v>NON-RP</v>
      </c>
    </row>
    <row r="185" spans="2:22" x14ac:dyDescent="0.5">
      <c r="B185" s="30">
        <v>181</v>
      </c>
      <c r="C185" s="30" t="s">
        <v>451</v>
      </c>
      <c r="D185" s="31">
        <v>2021181</v>
      </c>
      <c r="E185" s="30" t="s">
        <v>452</v>
      </c>
      <c r="F185" s="53" t="s">
        <v>60</v>
      </c>
      <c r="G185" s="32">
        <v>44160</v>
      </c>
      <c r="H185" s="33">
        <v>0.67355701677944091</v>
      </c>
      <c r="I185" s="30" t="s">
        <v>428</v>
      </c>
      <c r="J185" s="34">
        <v>422330</v>
      </c>
      <c r="K185" s="35" t="s">
        <v>17</v>
      </c>
      <c r="L185" s="36">
        <v>76019.399999999994</v>
      </c>
      <c r="M185" s="30" t="s">
        <v>28</v>
      </c>
      <c r="N185" s="30" t="s">
        <v>24</v>
      </c>
      <c r="O185" s="30" t="s">
        <v>1542</v>
      </c>
      <c r="P185" s="30" t="s">
        <v>1542</v>
      </c>
      <c r="Q185" s="30" t="str">
        <f>VLOOKUP(WEEKDAY(G185),Key!$B$3:$C$9,2,0)</f>
        <v>Wednesday</v>
      </c>
      <c r="R185" s="42" t="str">
        <f t="shared" si="6"/>
        <v>Within</v>
      </c>
      <c r="S185" s="41" t="str">
        <f t="shared" si="7"/>
        <v>Pass</v>
      </c>
      <c r="T185" s="30" t="str">
        <f t="shared" si="8"/>
        <v>FY 20-21</v>
      </c>
      <c r="U185" s="30" t="str">
        <f>VLOOKUP(MONTH(G185),Key!$F$3:$G$14,2,0)</f>
        <v>Nov</v>
      </c>
      <c r="V185" s="30" t="str">
        <f>IFERROR(IF(MATCH(F185,'Test 6'!C$5:C$9,0)&gt;0,"RP"),"NON-RP")</f>
        <v>NON-RP</v>
      </c>
    </row>
    <row r="186" spans="2:22" x14ac:dyDescent="0.5">
      <c r="B186" s="30">
        <v>182</v>
      </c>
      <c r="C186" s="30" t="s">
        <v>453</v>
      </c>
      <c r="D186" s="31">
        <v>2021182</v>
      </c>
      <c r="E186" s="30" t="s">
        <v>454</v>
      </c>
      <c r="F186" s="53" t="s">
        <v>308</v>
      </c>
      <c r="G186" s="32">
        <v>44161</v>
      </c>
      <c r="H186" s="33">
        <v>0.65688523379032571</v>
      </c>
      <c r="I186" s="30" t="s">
        <v>428</v>
      </c>
      <c r="J186" s="34">
        <v>252510</v>
      </c>
      <c r="K186" s="35" t="s">
        <v>17</v>
      </c>
      <c r="L186" s="36">
        <v>45451.799999999996</v>
      </c>
      <c r="M186" s="30" t="s">
        <v>32</v>
      </c>
      <c r="N186" s="30" t="s">
        <v>68</v>
      </c>
      <c r="O186" s="30" t="s">
        <v>1542</v>
      </c>
      <c r="P186" s="30" t="s">
        <v>1542</v>
      </c>
      <c r="Q186" s="30" t="str">
        <f>VLOOKUP(WEEKDAY(G186),Key!$B$3:$C$9,2,0)</f>
        <v>Thursday</v>
      </c>
      <c r="R186" s="42" t="str">
        <f t="shared" si="6"/>
        <v>Within</v>
      </c>
      <c r="S186" s="41" t="str">
        <f t="shared" si="7"/>
        <v>Pass</v>
      </c>
      <c r="T186" s="30" t="str">
        <f t="shared" si="8"/>
        <v>FY 20-21</v>
      </c>
      <c r="U186" s="30" t="str">
        <f>VLOOKUP(MONTH(G186),Key!$F$3:$G$14,2,0)</f>
        <v>Nov</v>
      </c>
      <c r="V186" s="30" t="str">
        <f>IFERROR(IF(MATCH(F186,'Test 6'!C$5:C$9,0)&gt;0,"RP"),"NON-RP")</f>
        <v>RP</v>
      </c>
    </row>
    <row r="187" spans="2:22" x14ac:dyDescent="0.5">
      <c r="B187" s="30">
        <v>183</v>
      </c>
      <c r="C187" s="30" t="s">
        <v>455</v>
      </c>
      <c r="D187" s="31">
        <v>2021183</v>
      </c>
      <c r="E187" s="30" t="s">
        <v>456</v>
      </c>
      <c r="F187" s="53" t="s">
        <v>308</v>
      </c>
      <c r="G187" s="32">
        <v>44162</v>
      </c>
      <c r="H187" s="33">
        <v>0.70376838703038391</v>
      </c>
      <c r="I187" s="30" t="s">
        <v>428</v>
      </c>
      <c r="J187" s="34">
        <v>376120</v>
      </c>
      <c r="K187" s="35" t="s">
        <v>17</v>
      </c>
      <c r="L187" s="36">
        <v>67701.599999999991</v>
      </c>
      <c r="M187" s="30" t="s">
        <v>46</v>
      </c>
      <c r="N187" s="30" t="s">
        <v>19</v>
      </c>
      <c r="O187" s="30" t="s">
        <v>1542</v>
      </c>
      <c r="P187" s="30" t="s">
        <v>1542</v>
      </c>
      <c r="Q187" s="30" t="str">
        <f>VLOOKUP(WEEKDAY(G187),Key!$B$3:$C$9,2,0)</f>
        <v>Friday</v>
      </c>
      <c r="R187" s="42" t="str">
        <f t="shared" si="6"/>
        <v>Within</v>
      </c>
      <c r="S187" s="41" t="str">
        <f t="shared" si="7"/>
        <v>Pass</v>
      </c>
      <c r="T187" s="30" t="str">
        <f t="shared" si="8"/>
        <v>FY 20-21</v>
      </c>
      <c r="U187" s="30" t="str">
        <f>VLOOKUP(MONTH(G187),Key!$F$3:$G$14,2,0)</f>
        <v>Nov</v>
      </c>
      <c r="V187" s="30" t="str">
        <f>IFERROR(IF(MATCH(F187,'Test 6'!C$5:C$9,0)&gt;0,"RP"),"NON-RP")</f>
        <v>RP</v>
      </c>
    </row>
    <row r="188" spans="2:22" x14ac:dyDescent="0.5">
      <c r="B188" s="30">
        <v>184</v>
      </c>
      <c r="C188" s="30" t="s">
        <v>457</v>
      </c>
      <c r="D188" s="31">
        <v>2021184</v>
      </c>
      <c r="E188" s="30" t="s">
        <v>458</v>
      </c>
      <c r="F188" s="53" t="s">
        <v>111</v>
      </c>
      <c r="G188" s="32">
        <v>44162</v>
      </c>
      <c r="H188" s="33">
        <v>0.64947827334845898</v>
      </c>
      <c r="I188" s="30" t="s">
        <v>428</v>
      </c>
      <c r="J188" s="34">
        <v>367080</v>
      </c>
      <c r="K188" s="35" t="s">
        <v>17</v>
      </c>
      <c r="L188" s="36">
        <v>66074.399999999994</v>
      </c>
      <c r="M188" s="30" t="s">
        <v>23</v>
      </c>
      <c r="N188" s="30" t="s">
        <v>51</v>
      </c>
      <c r="O188" s="30" t="s">
        <v>1542</v>
      </c>
      <c r="P188" s="30" t="s">
        <v>1542</v>
      </c>
      <c r="Q188" s="30" t="str">
        <f>VLOOKUP(WEEKDAY(G188),Key!$B$3:$C$9,2,0)</f>
        <v>Friday</v>
      </c>
      <c r="R188" s="42" t="str">
        <f t="shared" si="6"/>
        <v>Within</v>
      </c>
      <c r="S188" s="41" t="str">
        <f t="shared" si="7"/>
        <v>Pass</v>
      </c>
      <c r="T188" s="30" t="str">
        <f t="shared" si="8"/>
        <v>FY 20-21</v>
      </c>
      <c r="U188" s="30" t="str">
        <f>VLOOKUP(MONTH(G188),Key!$F$3:$G$14,2,0)</f>
        <v>Nov</v>
      </c>
      <c r="V188" s="30" t="str">
        <f>IFERROR(IF(MATCH(F188,'Test 6'!C$5:C$9,0)&gt;0,"RP"),"NON-RP")</f>
        <v>RP</v>
      </c>
    </row>
    <row r="189" spans="2:22" x14ac:dyDescent="0.5">
      <c r="B189" s="30">
        <v>185</v>
      </c>
      <c r="C189" s="30" t="s">
        <v>459</v>
      </c>
      <c r="D189" s="31">
        <v>2021185</v>
      </c>
      <c r="E189" s="30" t="s">
        <v>460</v>
      </c>
      <c r="F189" s="53" t="s">
        <v>131</v>
      </c>
      <c r="G189" s="32">
        <v>44162</v>
      </c>
      <c r="H189" s="33">
        <v>0.46016152084116368</v>
      </c>
      <c r="I189" s="30" t="s">
        <v>428</v>
      </c>
      <c r="J189" s="34">
        <v>39110</v>
      </c>
      <c r="K189" s="35" t="s">
        <v>17</v>
      </c>
      <c r="L189" s="36">
        <v>7039.8</v>
      </c>
      <c r="M189" s="30" t="s">
        <v>36</v>
      </c>
      <c r="N189" s="30" t="s">
        <v>61</v>
      </c>
      <c r="O189" s="30" t="s">
        <v>1542</v>
      </c>
      <c r="P189" s="30" t="s">
        <v>1542</v>
      </c>
      <c r="Q189" s="30" t="str">
        <f>VLOOKUP(WEEKDAY(G189),Key!$B$3:$C$9,2,0)</f>
        <v>Friday</v>
      </c>
      <c r="R189" s="42" t="str">
        <f t="shared" si="6"/>
        <v>Within</v>
      </c>
      <c r="S189" s="41" t="str">
        <f t="shared" si="7"/>
        <v>Pass</v>
      </c>
      <c r="T189" s="30" t="str">
        <f t="shared" si="8"/>
        <v>FY 20-21</v>
      </c>
      <c r="U189" s="30" t="str">
        <f>VLOOKUP(MONTH(G189),Key!$F$3:$G$14,2,0)</f>
        <v>Nov</v>
      </c>
      <c r="V189" s="30" t="str">
        <f>IFERROR(IF(MATCH(F189,'Test 6'!C$5:C$9,0)&gt;0,"RP"),"NON-RP")</f>
        <v>NON-RP</v>
      </c>
    </row>
    <row r="190" spans="2:22" x14ac:dyDescent="0.5">
      <c r="B190" s="30">
        <v>186</v>
      </c>
      <c r="C190" s="30" t="s">
        <v>461</v>
      </c>
      <c r="D190" s="31">
        <v>2021186</v>
      </c>
      <c r="E190" s="30" t="s">
        <v>462</v>
      </c>
      <c r="F190" s="53" t="s">
        <v>15</v>
      </c>
      <c r="G190" s="32">
        <v>44163</v>
      </c>
      <c r="H190" s="33">
        <v>0.4246597416414386</v>
      </c>
      <c r="I190" s="30" t="s">
        <v>428</v>
      </c>
      <c r="J190" s="34">
        <v>246800</v>
      </c>
      <c r="K190" s="35" t="s">
        <v>17</v>
      </c>
      <c r="L190" s="36">
        <v>44424</v>
      </c>
      <c r="M190" s="30" t="s">
        <v>23</v>
      </c>
      <c r="N190" s="30" t="s">
        <v>68</v>
      </c>
      <c r="O190" s="30" t="s">
        <v>1542</v>
      </c>
      <c r="P190" s="30" t="s">
        <v>1542</v>
      </c>
      <c r="Q190" s="30" t="str">
        <f>VLOOKUP(WEEKDAY(G190),Key!$B$3:$C$9,2,0)</f>
        <v>Saturday</v>
      </c>
      <c r="R190" s="42" t="str">
        <f t="shared" si="6"/>
        <v>Within</v>
      </c>
      <c r="S190" s="41" t="str">
        <f t="shared" si="7"/>
        <v>Pass</v>
      </c>
      <c r="T190" s="30" t="str">
        <f t="shared" si="8"/>
        <v>FY 20-21</v>
      </c>
      <c r="U190" s="30" t="str">
        <f>VLOOKUP(MONTH(G190),Key!$F$3:$G$14,2,0)</f>
        <v>Nov</v>
      </c>
      <c r="V190" s="30" t="str">
        <f>IFERROR(IF(MATCH(F190,'Test 6'!C$5:C$9,0)&gt;0,"RP"),"NON-RP")</f>
        <v>NON-RP</v>
      </c>
    </row>
    <row r="191" spans="2:22" x14ac:dyDescent="0.5">
      <c r="B191" s="30">
        <v>187</v>
      </c>
      <c r="C191" s="30" t="s">
        <v>463</v>
      </c>
      <c r="D191" s="31">
        <v>2021187</v>
      </c>
      <c r="E191" s="30" t="s">
        <v>464</v>
      </c>
      <c r="F191" s="53" t="s">
        <v>22</v>
      </c>
      <c r="G191" s="32">
        <v>44165</v>
      </c>
      <c r="H191" s="33">
        <v>0.46543913712915869</v>
      </c>
      <c r="I191" s="30" t="s">
        <v>383</v>
      </c>
      <c r="J191" s="34">
        <v>339230</v>
      </c>
      <c r="K191" s="35" t="s">
        <v>17</v>
      </c>
      <c r="L191" s="36">
        <v>61061.399999999994</v>
      </c>
      <c r="M191" s="30" t="s">
        <v>61</v>
      </c>
      <c r="N191" s="30" t="s">
        <v>68</v>
      </c>
      <c r="O191" s="30" t="s">
        <v>1542</v>
      </c>
      <c r="P191" s="30" t="s">
        <v>1542</v>
      </c>
      <c r="Q191" s="30" t="str">
        <f>VLOOKUP(WEEKDAY(G191),Key!$B$3:$C$9,2,0)</f>
        <v>Monday</v>
      </c>
      <c r="R191" s="42" t="str">
        <f t="shared" si="6"/>
        <v>Within</v>
      </c>
      <c r="S191" s="41" t="str">
        <f t="shared" si="7"/>
        <v>Pass</v>
      </c>
      <c r="T191" s="30" t="str">
        <f t="shared" si="8"/>
        <v>FY 20-21</v>
      </c>
      <c r="U191" s="30" t="str">
        <f>VLOOKUP(MONTH(G191),Key!$F$3:$G$14,2,0)</f>
        <v>Nov</v>
      </c>
      <c r="V191" s="30" t="str">
        <f>IFERROR(IF(MATCH(F191,'Test 6'!C$5:C$9,0)&gt;0,"RP"),"NON-RP")</f>
        <v>NON-RP</v>
      </c>
    </row>
    <row r="192" spans="2:22" x14ac:dyDescent="0.5">
      <c r="B192" s="30">
        <v>188</v>
      </c>
      <c r="C192" s="30" t="s">
        <v>465</v>
      </c>
      <c r="D192" s="31">
        <v>2021188</v>
      </c>
      <c r="E192" s="30" t="s">
        <v>466</v>
      </c>
      <c r="F192" s="53" t="s">
        <v>128</v>
      </c>
      <c r="G192" s="32">
        <v>44165</v>
      </c>
      <c r="H192" s="33">
        <v>0.69270004717697697</v>
      </c>
      <c r="I192" s="30" t="s">
        <v>428</v>
      </c>
      <c r="J192" s="34">
        <v>359950</v>
      </c>
      <c r="K192" s="35" t="s">
        <v>17</v>
      </c>
      <c r="L192" s="36">
        <v>64791</v>
      </c>
      <c r="M192" s="30" t="s">
        <v>61</v>
      </c>
      <c r="N192" s="30" t="s">
        <v>19</v>
      </c>
      <c r="O192" s="30" t="s">
        <v>1542</v>
      </c>
      <c r="P192" s="30" t="s">
        <v>1542</v>
      </c>
      <c r="Q192" s="30" t="str">
        <f>VLOOKUP(WEEKDAY(G192),Key!$B$3:$C$9,2,0)</f>
        <v>Monday</v>
      </c>
      <c r="R192" s="42" t="str">
        <f t="shared" si="6"/>
        <v>Within</v>
      </c>
      <c r="S192" s="41" t="str">
        <f t="shared" si="7"/>
        <v>Pass</v>
      </c>
      <c r="T192" s="30" t="str">
        <f t="shared" si="8"/>
        <v>FY 20-21</v>
      </c>
      <c r="U192" s="30" t="str">
        <f>VLOOKUP(MONTH(G192),Key!$F$3:$G$14,2,0)</f>
        <v>Nov</v>
      </c>
      <c r="V192" s="30" t="str">
        <f>IFERROR(IF(MATCH(F192,'Test 6'!C$5:C$9,0)&gt;0,"RP"),"NON-RP")</f>
        <v>NON-RP</v>
      </c>
    </row>
    <row r="193" spans="2:22" x14ac:dyDescent="0.5">
      <c r="B193" s="30">
        <v>189</v>
      </c>
      <c r="C193" s="30" t="s">
        <v>467</v>
      </c>
      <c r="D193" s="31">
        <v>2021189</v>
      </c>
      <c r="E193" s="30" t="s">
        <v>468</v>
      </c>
      <c r="F193" s="53" t="s">
        <v>45</v>
      </c>
      <c r="G193" s="32">
        <v>44170</v>
      </c>
      <c r="H193" s="33">
        <v>0.48177271125256338</v>
      </c>
      <c r="I193" s="30" t="s">
        <v>469</v>
      </c>
      <c r="J193" s="34">
        <v>342950</v>
      </c>
      <c r="K193" s="35" t="s">
        <v>17</v>
      </c>
      <c r="L193" s="36">
        <v>61731</v>
      </c>
      <c r="M193" s="30" t="s">
        <v>32</v>
      </c>
      <c r="N193" s="30" t="s">
        <v>19</v>
      </c>
      <c r="O193" s="30" t="s">
        <v>1542</v>
      </c>
      <c r="P193" s="30" t="s">
        <v>1542</v>
      </c>
      <c r="Q193" s="30" t="str">
        <f>VLOOKUP(WEEKDAY(G193),Key!$B$3:$C$9,2,0)</f>
        <v>Saturday</v>
      </c>
      <c r="R193" s="42" t="str">
        <f t="shared" si="6"/>
        <v>Within</v>
      </c>
      <c r="S193" s="41" t="str">
        <f t="shared" si="7"/>
        <v>Pass</v>
      </c>
      <c r="T193" s="30" t="str">
        <f t="shared" si="8"/>
        <v>FY 20-21</v>
      </c>
      <c r="U193" s="30" t="str">
        <f>VLOOKUP(MONTH(G193),Key!$F$3:$G$14,2,0)</f>
        <v>Dec</v>
      </c>
      <c r="V193" s="30" t="str">
        <f>IFERROR(IF(MATCH(F193,'Test 6'!C$5:C$9,0)&gt;0,"RP"),"NON-RP")</f>
        <v>NON-RP</v>
      </c>
    </row>
    <row r="194" spans="2:22" x14ac:dyDescent="0.5">
      <c r="B194" s="30">
        <v>190</v>
      </c>
      <c r="C194" s="30" t="s">
        <v>470</v>
      </c>
      <c r="D194" s="31">
        <v>2021190</v>
      </c>
      <c r="E194" s="30" t="s">
        <v>471</v>
      </c>
      <c r="F194" s="53" t="s">
        <v>111</v>
      </c>
      <c r="G194" s="32">
        <v>44170</v>
      </c>
      <c r="H194" s="33">
        <v>0.63643274827366125</v>
      </c>
      <c r="I194" s="30" t="s">
        <v>469</v>
      </c>
      <c r="J194" s="34">
        <v>406180</v>
      </c>
      <c r="K194" s="35" t="s">
        <v>17</v>
      </c>
      <c r="L194" s="36">
        <v>73112.399999999994</v>
      </c>
      <c r="M194" s="30" t="s">
        <v>32</v>
      </c>
      <c r="N194" s="30" t="s">
        <v>47</v>
      </c>
      <c r="O194" s="30" t="s">
        <v>1542</v>
      </c>
      <c r="P194" s="30" t="s">
        <v>1542</v>
      </c>
      <c r="Q194" s="30" t="str">
        <f>VLOOKUP(WEEKDAY(G194),Key!$B$3:$C$9,2,0)</f>
        <v>Saturday</v>
      </c>
      <c r="R194" s="42" t="str">
        <f t="shared" si="6"/>
        <v>Within</v>
      </c>
      <c r="S194" s="41" t="str">
        <f t="shared" si="7"/>
        <v>Pass</v>
      </c>
      <c r="T194" s="30" t="str">
        <f t="shared" si="8"/>
        <v>FY 20-21</v>
      </c>
      <c r="U194" s="30" t="str">
        <f>VLOOKUP(MONTH(G194),Key!$F$3:$G$14,2,0)</f>
        <v>Dec</v>
      </c>
      <c r="V194" s="30" t="str">
        <f>IFERROR(IF(MATCH(F194,'Test 6'!C$5:C$9,0)&gt;0,"RP"),"NON-RP")</f>
        <v>RP</v>
      </c>
    </row>
    <row r="195" spans="2:22" x14ac:dyDescent="0.5">
      <c r="B195" s="30">
        <v>191</v>
      </c>
      <c r="C195" s="30" t="s">
        <v>472</v>
      </c>
      <c r="D195" s="31">
        <v>2021191</v>
      </c>
      <c r="E195" s="30" t="s">
        <v>473</v>
      </c>
      <c r="F195" s="53" t="s">
        <v>156</v>
      </c>
      <c r="G195" s="32">
        <v>44170</v>
      </c>
      <c r="H195" s="33">
        <v>0.44465567679968743</v>
      </c>
      <c r="I195" s="30" t="s">
        <v>469</v>
      </c>
      <c r="J195" s="34">
        <v>5702060</v>
      </c>
      <c r="K195" s="35" t="s">
        <v>17</v>
      </c>
      <c r="L195" s="36">
        <v>1026370.7999999999</v>
      </c>
      <c r="M195" s="30" t="s">
        <v>41</v>
      </c>
      <c r="N195" s="30" t="s">
        <v>42</v>
      </c>
      <c r="O195" s="30" t="s">
        <v>1575</v>
      </c>
      <c r="P195" s="30" t="s">
        <v>1580</v>
      </c>
      <c r="Q195" s="30" t="str">
        <f>VLOOKUP(WEEKDAY(G195),Key!$B$3:$C$9,2,0)</f>
        <v>Saturday</v>
      </c>
      <c r="R195" s="42" t="str">
        <f t="shared" si="6"/>
        <v>Within</v>
      </c>
      <c r="S195" s="41" t="str">
        <f t="shared" si="7"/>
        <v>Pass</v>
      </c>
      <c r="T195" s="30" t="str">
        <f t="shared" si="8"/>
        <v>FY 20-21</v>
      </c>
      <c r="U195" s="30" t="str">
        <f>VLOOKUP(MONTH(G195),Key!$F$3:$G$14,2,0)</f>
        <v>Dec</v>
      </c>
      <c r="V195" s="30" t="str">
        <f>IFERROR(IF(MATCH(F195,'Test 6'!C$5:C$9,0)&gt;0,"RP"),"NON-RP")</f>
        <v>NON-RP</v>
      </c>
    </row>
    <row r="196" spans="2:22" x14ac:dyDescent="0.5">
      <c r="B196" s="30">
        <v>192</v>
      </c>
      <c r="C196" s="30" t="s">
        <v>474</v>
      </c>
      <c r="D196" s="31">
        <v>2021192</v>
      </c>
      <c r="E196" s="30" t="s">
        <v>475</v>
      </c>
      <c r="F196" s="53" t="s">
        <v>238</v>
      </c>
      <c r="G196" s="32">
        <v>44172</v>
      </c>
      <c r="H196" s="33">
        <v>0.62283392243686453</v>
      </c>
      <c r="I196" s="30" t="s">
        <v>469</v>
      </c>
      <c r="J196" s="34">
        <v>307890</v>
      </c>
      <c r="K196" s="35" t="s">
        <v>17</v>
      </c>
      <c r="L196" s="36">
        <v>55420.2</v>
      </c>
      <c r="M196" s="30" t="s">
        <v>37</v>
      </c>
      <c r="N196" s="30" t="s">
        <v>68</v>
      </c>
      <c r="O196" s="30" t="s">
        <v>1542</v>
      </c>
      <c r="P196" s="30" t="s">
        <v>1542</v>
      </c>
      <c r="Q196" s="30" t="str">
        <f>VLOOKUP(WEEKDAY(G196),Key!$B$3:$C$9,2,0)</f>
        <v>Monday</v>
      </c>
      <c r="R196" s="42" t="str">
        <f t="shared" si="6"/>
        <v>Within</v>
      </c>
      <c r="S196" s="41" t="str">
        <f t="shared" si="7"/>
        <v>Pass</v>
      </c>
      <c r="T196" s="30" t="str">
        <f t="shared" si="8"/>
        <v>FY 20-21</v>
      </c>
      <c r="U196" s="30" t="str">
        <f>VLOOKUP(MONTH(G196),Key!$F$3:$G$14,2,0)</f>
        <v>Dec</v>
      </c>
      <c r="V196" s="30" t="str">
        <f>IFERROR(IF(MATCH(F196,'Test 6'!C$5:C$9,0)&gt;0,"RP"),"NON-RP")</f>
        <v>NON-RP</v>
      </c>
    </row>
    <row r="197" spans="2:22" x14ac:dyDescent="0.5">
      <c r="B197" s="30">
        <v>193</v>
      </c>
      <c r="C197" s="30" t="s">
        <v>476</v>
      </c>
      <c r="D197" s="31">
        <v>2021193</v>
      </c>
      <c r="E197" s="30" t="s">
        <v>477</v>
      </c>
      <c r="F197" s="53" t="s">
        <v>195</v>
      </c>
      <c r="G197" s="32">
        <v>44172</v>
      </c>
      <c r="H197" s="33">
        <v>0.55761515330079447</v>
      </c>
      <c r="I197" s="30" t="s">
        <v>469</v>
      </c>
      <c r="J197" s="34">
        <v>391680</v>
      </c>
      <c r="K197" s="35" t="s">
        <v>17</v>
      </c>
      <c r="L197" s="36">
        <v>70502.399999999994</v>
      </c>
      <c r="M197" s="30" t="s">
        <v>46</v>
      </c>
      <c r="N197" s="30" t="s">
        <v>24</v>
      </c>
      <c r="O197" s="30" t="s">
        <v>1542</v>
      </c>
      <c r="P197" s="30" t="s">
        <v>1542</v>
      </c>
      <c r="Q197" s="30" t="str">
        <f>VLOOKUP(WEEKDAY(G197),Key!$B$3:$C$9,2,0)</f>
        <v>Monday</v>
      </c>
      <c r="R197" s="42" t="str">
        <f t="shared" ref="R197:R260" si="9">IF(AND(H197&lt;TIME(18,0,0),H197&gt;TIME(10,0,0)),"Within","Outside")</f>
        <v>Within</v>
      </c>
      <c r="S197" s="41" t="str">
        <f t="shared" si="7"/>
        <v>Pass</v>
      </c>
      <c r="T197" s="30" t="str">
        <f t="shared" si="8"/>
        <v>FY 20-21</v>
      </c>
      <c r="U197" s="30" t="str">
        <f>VLOOKUP(MONTH(G197),Key!$F$3:$G$14,2,0)</f>
        <v>Dec</v>
      </c>
      <c r="V197" s="30" t="str">
        <f>IFERROR(IF(MATCH(F197,'Test 6'!C$5:C$9,0)&gt;0,"RP"),"NON-RP")</f>
        <v>NON-RP</v>
      </c>
    </row>
    <row r="198" spans="2:22" x14ac:dyDescent="0.5">
      <c r="B198" s="30">
        <v>194</v>
      </c>
      <c r="C198" s="30" t="s">
        <v>478</v>
      </c>
      <c r="D198" s="31">
        <v>2021194</v>
      </c>
      <c r="E198" s="30" t="s">
        <v>479</v>
      </c>
      <c r="F198" s="53" t="s">
        <v>114</v>
      </c>
      <c r="G198" s="32">
        <v>44173</v>
      </c>
      <c r="H198" s="33">
        <v>0.69462324870030079</v>
      </c>
      <c r="I198" s="30" t="s">
        <v>469</v>
      </c>
      <c r="J198" s="34">
        <v>13558220</v>
      </c>
      <c r="K198" s="35" t="s">
        <v>17</v>
      </c>
      <c r="L198" s="36">
        <v>2440479.6</v>
      </c>
      <c r="M198" s="30" t="s">
        <v>41</v>
      </c>
      <c r="N198" s="30" t="s">
        <v>42</v>
      </c>
      <c r="O198" s="30" t="s">
        <v>1575</v>
      </c>
      <c r="P198" s="30" t="s">
        <v>1581</v>
      </c>
      <c r="Q198" s="30" t="str">
        <f>VLOOKUP(WEEKDAY(G198),Key!$B$3:$C$9,2,0)</f>
        <v>Tuesday</v>
      </c>
      <c r="R198" s="42" t="str">
        <f t="shared" si="9"/>
        <v>Within</v>
      </c>
      <c r="S198" s="41" t="str">
        <f t="shared" ref="S198:S261" si="10">IF(OR(Q198="Sunday",R198="outside"),"Red Flag","Pass")</f>
        <v>Pass</v>
      </c>
      <c r="T198" s="30" t="str">
        <f t="shared" ref="T198:T261" si="11">IF(AND(DATE(2021,4,1)&lt;=G198,G198&lt;=DATE(2022,3,31)),"FY 21-22","FY 20-21")</f>
        <v>FY 20-21</v>
      </c>
      <c r="U198" s="30" t="str">
        <f>VLOOKUP(MONTH(G198),Key!$F$3:$G$14,2,0)</f>
        <v>Dec</v>
      </c>
      <c r="V198" s="30" t="str">
        <f>IFERROR(IF(MATCH(F198,'Test 6'!C$5:C$9,0)&gt;0,"RP"),"NON-RP")</f>
        <v>NON-RP</v>
      </c>
    </row>
    <row r="199" spans="2:22" x14ac:dyDescent="0.5">
      <c r="B199" s="30">
        <v>195</v>
      </c>
      <c r="C199" s="30" t="s">
        <v>480</v>
      </c>
      <c r="D199" s="31">
        <v>2021195</v>
      </c>
      <c r="E199" s="30" t="s">
        <v>481</v>
      </c>
      <c r="F199" s="53" t="s">
        <v>156</v>
      </c>
      <c r="G199" s="32">
        <v>44182</v>
      </c>
      <c r="H199" s="33">
        <v>0.47033288088568653</v>
      </c>
      <c r="I199" s="30" t="s">
        <v>469</v>
      </c>
      <c r="J199" s="34">
        <v>271590</v>
      </c>
      <c r="K199" s="35" t="s">
        <v>17</v>
      </c>
      <c r="L199" s="36">
        <v>48886.2</v>
      </c>
      <c r="M199" s="30" t="s">
        <v>23</v>
      </c>
      <c r="N199" s="30" t="s">
        <v>24</v>
      </c>
      <c r="O199" s="30" t="s">
        <v>1542</v>
      </c>
      <c r="P199" s="30" t="s">
        <v>1542</v>
      </c>
      <c r="Q199" s="30" t="str">
        <f>VLOOKUP(WEEKDAY(G199),Key!$B$3:$C$9,2,0)</f>
        <v>Thursday</v>
      </c>
      <c r="R199" s="42" t="str">
        <f t="shared" si="9"/>
        <v>Within</v>
      </c>
      <c r="S199" s="41" t="str">
        <f t="shared" si="10"/>
        <v>Pass</v>
      </c>
      <c r="T199" s="30" t="str">
        <f t="shared" si="11"/>
        <v>FY 20-21</v>
      </c>
      <c r="U199" s="30" t="str">
        <f>VLOOKUP(MONTH(G199),Key!$F$3:$G$14,2,0)</f>
        <v>Dec</v>
      </c>
      <c r="V199" s="30" t="str">
        <f>IFERROR(IF(MATCH(F199,'Test 6'!C$5:C$9,0)&gt;0,"RP"),"NON-RP")</f>
        <v>NON-RP</v>
      </c>
    </row>
    <row r="200" spans="2:22" x14ac:dyDescent="0.5">
      <c r="B200" s="30">
        <v>196</v>
      </c>
      <c r="C200" s="30" t="s">
        <v>482</v>
      </c>
      <c r="D200" s="31">
        <v>2021196</v>
      </c>
      <c r="E200" s="30" t="s">
        <v>483</v>
      </c>
      <c r="F200" s="53" t="s">
        <v>143</v>
      </c>
      <c r="G200" s="32">
        <v>44183</v>
      </c>
      <c r="H200" s="33">
        <v>0.55398085459620439</v>
      </c>
      <c r="I200" s="30" t="s">
        <v>469</v>
      </c>
      <c r="J200" s="34">
        <v>334350</v>
      </c>
      <c r="K200" s="35" t="s">
        <v>17</v>
      </c>
      <c r="L200" s="36">
        <v>60183</v>
      </c>
      <c r="M200" s="30" t="s">
        <v>61</v>
      </c>
      <c r="N200" s="30" t="s">
        <v>68</v>
      </c>
      <c r="O200" s="30" t="s">
        <v>1542</v>
      </c>
      <c r="P200" s="30" t="s">
        <v>1542</v>
      </c>
      <c r="Q200" s="30" t="str">
        <f>VLOOKUP(WEEKDAY(G200),Key!$B$3:$C$9,2,0)</f>
        <v>Friday</v>
      </c>
      <c r="R200" s="42" t="str">
        <f t="shared" si="9"/>
        <v>Within</v>
      </c>
      <c r="S200" s="41" t="str">
        <f t="shared" si="10"/>
        <v>Pass</v>
      </c>
      <c r="T200" s="30" t="str">
        <f t="shared" si="11"/>
        <v>FY 20-21</v>
      </c>
      <c r="U200" s="30" t="str">
        <f>VLOOKUP(MONTH(G200),Key!$F$3:$G$14,2,0)</f>
        <v>Dec</v>
      </c>
      <c r="V200" s="30" t="str">
        <f>IFERROR(IF(MATCH(F200,'Test 6'!C$5:C$9,0)&gt;0,"RP"),"NON-RP")</f>
        <v>NON-RP</v>
      </c>
    </row>
    <row r="201" spans="2:22" x14ac:dyDescent="0.5">
      <c r="B201" s="30">
        <v>197</v>
      </c>
      <c r="C201" s="30" t="s">
        <v>484</v>
      </c>
      <c r="D201" s="31">
        <v>2021197</v>
      </c>
      <c r="E201" s="30" t="s">
        <v>485</v>
      </c>
      <c r="F201" s="53" t="s">
        <v>308</v>
      </c>
      <c r="G201" s="32">
        <v>44186</v>
      </c>
      <c r="H201" s="33">
        <v>0.42076018317191172</v>
      </c>
      <c r="I201" s="30" t="s">
        <v>469</v>
      </c>
      <c r="J201" s="34">
        <v>342230</v>
      </c>
      <c r="K201" s="35" t="s">
        <v>17</v>
      </c>
      <c r="L201" s="36">
        <v>61601.399999999994</v>
      </c>
      <c r="M201" s="30" t="s">
        <v>18</v>
      </c>
      <c r="N201" s="30" t="s">
        <v>24</v>
      </c>
      <c r="O201" s="30" t="s">
        <v>1542</v>
      </c>
      <c r="P201" s="30" t="s">
        <v>1542</v>
      </c>
      <c r="Q201" s="30" t="str">
        <f>VLOOKUP(WEEKDAY(G201),Key!$B$3:$C$9,2,0)</f>
        <v>Monday</v>
      </c>
      <c r="R201" s="42" t="str">
        <f t="shared" si="9"/>
        <v>Within</v>
      </c>
      <c r="S201" s="41" t="str">
        <f t="shared" si="10"/>
        <v>Pass</v>
      </c>
      <c r="T201" s="30" t="str">
        <f t="shared" si="11"/>
        <v>FY 20-21</v>
      </c>
      <c r="U201" s="30" t="str">
        <f>VLOOKUP(MONTH(G201),Key!$F$3:$G$14,2,0)</f>
        <v>Dec</v>
      </c>
      <c r="V201" s="30" t="str">
        <f>IFERROR(IF(MATCH(F201,'Test 6'!C$5:C$9,0)&gt;0,"RP"),"NON-RP")</f>
        <v>RP</v>
      </c>
    </row>
    <row r="202" spans="2:22" x14ac:dyDescent="0.5">
      <c r="B202" s="30">
        <v>198</v>
      </c>
      <c r="C202" s="30" t="s">
        <v>486</v>
      </c>
      <c r="D202" s="31">
        <v>2021198</v>
      </c>
      <c r="E202" s="30" t="s">
        <v>487</v>
      </c>
      <c r="F202" s="53" t="s">
        <v>72</v>
      </c>
      <c r="G202" s="32">
        <v>44186</v>
      </c>
      <c r="H202" s="33">
        <v>0.57462277971945785</v>
      </c>
      <c r="I202" s="30" t="s">
        <v>469</v>
      </c>
      <c r="J202" s="34">
        <v>352880</v>
      </c>
      <c r="K202" s="35" t="s">
        <v>17</v>
      </c>
      <c r="L202" s="36">
        <v>63518.399999999994</v>
      </c>
      <c r="M202" s="30" t="s">
        <v>61</v>
      </c>
      <c r="N202" s="30" t="s">
        <v>68</v>
      </c>
      <c r="O202" s="30" t="s">
        <v>1542</v>
      </c>
      <c r="P202" s="30" t="s">
        <v>1542</v>
      </c>
      <c r="Q202" s="30" t="str">
        <f>VLOOKUP(WEEKDAY(G202),Key!$B$3:$C$9,2,0)</f>
        <v>Monday</v>
      </c>
      <c r="R202" s="42" t="str">
        <f t="shared" si="9"/>
        <v>Within</v>
      </c>
      <c r="S202" s="41" t="str">
        <f t="shared" si="10"/>
        <v>Pass</v>
      </c>
      <c r="T202" s="30" t="str">
        <f t="shared" si="11"/>
        <v>FY 20-21</v>
      </c>
      <c r="U202" s="30" t="str">
        <f>VLOOKUP(MONTH(G202),Key!$F$3:$G$14,2,0)</f>
        <v>Dec</v>
      </c>
      <c r="V202" s="30" t="str">
        <f>IFERROR(IF(MATCH(F202,'Test 6'!C$5:C$9,0)&gt;0,"RP"),"NON-RP")</f>
        <v>NON-RP</v>
      </c>
    </row>
    <row r="203" spans="2:22" x14ac:dyDescent="0.5">
      <c r="B203" s="30">
        <v>199</v>
      </c>
      <c r="C203" s="30" t="s">
        <v>488</v>
      </c>
      <c r="D203" s="31">
        <v>2021199</v>
      </c>
      <c r="E203" s="30" t="s">
        <v>489</v>
      </c>
      <c r="F203" s="53" t="s">
        <v>269</v>
      </c>
      <c r="G203" s="32">
        <v>44186</v>
      </c>
      <c r="H203" s="33">
        <v>0.42836817568709468</v>
      </c>
      <c r="I203" s="30" t="s">
        <v>469</v>
      </c>
      <c r="J203" s="34">
        <v>416270</v>
      </c>
      <c r="K203" s="35" t="s">
        <v>17</v>
      </c>
      <c r="L203" s="36">
        <v>74928.599999999991</v>
      </c>
      <c r="M203" s="30" t="s">
        <v>46</v>
      </c>
      <c r="N203" s="30" t="s">
        <v>47</v>
      </c>
      <c r="O203" s="30" t="s">
        <v>1542</v>
      </c>
      <c r="P203" s="30" t="s">
        <v>1542</v>
      </c>
      <c r="Q203" s="30" t="str">
        <f>VLOOKUP(WEEKDAY(G203),Key!$B$3:$C$9,2,0)</f>
        <v>Monday</v>
      </c>
      <c r="R203" s="42" t="str">
        <f t="shared" si="9"/>
        <v>Within</v>
      </c>
      <c r="S203" s="41" t="str">
        <f t="shared" si="10"/>
        <v>Pass</v>
      </c>
      <c r="T203" s="30" t="str">
        <f t="shared" si="11"/>
        <v>FY 20-21</v>
      </c>
      <c r="U203" s="30" t="str">
        <f>VLOOKUP(MONTH(G203),Key!$F$3:$G$14,2,0)</f>
        <v>Dec</v>
      </c>
      <c r="V203" s="30" t="str">
        <f>IFERROR(IF(MATCH(F203,'Test 6'!C$5:C$9,0)&gt;0,"RP"),"NON-RP")</f>
        <v>NON-RP</v>
      </c>
    </row>
    <row r="204" spans="2:22" x14ac:dyDescent="0.5">
      <c r="B204" s="30">
        <v>200</v>
      </c>
      <c r="C204" s="30" t="s">
        <v>490</v>
      </c>
      <c r="D204" s="31">
        <v>2021200</v>
      </c>
      <c r="E204" s="30" t="s">
        <v>491</v>
      </c>
      <c r="F204" s="53" t="s">
        <v>175</v>
      </c>
      <c r="G204" s="32">
        <v>44186</v>
      </c>
      <c r="H204" s="33">
        <v>0.53837283119761614</v>
      </c>
      <c r="I204" s="30" t="s">
        <v>469</v>
      </c>
      <c r="J204" s="34">
        <v>430910</v>
      </c>
      <c r="K204" s="35" t="s">
        <v>17</v>
      </c>
      <c r="L204" s="36">
        <v>77563.8</v>
      </c>
      <c r="M204" s="30" t="s">
        <v>32</v>
      </c>
      <c r="N204" s="30" t="s">
        <v>47</v>
      </c>
      <c r="O204" s="30" t="s">
        <v>1542</v>
      </c>
      <c r="P204" s="30" t="s">
        <v>1542</v>
      </c>
      <c r="Q204" s="30" t="str">
        <f>VLOOKUP(WEEKDAY(G204),Key!$B$3:$C$9,2,0)</f>
        <v>Monday</v>
      </c>
      <c r="R204" s="42" t="str">
        <f t="shared" si="9"/>
        <v>Within</v>
      </c>
      <c r="S204" s="41" t="str">
        <f t="shared" si="10"/>
        <v>Pass</v>
      </c>
      <c r="T204" s="30" t="str">
        <f t="shared" si="11"/>
        <v>FY 20-21</v>
      </c>
      <c r="U204" s="30" t="str">
        <f>VLOOKUP(MONTH(G204),Key!$F$3:$G$14,2,0)</f>
        <v>Dec</v>
      </c>
      <c r="V204" s="30" t="str">
        <f>IFERROR(IF(MATCH(F204,'Test 6'!C$5:C$9,0)&gt;0,"RP"),"NON-RP")</f>
        <v>NON-RP</v>
      </c>
    </row>
    <row r="205" spans="2:22" x14ac:dyDescent="0.5">
      <c r="B205" s="30">
        <v>201</v>
      </c>
      <c r="C205" s="30" t="s">
        <v>492</v>
      </c>
      <c r="D205" s="31">
        <v>2021201</v>
      </c>
      <c r="E205" s="30" t="s">
        <v>493</v>
      </c>
      <c r="F205" s="53" t="s">
        <v>40</v>
      </c>
      <c r="G205" s="32">
        <v>44187</v>
      </c>
      <c r="H205" s="33">
        <v>0.53785271984338845</v>
      </c>
      <c r="I205" s="30" t="s">
        <v>469</v>
      </c>
      <c r="J205" s="34">
        <v>261940</v>
      </c>
      <c r="K205" s="35" t="s">
        <v>17</v>
      </c>
      <c r="L205" s="36">
        <v>47149.2</v>
      </c>
      <c r="M205" s="30" t="s">
        <v>61</v>
      </c>
      <c r="N205" s="30" t="s">
        <v>68</v>
      </c>
      <c r="O205" s="30" t="s">
        <v>1542</v>
      </c>
      <c r="P205" s="30" t="s">
        <v>1542</v>
      </c>
      <c r="Q205" s="30" t="str">
        <f>VLOOKUP(WEEKDAY(G205),Key!$B$3:$C$9,2,0)</f>
        <v>Tuesday</v>
      </c>
      <c r="R205" s="42" t="str">
        <f t="shared" si="9"/>
        <v>Within</v>
      </c>
      <c r="S205" s="41" t="str">
        <f t="shared" si="10"/>
        <v>Pass</v>
      </c>
      <c r="T205" s="30" t="str">
        <f t="shared" si="11"/>
        <v>FY 20-21</v>
      </c>
      <c r="U205" s="30" t="str">
        <f>VLOOKUP(MONTH(G205),Key!$F$3:$G$14,2,0)</f>
        <v>Dec</v>
      </c>
      <c r="V205" s="30" t="str">
        <f>IFERROR(IF(MATCH(F205,'Test 6'!C$5:C$9,0)&gt;0,"RP"),"NON-RP")</f>
        <v>NON-RP</v>
      </c>
    </row>
    <row r="206" spans="2:22" x14ac:dyDescent="0.5">
      <c r="B206" s="30">
        <v>202</v>
      </c>
      <c r="C206" s="30" t="s">
        <v>494</v>
      </c>
      <c r="D206" s="31">
        <v>2021202</v>
      </c>
      <c r="E206" s="30" t="s">
        <v>495</v>
      </c>
      <c r="F206" s="53" t="s">
        <v>40</v>
      </c>
      <c r="G206" s="32">
        <v>44187</v>
      </c>
      <c r="H206" s="33">
        <v>0.65344529453412004</v>
      </c>
      <c r="I206" s="30" t="s">
        <v>469</v>
      </c>
      <c r="J206" s="34">
        <v>221470</v>
      </c>
      <c r="K206" s="35" t="s">
        <v>17</v>
      </c>
      <c r="L206" s="36">
        <v>39864.6</v>
      </c>
      <c r="M206" s="30" t="s">
        <v>46</v>
      </c>
      <c r="N206" s="30" t="s">
        <v>47</v>
      </c>
      <c r="O206" s="30" t="s">
        <v>1542</v>
      </c>
      <c r="P206" s="30" t="s">
        <v>1542</v>
      </c>
      <c r="Q206" s="30" t="str">
        <f>VLOOKUP(WEEKDAY(G206),Key!$B$3:$C$9,2,0)</f>
        <v>Tuesday</v>
      </c>
      <c r="R206" s="42" t="str">
        <f t="shared" si="9"/>
        <v>Within</v>
      </c>
      <c r="S206" s="41" t="str">
        <f t="shared" si="10"/>
        <v>Pass</v>
      </c>
      <c r="T206" s="30" t="str">
        <f t="shared" si="11"/>
        <v>FY 20-21</v>
      </c>
      <c r="U206" s="30" t="str">
        <f>VLOOKUP(MONTH(G206),Key!$F$3:$G$14,2,0)</f>
        <v>Dec</v>
      </c>
      <c r="V206" s="30" t="str">
        <f>IFERROR(IF(MATCH(F206,'Test 6'!C$5:C$9,0)&gt;0,"RP"),"NON-RP")</f>
        <v>NON-RP</v>
      </c>
    </row>
    <row r="207" spans="2:22" x14ac:dyDescent="0.5">
      <c r="B207" s="30">
        <v>203</v>
      </c>
      <c r="C207" s="30" t="s">
        <v>496</v>
      </c>
      <c r="D207" s="31">
        <v>2021203</v>
      </c>
      <c r="E207" s="30" t="s">
        <v>497</v>
      </c>
      <c r="F207" s="53" t="s">
        <v>72</v>
      </c>
      <c r="G207" s="32">
        <v>44193</v>
      </c>
      <c r="H207" s="33">
        <v>0.5556925272621025</v>
      </c>
      <c r="I207" s="30" t="s">
        <v>469</v>
      </c>
      <c r="J207" s="34">
        <v>420990</v>
      </c>
      <c r="K207" s="35" t="s">
        <v>17</v>
      </c>
      <c r="L207" s="36">
        <v>75778.2</v>
      </c>
      <c r="M207" s="30" t="s">
        <v>37</v>
      </c>
      <c r="N207" s="30" t="s">
        <v>24</v>
      </c>
      <c r="O207" s="30" t="s">
        <v>1542</v>
      </c>
      <c r="P207" s="30" t="s">
        <v>1542</v>
      </c>
      <c r="Q207" s="30" t="str">
        <f>VLOOKUP(WEEKDAY(G207),Key!$B$3:$C$9,2,0)</f>
        <v>Monday</v>
      </c>
      <c r="R207" s="42" t="str">
        <f t="shared" si="9"/>
        <v>Within</v>
      </c>
      <c r="S207" s="41" t="str">
        <f t="shared" si="10"/>
        <v>Pass</v>
      </c>
      <c r="T207" s="30" t="str">
        <f t="shared" si="11"/>
        <v>FY 20-21</v>
      </c>
      <c r="U207" s="30" t="str">
        <f>VLOOKUP(MONTH(G207),Key!$F$3:$G$14,2,0)</f>
        <v>Dec</v>
      </c>
      <c r="V207" s="30" t="str">
        <f>IFERROR(IF(MATCH(F207,'Test 6'!C$5:C$9,0)&gt;0,"RP"),"NON-RP")</f>
        <v>NON-RP</v>
      </c>
    </row>
    <row r="208" spans="2:22" x14ac:dyDescent="0.5">
      <c r="B208" s="30">
        <v>204</v>
      </c>
      <c r="C208" s="30" t="s">
        <v>498</v>
      </c>
      <c r="D208" s="31">
        <v>2021204</v>
      </c>
      <c r="E208" s="30" t="s">
        <v>499</v>
      </c>
      <c r="F208" s="53" t="s">
        <v>57</v>
      </c>
      <c r="G208" s="32">
        <v>44196</v>
      </c>
      <c r="H208" s="33">
        <v>0.60212802087938189</v>
      </c>
      <c r="I208" s="30" t="s">
        <v>469</v>
      </c>
      <c r="J208" s="34">
        <v>2125810</v>
      </c>
      <c r="K208" s="35" t="s">
        <v>17</v>
      </c>
      <c r="L208" s="36">
        <v>382645.8</v>
      </c>
      <c r="M208" s="30" t="s">
        <v>69</v>
      </c>
      <c r="N208" s="30" t="s">
        <v>41</v>
      </c>
      <c r="O208" s="30" t="s">
        <v>1542</v>
      </c>
      <c r="P208" s="30" t="s">
        <v>1542</v>
      </c>
      <c r="Q208" s="30" t="str">
        <f>VLOOKUP(WEEKDAY(G208),Key!$B$3:$C$9,2,0)</f>
        <v>Thursday</v>
      </c>
      <c r="R208" s="42" t="str">
        <f t="shared" si="9"/>
        <v>Within</v>
      </c>
      <c r="S208" s="41" t="str">
        <f t="shared" si="10"/>
        <v>Pass</v>
      </c>
      <c r="T208" s="30" t="str">
        <f t="shared" si="11"/>
        <v>FY 20-21</v>
      </c>
      <c r="U208" s="30" t="str">
        <f>VLOOKUP(MONTH(G208),Key!$F$3:$G$14,2,0)</f>
        <v>Dec</v>
      </c>
      <c r="V208" s="30" t="str">
        <f>IFERROR(IF(MATCH(F208,'Test 6'!C$5:C$9,0)&gt;0,"RP"),"NON-RP")</f>
        <v>NON-RP</v>
      </c>
    </row>
    <row r="209" spans="2:22" x14ac:dyDescent="0.5">
      <c r="B209" s="30">
        <v>205</v>
      </c>
      <c r="C209" s="30" t="s">
        <v>500</v>
      </c>
      <c r="D209" s="31">
        <v>2021205</v>
      </c>
      <c r="E209" s="30" t="s">
        <v>501</v>
      </c>
      <c r="F209" s="53" t="s">
        <v>60</v>
      </c>
      <c r="G209" s="32">
        <v>44197</v>
      </c>
      <c r="H209" s="33">
        <v>0.69174103523314923</v>
      </c>
      <c r="I209" s="30" t="s">
        <v>502</v>
      </c>
      <c r="J209" s="34">
        <v>460950</v>
      </c>
      <c r="K209" s="35" t="s">
        <v>17</v>
      </c>
      <c r="L209" s="36">
        <v>82971</v>
      </c>
      <c r="M209" s="30" t="s">
        <v>32</v>
      </c>
      <c r="N209" s="30" t="s">
        <v>68</v>
      </c>
      <c r="O209" s="30" t="s">
        <v>1542</v>
      </c>
      <c r="P209" s="30" t="s">
        <v>1542</v>
      </c>
      <c r="Q209" s="30" t="str">
        <f>VLOOKUP(WEEKDAY(G209),Key!$B$3:$C$9,2,0)</f>
        <v>Friday</v>
      </c>
      <c r="R209" s="42" t="str">
        <f t="shared" si="9"/>
        <v>Within</v>
      </c>
      <c r="S209" s="41" t="str">
        <f t="shared" si="10"/>
        <v>Pass</v>
      </c>
      <c r="T209" s="30" t="str">
        <f t="shared" si="11"/>
        <v>FY 20-21</v>
      </c>
      <c r="U209" s="30" t="str">
        <f>VLOOKUP(MONTH(G209),Key!$F$3:$G$14,2,0)</f>
        <v>Jan</v>
      </c>
      <c r="V209" s="30" t="str">
        <f>IFERROR(IF(MATCH(F209,'Test 6'!C$5:C$9,0)&gt;0,"RP"),"NON-RP")</f>
        <v>NON-RP</v>
      </c>
    </row>
    <row r="210" spans="2:22" x14ac:dyDescent="0.5">
      <c r="B210" s="30">
        <v>206</v>
      </c>
      <c r="C210" s="30" t="s">
        <v>503</v>
      </c>
      <c r="D210" s="31">
        <v>2021206</v>
      </c>
      <c r="E210" s="30" t="s">
        <v>504</v>
      </c>
      <c r="F210" s="53" t="s">
        <v>269</v>
      </c>
      <c r="G210" s="32">
        <v>44203</v>
      </c>
      <c r="H210" s="33">
        <v>0.53379704095374347</v>
      </c>
      <c r="I210" s="30" t="s">
        <v>502</v>
      </c>
      <c r="J210" s="34">
        <v>497450</v>
      </c>
      <c r="K210" s="35" t="s">
        <v>17</v>
      </c>
      <c r="L210" s="36">
        <v>89541</v>
      </c>
      <c r="M210" s="30" t="s">
        <v>18</v>
      </c>
      <c r="N210" s="30" t="s">
        <v>47</v>
      </c>
      <c r="O210" s="30" t="s">
        <v>1542</v>
      </c>
      <c r="P210" s="30" t="s">
        <v>1542</v>
      </c>
      <c r="Q210" s="30" t="str">
        <f>VLOOKUP(WEEKDAY(G210),Key!$B$3:$C$9,2,0)</f>
        <v>Thursday</v>
      </c>
      <c r="R210" s="42" t="str">
        <f t="shared" si="9"/>
        <v>Within</v>
      </c>
      <c r="S210" s="41" t="str">
        <f t="shared" si="10"/>
        <v>Pass</v>
      </c>
      <c r="T210" s="30" t="str">
        <f t="shared" si="11"/>
        <v>FY 20-21</v>
      </c>
      <c r="U210" s="30" t="str">
        <f>VLOOKUP(MONTH(G210),Key!$F$3:$G$14,2,0)</f>
        <v>Jan</v>
      </c>
      <c r="V210" s="30" t="str">
        <f>IFERROR(IF(MATCH(F210,'Test 6'!C$5:C$9,0)&gt;0,"RP"),"NON-RP")</f>
        <v>NON-RP</v>
      </c>
    </row>
    <row r="211" spans="2:22" x14ac:dyDescent="0.5">
      <c r="B211" s="30">
        <v>207</v>
      </c>
      <c r="C211" s="30" t="s">
        <v>505</v>
      </c>
      <c r="D211" s="31">
        <v>2021207</v>
      </c>
      <c r="E211" s="30" t="s">
        <v>506</v>
      </c>
      <c r="F211" s="53" t="s">
        <v>153</v>
      </c>
      <c r="G211" s="32">
        <v>44203</v>
      </c>
      <c r="H211" s="33">
        <v>0.43634421733668766</v>
      </c>
      <c r="I211" s="30" t="s">
        <v>502</v>
      </c>
      <c r="J211" s="34">
        <v>325300</v>
      </c>
      <c r="K211" s="35" t="s">
        <v>17</v>
      </c>
      <c r="L211" s="36">
        <v>58554</v>
      </c>
      <c r="M211" s="30" t="s">
        <v>37</v>
      </c>
      <c r="N211" s="30" t="s">
        <v>51</v>
      </c>
      <c r="O211" s="30" t="s">
        <v>1542</v>
      </c>
      <c r="P211" s="30" t="s">
        <v>1542</v>
      </c>
      <c r="Q211" s="30" t="str">
        <f>VLOOKUP(WEEKDAY(G211),Key!$B$3:$C$9,2,0)</f>
        <v>Thursday</v>
      </c>
      <c r="R211" s="42" t="str">
        <f t="shared" si="9"/>
        <v>Within</v>
      </c>
      <c r="S211" s="41" t="str">
        <f t="shared" si="10"/>
        <v>Pass</v>
      </c>
      <c r="T211" s="30" t="str">
        <f t="shared" si="11"/>
        <v>FY 20-21</v>
      </c>
      <c r="U211" s="30" t="str">
        <f>VLOOKUP(MONTH(G211),Key!$F$3:$G$14,2,0)</f>
        <v>Jan</v>
      </c>
      <c r="V211" s="30" t="str">
        <f>IFERROR(IF(MATCH(F211,'Test 6'!C$5:C$9,0)&gt;0,"RP"),"NON-RP")</f>
        <v>NON-RP</v>
      </c>
    </row>
    <row r="212" spans="2:22" x14ac:dyDescent="0.5">
      <c r="B212" s="30">
        <v>208</v>
      </c>
      <c r="C212" s="30" t="s">
        <v>507</v>
      </c>
      <c r="D212" s="31">
        <v>2021208</v>
      </c>
      <c r="E212" s="30" t="s">
        <v>508</v>
      </c>
      <c r="F212" s="53" t="s">
        <v>103</v>
      </c>
      <c r="G212" s="32">
        <v>44203</v>
      </c>
      <c r="H212" s="33">
        <v>0.49463117427973607</v>
      </c>
      <c r="I212" s="30" t="s">
        <v>502</v>
      </c>
      <c r="J212" s="34">
        <v>449520</v>
      </c>
      <c r="K212" s="35" t="s">
        <v>17</v>
      </c>
      <c r="L212" s="36">
        <v>80913.599999999991</v>
      </c>
      <c r="M212" s="30" t="s">
        <v>37</v>
      </c>
      <c r="N212" s="30" t="s">
        <v>51</v>
      </c>
      <c r="O212" s="30" t="s">
        <v>1542</v>
      </c>
      <c r="P212" s="30" t="s">
        <v>1542</v>
      </c>
      <c r="Q212" s="30" t="str">
        <f>VLOOKUP(WEEKDAY(G212),Key!$B$3:$C$9,2,0)</f>
        <v>Thursday</v>
      </c>
      <c r="R212" s="42" t="str">
        <f t="shared" si="9"/>
        <v>Within</v>
      </c>
      <c r="S212" s="41" t="str">
        <f t="shared" si="10"/>
        <v>Pass</v>
      </c>
      <c r="T212" s="30" t="str">
        <f t="shared" si="11"/>
        <v>FY 20-21</v>
      </c>
      <c r="U212" s="30" t="str">
        <f>VLOOKUP(MONTH(G212),Key!$F$3:$G$14,2,0)</f>
        <v>Jan</v>
      </c>
      <c r="V212" s="30" t="str">
        <f>IFERROR(IF(MATCH(F212,'Test 6'!C$5:C$9,0)&gt;0,"RP"),"NON-RP")</f>
        <v>NON-RP</v>
      </c>
    </row>
    <row r="213" spans="2:22" x14ac:dyDescent="0.5">
      <c r="B213" s="30">
        <v>209</v>
      </c>
      <c r="C213" s="30" t="s">
        <v>509</v>
      </c>
      <c r="D213" s="31">
        <v>2021209</v>
      </c>
      <c r="E213" s="30" t="s">
        <v>510</v>
      </c>
      <c r="F213" s="53" t="s">
        <v>128</v>
      </c>
      <c r="G213" s="32">
        <v>44205</v>
      </c>
      <c r="H213" s="33">
        <v>0.58990344429363917</v>
      </c>
      <c r="I213" s="30" t="s">
        <v>502</v>
      </c>
      <c r="J213" s="34">
        <v>237540</v>
      </c>
      <c r="K213" s="35" t="s">
        <v>17</v>
      </c>
      <c r="L213" s="36">
        <v>42757.2</v>
      </c>
      <c r="M213" s="30" t="s">
        <v>61</v>
      </c>
      <c r="N213" s="30" t="s">
        <v>19</v>
      </c>
      <c r="O213" s="30" t="s">
        <v>1542</v>
      </c>
      <c r="P213" s="30" t="s">
        <v>1542</v>
      </c>
      <c r="Q213" s="30" t="str">
        <f>VLOOKUP(WEEKDAY(G213),Key!$B$3:$C$9,2,0)</f>
        <v>Saturday</v>
      </c>
      <c r="R213" s="42" t="str">
        <f t="shared" si="9"/>
        <v>Within</v>
      </c>
      <c r="S213" s="41" t="str">
        <f t="shared" si="10"/>
        <v>Pass</v>
      </c>
      <c r="T213" s="30" t="str">
        <f t="shared" si="11"/>
        <v>FY 20-21</v>
      </c>
      <c r="U213" s="30" t="str">
        <f>VLOOKUP(MONTH(G213),Key!$F$3:$G$14,2,0)</f>
        <v>Jan</v>
      </c>
      <c r="V213" s="30" t="str">
        <f>IFERROR(IF(MATCH(F213,'Test 6'!C$5:C$9,0)&gt;0,"RP"),"NON-RP")</f>
        <v>NON-RP</v>
      </c>
    </row>
    <row r="214" spans="2:22" x14ac:dyDescent="0.5">
      <c r="B214" s="30">
        <v>210</v>
      </c>
      <c r="C214" s="30" t="s">
        <v>511</v>
      </c>
      <c r="D214" s="31">
        <v>2021210</v>
      </c>
      <c r="E214" s="30" t="s">
        <v>512</v>
      </c>
      <c r="F214" s="53" t="s">
        <v>131</v>
      </c>
      <c r="G214" s="32">
        <v>44211</v>
      </c>
      <c r="H214" s="33">
        <v>0.46105710920493859</v>
      </c>
      <c r="I214" s="30" t="s">
        <v>502</v>
      </c>
      <c r="J214" s="34">
        <v>260730</v>
      </c>
      <c r="K214" s="35" t="s">
        <v>17</v>
      </c>
      <c r="L214" s="36">
        <v>46931.4</v>
      </c>
      <c r="M214" s="30" t="s">
        <v>18</v>
      </c>
      <c r="N214" s="30" t="s">
        <v>51</v>
      </c>
      <c r="O214" s="30" t="s">
        <v>1542</v>
      </c>
      <c r="P214" s="30" t="s">
        <v>1542</v>
      </c>
      <c r="Q214" s="30" t="str">
        <f>VLOOKUP(WEEKDAY(G214),Key!$B$3:$C$9,2,0)</f>
        <v>Friday</v>
      </c>
      <c r="R214" s="42" t="str">
        <f t="shared" si="9"/>
        <v>Within</v>
      </c>
      <c r="S214" s="41" t="str">
        <f t="shared" si="10"/>
        <v>Pass</v>
      </c>
      <c r="T214" s="30" t="str">
        <f t="shared" si="11"/>
        <v>FY 20-21</v>
      </c>
      <c r="U214" s="30" t="str">
        <f>VLOOKUP(MONTH(G214),Key!$F$3:$G$14,2,0)</f>
        <v>Jan</v>
      </c>
      <c r="V214" s="30" t="str">
        <f>IFERROR(IF(MATCH(F214,'Test 6'!C$5:C$9,0)&gt;0,"RP"),"NON-RP")</f>
        <v>NON-RP</v>
      </c>
    </row>
    <row r="215" spans="2:22" x14ac:dyDescent="0.5">
      <c r="B215" s="30">
        <v>211</v>
      </c>
      <c r="C215" s="30" t="s">
        <v>513</v>
      </c>
      <c r="D215" s="31">
        <v>2021211</v>
      </c>
      <c r="E215" s="30" t="s">
        <v>514</v>
      </c>
      <c r="F215" s="53" t="s">
        <v>119</v>
      </c>
      <c r="G215" s="32">
        <v>44212</v>
      </c>
      <c r="H215" s="33">
        <v>0.55566270755658265</v>
      </c>
      <c r="I215" s="30" t="s">
        <v>502</v>
      </c>
      <c r="J215" s="34">
        <v>369470</v>
      </c>
      <c r="K215" s="35" t="s">
        <v>17</v>
      </c>
      <c r="L215" s="36">
        <v>66504.599999999991</v>
      </c>
      <c r="M215" s="30" t="s">
        <v>28</v>
      </c>
      <c r="N215" s="30" t="s">
        <v>24</v>
      </c>
      <c r="O215" s="30" t="s">
        <v>1542</v>
      </c>
      <c r="P215" s="30" t="s">
        <v>1542</v>
      </c>
      <c r="Q215" s="30" t="str">
        <f>VLOOKUP(WEEKDAY(G215),Key!$B$3:$C$9,2,0)</f>
        <v>Saturday</v>
      </c>
      <c r="R215" s="42" t="str">
        <f t="shared" si="9"/>
        <v>Within</v>
      </c>
      <c r="S215" s="41" t="str">
        <f t="shared" si="10"/>
        <v>Pass</v>
      </c>
      <c r="T215" s="30" t="str">
        <f t="shared" si="11"/>
        <v>FY 20-21</v>
      </c>
      <c r="U215" s="30" t="str">
        <f>VLOOKUP(MONTH(G215),Key!$F$3:$G$14,2,0)</f>
        <v>Jan</v>
      </c>
      <c r="V215" s="30" t="str">
        <f>IFERROR(IF(MATCH(F215,'Test 6'!C$5:C$9,0)&gt;0,"RP"),"NON-RP")</f>
        <v>NON-RP</v>
      </c>
    </row>
    <row r="216" spans="2:22" x14ac:dyDescent="0.5">
      <c r="B216" s="30">
        <v>212</v>
      </c>
      <c r="C216" s="30" t="s">
        <v>515</v>
      </c>
      <c r="D216" s="31">
        <v>2021212</v>
      </c>
      <c r="E216" s="30" t="s">
        <v>516</v>
      </c>
      <c r="F216" s="53" t="s">
        <v>203</v>
      </c>
      <c r="G216" s="32">
        <v>44214</v>
      </c>
      <c r="H216" s="33">
        <v>0.62050378586797872</v>
      </c>
      <c r="I216" s="30" t="s">
        <v>502</v>
      </c>
      <c r="J216" s="34">
        <v>395500</v>
      </c>
      <c r="K216" s="35" t="s">
        <v>17</v>
      </c>
      <c r="L216" s="36">
        <v>71190</v>
      </c>
      <c r="M216" s="30" t="s">
        <v>32</v>
      </c>
      <c r="N216" s="30" t="s">
        <v>24</v>
      </c>
      <c r="O216" s="30" t="s">
        <v>1542</v>
      </c>
      <c r="P216" s="30" t="s">
        <v>1542</v>
      </c>
      <c r="Q216" s="30" t="str">
        <f>VLOOKUP(WEEKDAY(G216),Key!$B$3:$C$9,2,0)</f>
        <v>Monday</v>
      </c>
      <c r="R216" s="42" t="str">
        <f t="shared" si="9"/>
        <v>Within</v>
      </c>
      <c r="S216" s="41" t="str">
        <f t="shared" si="10"/>
        <v>Pass</v>
      </c>
      <c r="T216" s="30" t="str">
        <f t="shared" si="11"/>
        <v>FY 20-21</v>
      </c>
      <c r="U216" s="30" t="str">
        <f>VLOOKUP(MONTH(G216),Key!$F$3:$G$14,2,0)</f>
        <v>Jan</v>
      </c>
      <c r="V216" s="30" t="str">
        <f>IFERROR(IF(MATCH(F216,'Test 6'!C$5:C$9,0)&gt;0,"RP"),"NON-RP")</f>
        <v>NON-RP</v>
      </c>
    </row>
    <row r="217" spans="2:22" x14ac:dyDescent="0.5">
      <c r="B217" s="30">
        <v>213</v>
      </c>
      <c r="C217" s="30" t="s">
        <v>517</v>
      </c>
      <c r="D217" s="31">
        <v>2021213</v>
      </c>
      <c r="E217" s="30" t="s">
        <v>518</v>
      </c>
      <c r="F217" s="53" t="s">
        <v>131</v>
      </c>
      <c r="G217" s="32">
        <v>44214</v>
      </c>
      <c r="H217" s="33">
        <v>0.57187098777898737</v>
      </c>
      <c r="I217" s="30" t="s">
        <v>502</v>
      </c>
      <c r="J217" s="34">
        <v>374810</v>
      </c>
      <c r="K217" s="35" t="s">
        <v>17</v>
      </c>
      <c r="L217" s="36">
        <v>67465.8</v>
      </c>
      <c r="M217" s="30" t="s">
        <v>23</v>
      </c>
      <c r="N217" s="30" t="s">
        <v>24</v>
      </c>
      <c r="O217" s="30" t="s">
        <v>1542</v>
      </c>
      <c r="P217" s="30" t="s">
        <v>1542</v>
      </c>
      <c r="Q217" s="30" t="str">
        <f>VLOOKUP(WEEKDAY(G217),Key!$B$3:$C$9,2,0)</f>
        <v>Monday</v>
      </c>
      <c r="R217" s="42" t="str">
        <f t="shared" si="9"/>
        <v>Within</v>
      </c>
      <c r="S217" s="41" t="str">
        <f t="shared" si="10"/>
        <v>Pass</v>
      </c>
      <c r="T217" s="30" t="str">
        <f t="shared" si="11"/>
        <v>FY 20-21</v>
      </c>
      <c r="U217" s="30" t="str">
        <f>VLOOKUP(MONTH(G217),Key!$F$3:$G$14,2,0)</f>
        <v>Jan</v>
      </c>
      <c r="V217" s="30" t="str">
        <f>IFERROR(IF(MATCH(F217,'Test 6'!C$5:C$9,0)&gt;0,"RP"),"NON-RP")</f>
        <v>NON-RP</v>
      </c>
    </row>
    <row r="218" spans="2:22" x14ac:dyDescent="0.5">
      <c r="B218" s="30">
        <v>214</v>
      </c>
      <c r="C218" s="30" t="s">
        <v>519</v>
      </c>
      <c r="D218" s="31">
        <v>2021214</v>
      </c>
      <c r="E218" s="30" t="s">
        <v>520</v>
      </c>
      <c r="F218" s="53" t="s">
        <v>67</v>
      </c>
      <c r="G218" s="32">
        <v>44218</v>
      </c>
      <c r="H218" s="33">
        <v>0.47685395530733787</v>
      </c>
      <c r="I218" s="30" t="s">
        <v>502</v>
      </c>
      <c r="J218" s="34">
        <v>433570</v>
      </c>
      <c r="K218" s="35" t="s">
        <v>17</v>
      </c>
      <c r="L218" s="36">
        <v>78042.599999999991</v>
      </c>
      <c r="M218" s="30" t="s">
        <v>32</v>
      </c>
      <c r="N218" s="30" t="s">
        <v>68</v>
      </c>
      <c r="O218" s="30" t="s">
        <v>1542</v>
      </c>
      <c r="P218" s="30" t="s">
        <v>1542</v>
      </c>
      <c r="Q218" s="30" t="str">
        <f>VLOOKUP(WEEKDAY(G218),Key!$B$3:$C$9,2,0)</f>
        <v>Friday</v>
      </c>
      <c r="R218" s="42" t="str">
        <f t="shared" si="9"/>
        <v>Within</v>
      </c>
      <c r="S218" s="41" t="str">
        <f t="shared" si="10"/>
        <v>Pass</v>
      </c>
      <c r="T218" s="30" t="str">
        <f t="shared" si="11"/>
        <v>FY 20-21</v>
      </c>
      <c r="U218" s="30" t="str">
        <f>VLOOKUP(MONTH(G218),Key!$F$3:$G$14,2,0)</f>
        <v>Jan</v>
      </c>
      <c r="V218" s="30" t="str">
        <f>IFERROR(IF(MATCH(F218,'Test 6'!C$5:C$9,0)&gt;0,"RP"),"NON-RP")</f>
        <v>NON-RP</v>
      </c>
    </row>
    <row r="219" spans="2:22" x14ac:dyDescent="0.5">
      <c r="B219" s="30">
        <v>215</v>
      </c>
      <c r="C219" s="30" t="s">
        <v>521</v>
      </c>
      <c r="D219" s="31">
        <v>2021215</v>
      </c>
      <c r="E219" s="30" t="s">
        <v>522</v>
      </c>
      <c r="F219" s="53" t="s">
        <v>241</v>
      </c>
      <c r="G219" s="32">
        <v>44219</v>
      </c>
      <c r="H219" s="33">
        <v>0.61198088150954422</v>
      </c>
      <c r="I219" s="30" t="s">
        <v>502</v>
      </c>
      <c r="J219" s="34">
        <v>302470</v>
      </c>
      <c r="K219" s="35" t="s">
        <v>17</v>
      </c>
      <c r="L219" s="36">
        <v>54444.6</v>
      </c>
      <c r="M219" s="30" t="s">
        <v>23</v>
      </c>
      <c r="N219" s="30" t="s">
        <v>19</v>
      </c>
      <c r="O219" s="30" t="s">
        <v>1542</v>
      </c>
      <c r="P219" s="30" t="s">
        <v>1542</v>
      </c>
      <c r="Q219" s="30" t="str">
        <f>VLOOKUP(WEEKDAY(G219),Key!$B$3:$C$9,2,0)</f>
        <v>Saturday</v>
      </c>
      <c r="R219" s="42" t="str">
        <f t="shared" si="9"/>
        <v>Within</v>
      </c>
      <c r="S219" s="41" t="str">
        <f t="shared" si="10"/>
        <v>Pass</v>
      </c>
      <c r="T219" s="30" t="str">
        <f t="shared" si="11"/>
        <v>FY 20-21</v>
      </c>
      <c r="U219" s="30" t="str">
        <f>VLOOKUP(MONTH(G219),Key!$F$3:$G$14,2,0)</f>
        <v>Jan</v>
      </c>
      <c r="V219" s="30" t="str">
        <f>IFERROR(IF(MATCH(F219,'Test 6'!C$5:C$9,0)&gt;0,"RP"),"NON-RP")</f>
        <v>RP</v>
      </c>
    </row>
    <row r="220" spans="2:22" x14ac:dyDescent="0.5">
      <c r="B220" s="30">
        <v>216</v>
      </c>
      <c r="C220" s="30" t="s">
        <v>523</v>
      </c>
      <c r="D220" s="31">
        <v>2021216</v>
      </c>
      <c r="E220" s="30" t="s">
        <v>524</v>
      </c>
      <c r="F220" s="53" t="s">
        <v>272</v>
      </c>
      <c r="G220" s="32">
        <v>44221</v>
      </c>
      <c r="H220" s="33">
        <v>0.54762976353893222</v>
      </c>
      <c r="I220" s="30" t="s">
        <v>502</v>
      </c>
      <c r="J220" s="34">
        <v>388980</v>
      </c>
      <c r="K220" s="35" t="s">
        <v>17</v>
      </c>
      <c r="L220" s="36">
        <v>70016.399999999994</v>
      </c>
      <c r="M220" s="30" t="s">
        <v>37</v>
      </c>
      <c r="N220" s="30" t="s">
        <v>19</v>
      </c>
      <c r="O220" s="30" t="s">
        <v>1542</v>
      </c>
      <c r="P220" s="30" t="s">
        <v>1542</v>
      </c>
      <c r="Q220" s="30" t="str">
        <f>VLOOKUP(WEEKDAY(G220),Key!$B$3:$C$9,2,0)</f>
        <v>Monday</v>
      </c>
      <c r="R220" s="42" t="str">
        <f t="shared" si="9"/>
        <v>Within</v>
      </c>
      <c r="S220" s="41" t="str">
        <f t="shared" si="10"/>
        <v>Pass</v>
      </c>
      <c r="T220" s="30" t="str">
        <f t="shared" si="11"/>
        <v>FY 20-21</v>
      </c>
      <c r="U220" s="30" t="str">
        <f>VLOOKUP(MONTH(G220),Key!$F$3:$G$14,2,0)</f>
        <v>Jan</v>
      </c>
      <c r="V220" s="30" t="str">
        <f>IFERROR(IF(MATCH(F220,'Test 6'!C$5:C$9,0)&gt;0,"RP"),"NON-RP")</f>
        <v>NON-RP</v>
      </c>
    </row>
    <row r="221" spans="2:22" x14ac:dyDescent="0.5">
      <c r="B221" s="30">
        <v>217</v>
      </c>
      <c r="C221" s="30" t="s">
        <v>525</v>
      </c>
      <c r="D221" s="31">
        <v>2021217</v>
      </c>
      <c r="E221" s="30" t="s">
        <v>526</v>
      </c>
      <c r="F221" s="53" t="s">
        <v>84</v>
      </c>
      <c r="G221" s="32">
        <v>44221</v>
      </c>
      <c r="H221" s="33">
        <v>0.73828907949223954</v>
      </c>
      <c r="I221" s="30" t="s">
        <v>502</v>
      </c>
      <c r="J221" s="34">
        <v>21830</v>
      </c>
      <c r="K221" s="35" t="s">
        <v>17</v>
      </c>
      <c r="L221" s="36">
        <v>3929.3999999999996</v>
      </c>
      <c r="M221" s="30" t="s">
        <v>200</v>
      </c>
      <c r="N221" s="30" t="s">
        <v>18</v>
      </c>
      <c r="O221" s="30" t="s">
        <v>1542</v>
      </c>
      <c r="P221" s="30" t="s">
        <v>1542</v>
      </c>
      <c r="Q221" s="30" t="str">
        <f>VLOOKUP(WEEKDAY(G221),Key!$B$3:$C$9,2,0)</f>
        <v>Monday</v>
      </c>
      <c r="R221" s="42" t="str">
        <f t="shared" si="9"/>
        <v>Within</v>
      </c>
      <c r="S221" s="41" t="str">
        <f t="shared" si="10"/>
        <v>Pass</v>
      </c>
      <c r="T221" s="30" t="str">
        <f t="shared" si="11"/>
        <v>FY 20-21</v>
      </c>
      <c r="U221" s="30" t="str">
        <f>VLOOKUP(MONTH(G221),Key!$F$3:$G$14,2,0)</f>
        <v>Jan</v>
      </c>
      <c r="V221" s="30" t="str">
        <f>IFERROR(IF(MATCH(F221,'Test 6'!C$5:C$9,0)&gt;0,"RP"),"NON-RP")</f>
        <v>NON-RP</v>
      </c>
    </row>
    <row r="222" spans="2:22" x14ac:dyDescent="0.5">
      <c r="B222" s="30">
        <v>218</v>
      </c>
      <c r="C222" s="30" t="s">
        <v>527</v>
      </c>
      <c r="D222" s="31">
        <v>2021218</v>
      </c>
      <c r="E222" s="30" t="s">
        <v>528</v>
      </c>
      <c r="F222" s="53" t="s">
        <v>50</v>
      </c>
      <c r="G222" s="32">
        <v>44221</v>
      </c>
      <c r="H222" s="33">
        <v>0.69847669238537669</v>
      </c>
      <c r="I222" s="30" t="s">
        <v>502</v>
      </c>
      <c r="J222" s="34">
        <v>434470</v>
      </c>
      <c r="K222" s="35" t="s">
        <v>17</v>
      </c>
      <c r="L222" s="36">
        <v>78204.599999999991</v>
      </c>
      <c r="M222" s="30" t="s">
        <v>46</v>
      </c>
      <c r="N222" s="30" t="s">
        <v>24</v>
      </c>
      <c r="O222" s="30" t="s">
        <v>1542</v>
      </c>
      <c r="P222" s="30" t="s">
        <v>1542</v>
      </c>
      <c r="Q222" s="30" t="str">
        <f>VLOOKUP(WEEKDAY(G222),Key!$B$3:$C$9,2,0)</f>
        <v>Monday</v>
      </c>
      <c r="R222" s="42" t="str">
        <f t="shared" si="9"/>
        <v>Within</v>
      </c>
      <c r="S222" s="41" t="str">
        <f t="shared" si="10"/>
        <v>Pass</v>
      </c>
      <c r="T222" s="30" t="str">
        <f t="shared" si="11"/>
        <v>FY 20-21</v>
      </c>
      <c r="U222" s="30" t="str">
        <f>VLOOKUP(MONTH(G222),Key!$F$3:$G$14,2,0)</f>
        <v>Jan</v>
      </c>
      <c r="V222" s="30" t="str">
        <f>IFERROR(IF(MATCH(F222,'Test 6'!C$5:C$9,0)&gt;0,"RP"),"NON-RP")</f>
        <v>NON-RP</v>
      </c>
    </row>
    <row r="223" spans="2:22" x14ac:dyDescent="0.5">
      <c r="B223" s="30">
        <v>219</v>
      </c>
      <c r="C223" s="30" t="s">
        <v>529</v>
      </c>
      <c r="D223" s="31">
        <v>2021219</v>
      </c>
      <c r="E223" s="30" t="s">
        <v>530</v>
      </c>
      <c r="F223" s="53" t="s">
        <v>95</v>
      </c>
      <c r="G223" s="32">
        <v>44223</v>
      </c>
      <c r="H223" s="33">
        <v>0.65375057455900487</v>
      </c>
      <c r="I223" s="30" t="s">
        <v>502</v>
      </c>
      <c r="J223" s="34">
        <v>359170</v>
      </c>
      <c r="K223" s="35" t="s">
        <v>17</v>
      </c>
      <c r="L223" s="36">
        <v>64650.6</v>
      </c>
      <c r="M223" s="30" t="s">
        <v>61</v>
      </c>
      <c r="N223" s="30" t="s">
        <v>51</v>
      </c>
      <c r="O223" s="30" t="s">
        <v>1542</v>
      </c>
      <c r="P223" s="30" t="s">
        <v>1542</v>
      </c>
      <c r="Q223" s="30" t="str">
        <f>VLOOKUP(WEEKDAY(G223),Key!$B$3:$C$9,2,0)</f>
        <v>Wednesday</v>
      </c>
      <c r="R223" s="42" t="str">
        <f t="shared" si="9"/>
        <v>Within</v>
      </c>
      <c r="S223" s="41" t="str">
        <f t="shared" si="10"/>
        <v>Pass</v>
      </c>
      <c r="T223" s="30" t="str">
        <f t="shared" si="11"/>
        <v>FY 20-21</v>
      </c>
      <c r="U223" s="30" t="str">
        <f>VLOOKUP(MONTH(G223),Key!$F$3:$G$14,2,0)</f>
        <v>Jan</v>
      </c>
      <c r="V223" s="30" t="str">
        <f>IFERROR(IF(MATCH(F223,'Test 6'!C$5:C$9,0)&gt;0,"RP"),"NON-RP")</f>
        <v>NON-RP</v>
      </c>
    </row>
    <row r="224" spans="2:22" x14ac:dyDescent="0.5">
      <c r="B224" s="30">
        <v>220</v>
      </c>
      <c r="C224" s="30" t="s">
        <v>531</v>
      </c>
      <c r="D224" s="31">
        <v>2021220</v>
      </c>
      <c r="E224" s="30" t="s">
        <v>532</v>
      </c>
      <c r="F224" s="53" t="s">
        <v>60</v>
      </c>
      <c r="G224" s="32">
        <v>44225</v>
      </c>
      <c r="H224" s="33">
        <v>0.57966944752341587</v>
      </c>
      <c r="I224" s="30" t="s">
        <v>502</v>
      </c>
      <c r="J224" s="34">
        <v>464740</v>
      </c>
      <c r="K224" s="35" t="s">
        <v>17</v>
      </c>
      <c r="L224" s="36">
        <v>83653.2</v>
      </c>
      <c r="M224" s="30" t="s">
        <v>37</v>
      </c>
      <c r="N224" s="30" t="s">
        <v>51</v>
      </c>
      <c r="O224" s="30" t="s">
        <v>1542</v>
      </c>
      <c r="P224" s="30" t="s">
        <v>1542</v>
      </c>
      <c r="Q224" s="30" t="str">
        <f>VLOOKUP(WEEKDAY(G224),Key!$B$3:$C$9,2,0)</f>
        <v>Friday</v>
      </c>
      <c r="R224" s="42" t="str">
        <f t="shared" si="9"/>
        <v>Within</v>
      </c>
      <c r="S224" s="41" t="str">
        <f t="shared" si="10"/>
        <v>Pass</v>
      </c>
      <c r="T224" s="30" t="str">
        <f t="shared" si="11"/>
        <v>FY 20-21</v>
      </c>
      <c r="U224" s="30" t="str">
        <f>VLOOKUP(MONTH(G224),Key!$F$3:$G$14,2,0)</f>
        <v>Jan</v>
      </c>
      <c r="V224" s="30" t="str">
        <f>IFERROR(IF(MATCH(F224,'Test 6'!C$5:C$9,0)&gt;0,"RP"),"NON-RP")</f>
        <v>NON-RP</v>
      </c>
    </row>
    <row r="225" spans="2:22" x14ac:dyDescent="0.5">
      <c r="B225" s="30">
        <v>221</v>
      </c>
      <c r="C225" s="30" t="s">
        <v>533</v>
      </c>
      <c r="D225" s="31">
        <v>2021221</v>
      </c>
      <c r="E225" s="30" t="s">
        <v>534</v>
      </c>
      <c r="F225" s="53" t="s">
        <v>238</v>
      </c>
      <c r="G225" s="32">
        <v>44229</v>
      </c>
      <c r="H225" s="33">
        <v>0.61740353920966917</v>
      </c>
      <c r="I225" s="30" t="s">
        <v>535</v>
      </c>
      <c r="J225" s="34">
        <v>343880</v>
      </c>
      <c r="K225" s="35" t="s">
        <v>17</v>
      </c>
      <c r="L225" s="36">
        <v>61898.399999999994</v>
      </c>
      <c r="M225" s="30" t="s">
        <v>32</v>
      </c>
      <c r="N225" s="30" t="s">
        <v>24</v>
      </c>
      <c r="O225" s="30" t="s">
        <v>1542</v>
      </c>
      <c r="P225" s="30" t="s">
        <v>1542</v>
      </c>
      <c r="Q225" s="30" t="str">
        <f>VLOOKUP(WEEKDAY(G225),Key!$B$3:$C$9,2,0)</f>
        <v>Tuesday</v>
      </c>
      <c r="R225" s="42" t="str">
        <f t="shared" si="9"/>
        <v>Within</v>
      </c>
      <c r="S225" s="41" t="str">
        <f t="shared" si="10"/>
        <v>Pass</v>
      </c>
      <c r="T225" s="30" t="str">
        <f t="shared" si="11"/>
        <v>FY 20-21</v>
      </c>
      <c r="U225" s="30" t="str">
        <f>VLOOKUP(MONTH(G225),Key!$F$3:$G$14,2,0)</f>
        <v>Feb</v>
      </c>
      <c r="V225" s="30" t="str">
        <f>IFERROR(IF(MATCH(F225,'Test 6'!C$5:C$9,0)&gt;0,"RP"),"NON-RP")</f>
        <v>NON-RP</v>
      </c>
    </row>
    <row r="226" spans="2:22" x14ac:dyDescent="0.5">
      <c r="B226" s="30">
        <v>222</v>
      </c>
      <c r="C226" s="30" t="s">
        <v>536</v>
      </c>
      <c r="D226" s="31">
        <v>2021222</v>
      </c>
      <c r="E226" s="30" t="s">
        <v>537</v>
      </c>
      <c r="F226" s="53" t="s">
        <v>114</v>
      </c>
      <c r="G226" s="32">
        <v>44230</v>
      </c>
      <c r="H226" s="33">
        <v>0.50069775193521182</v>
      </c>
      <c r="I226" s="30" t="s">
        <v>535</v>
      </c>
      <c r="J226" s="34">
        <v>464470</v>
      </c>
      <c r="K226" s="35" t="s">
        <v>17</v>
      </c>
      <c r="L226" s="36">
        <v>83604.599999999991</v>
      </c>
      <c r="M226" s="30" t="s">
        <v>61</v>
      </c>
      <c r="N226" s="30" t="s">
        <v>68</v>
      </c>
      <c r="O226" s="30" t="s">
        <v>1542</v>
      </c>
      <c r="P226" s="30" t="s">
        <v>1542</v>
      </c>
      <c r="Q226" s="30" t="str">
        <f>VLOOKUP(WEEKDAY(G226),Key!$B$3:$C$9,2,0)</f>
        <v>Wednesday</v>
      </c>
      <c r="R226" s="42" t="str">
        <f t="shared" si="9"/>
        <v>Within</v>
      </c>
      <c r="S226" s="41" t="str">
        <f t="shared" si="10"/>
        <v>Pass</v>
      </c>
      <c r="T226" s="30" t="str">
        <f t="shared" si="11"/>
        <v>FY 20-21</v>
      </c>
      <c r="U226" s="30" t="str">
        <f>VLOOKUP(MONTH(G226),Key!$F$3:$G$14,2,0)</f>
        <v>Feb</v>
      </c>
      <c r="V226" s="30" t="str">
        <f>IFERROR(IF(MATCH(F226,'Test 6'!C$5:C$9,0)&gt;0,"RP"),"NON-RP")</f>
        <v>NON-RP</v>
      </c>
    </row>
    <row r="227" spans="2:22" x14ac:dyDescent="0.5">
      <c r="B227" s="30">
        <v>223</v>
      </c>
      <c r="C227" s="30" t="s">
        <v>538</v>
      </c>
      <c r="D227" s="31">
        <v>2021223</v>
      </c>
      <c r="E227" s="30" t="s">
        <v>539</v>
      </c>
      <c r="F227" s="53" t="s">
        <v>131</v>
      </c>
      <c r="G227" s="32">
        <v>44231</v>
      </c>
      <c r="H227" s="33">
        <v>0.58772481449210212</v>
      </c>
      <c r="I227" s="30" t="s">
        <v>535</v>
      </c>
      <c r="J227" s="34">
        <v>207340</v>
      </c>
      <c r="K227" s="35" t="s">
        <v>17</v>
      </c>
      <c r="L227" s="36">
        <v>37321.199999999997</v>
      </c>
      <c r="M227" s="30" t="s">
        <v>46</v>
      </c>
      <c r="N227" s="30" t="s">
        <v>51</v>
      </c>
      <c r="O227" s="30" t="s">
        <v>1542</v>
      </c>
      <c r="P227" s="30" t="s">
        <v>1542</v>
      </c>
      <c r="Q227" s="30" t="str">
        <f>VLOOKUP(WEEKDAY(G227),Key!$B$3:$C$9,2,0)</f>
        <v>Thursday</v>
      </c>
      <c r="R227" s="42" t="str">
        <f t="shared" si="9"/>
        <v>Within</v>
      </c>
      <c r="S227" s="41" t="str">
        <f t="shared" si="10"/>
        <v>Pass</v>
      </c>
      <c r="T227" s="30" t="str">
        <f t="shared" si="11"/>
        <v>FY 20-21</v>
      </c>
      <c r="U227" s="30" t="str">
        <f>VLOOKUP(MONTH(G227),Key!$F$3:$G$14,2,0)</f>
        <v>Feb</v>
      </c>
      <c r="V227" s="30" t="str">
        <f>IFERROR(IF(MATCH(F227,'Test 6'!C$5:C$9,0)&gt;0,"RP"),"NON-RP")</f>
        <v>NON-RP</v>
      </c>
    </row>
    <row r="228" spans="2:22" x14ac:dyDescent="0.5">
      <c r="B228" s="30">
        <v>224</v>
      </c>
      <c r="C228" s="30" t="s">
        <v>540</v>
      </c>
      <c r="D228" s="31">
        <v>2021224</v>
      </c>
      <c r="E228" s="30" t="s">
        <v>541</v>
      </c>
      <c r="F228" s="53" t="s">
        <v>229</v>
      </c>
      <c r="G228" s="32">
        <v>44231</v>
      </c>
      <c r="H228" s="33">
        <v>0.539099886373274</v>
      </c>
      <c r="I228" s="30" t="s">
        <v>535</v>
      </c>
      <c r="J228" s="34">
        <v>235030</v>
      </c>
      <c r="K228" s="35" t="s">
        <v>17</v>
      </c>
      <c r="L228" s="36">
        <v>42305.4</v>
      </c>
      <c r="M228" s="30" t="s">
        <v>18</v>
      </c>
      <c r="N228" s="30" t="s">
        <v>51</v>
      </c>
      <c r="O228" s="30" t="s">
        <v>1542</v>
      </c>
      <c r="P228" s="30" t="s">
        <v>1542</v>
      </c>
      <c r="Q228" s="30" t="str">
        <f>VLOOKUP(WEEKDAY(G228),Key!$B$3:$C$9,2,0)</f>
        <v>Thursday</v>
      </c>
      <c r="R228" s="42" t="str">
        <f t="shared" si="9"/>
        <v>Within</v>
      </c>
      <c r="S228" s="41" t="str">
        <f t="shared" si="10"/>
        <v>Pass</v>
      </c>
      <c r="T228" s="30" t="str">
        <f t="shared" si="11"/>
        <v>FY 20-21</v>
      </c>
      <c r="U228" s="30" t="str">
        <f>VLOOKUP(MONTH(G228),Key!$F$3:$G$14,2,0)</f>
        <v>Feb</v>
      </c>
      <c r="V228" s="30" t="str">
        <f>IFERROR(IF(MATCH(F228,'Test 6'!C$5:C$9,0)&gt;0,"RP"),"NON-RP")</f>
        <v>NON-RP</v>
      </c>
    </row>
    <row r="229" spans="2:22" x14ac:dyDescent="0.5">
      <c r="B229" s="30">
        <v>225</v>
      </c>
      <c r="C229" s="30" t="s">
        <v>542</v>
      </c>
      <c r="D229" s="31">
        <v>2021225</v>
      </c>
      <c r="E229" s="30" t="s">
        <v>543</v>
      </c>
      <c r="F229" s="53" t="s">
        <v>262</v>
      </c>
      <c r="G229" s="32">
        <v>44231</v>
      </c>
      <c r="H229" s="33">
        <v>0.66842696245482547</v>
      </c>
      <c r="I229" s="30" t="s">
        <v>502</v>
      </c>
      <c r="J229" s="34">
        <v>289800</v>
      </c>
      <c r="K229" s="35" t="s">
        <v>17</v>
      </c>
      <c r="L229" s="36">
        <v>52164</v>
      </c>
      <c r="M229" s="30" t="s">
        <v>46</v>
      </c>
      <c r="N229" s="30" t="s">
        <v>51</v>
      </c>
      <c r="O229" s="30" t="s">
        <v>1542</v>
      </c>
      <c r="P229" s="30" t="s">
        <v>1542</v>
      </c>
      <c r="Q229" s="30" t="str">
        <f>VLOOKUP(WEEKDAY(G229),Key!$B$3:$C$9,2,0)</f>
        <v>Thursday</v>
      </c>
      <c r="R229" s="42" t="str">
        <f t="shared" si="9"/>
        <v>Within</v>
      </c>
      <c r="S229" s="41" t="str">
        <f t="shared" si="10"/>
        <v>Pass</v>
      </c>
      <c r="T229" s="30" t="str">
        <f t="shared" si="11"/>
        <v>FY 20-21</v>
      </c>
      <c r="U229" s="30" t="str">
        <f>VLOOKUP(MONTH(G229),Key!$F$3:$G$14,2,0)</f>
        <v>Feb</v>
      </c>
      <c r="V229" s="30" t="str">
        <f>IFERROR(IF(MATCH(F229,'Test 6'!C$5:C$9,0)&gt;0,"RP"),"NON-RP")</f>
        <v>NON-RP</v>
      </c>
    </row>
    <row r="230" spans="2:22" x14ac:dyDescent="0.5">
      <c r="B230" s="30">
        <v>226</v>
      </c>
      <c r="C230" s="30" t="s">
        <v>544</v>
      </c>
      <c r="D230" s="31">
        <v>2021226</v>
      </c>
      <c r="E230" s="30" t="s">
        <v>545</v>
      </c>
      <c r="F230" s="53" t="s">
        <v>72</v>
      </c>
      <c r="G230" s="32">
        <v>44231</v>
      </c>
      <c r="H230" s="33">
        <v>0.42777106947416538</v>
      </c>
      <c r="I230" s="30" t="s">
        <v>502</v>
      </c>
      <c r="J230" s="34">
        <v>452530</v>
      </c>
      <c r="K230" s="35" t="s">
        <v>17</v>
      </c>
      <c r="L230" s="36">
        <v>81455.399999999994</v>
      </c>
      <c r="M230" s="30" t="s">
        <v>46</v>
      </c>
      <c r="N230" s="30" t="s">
        <v>47</v>
      </c>
      <c r="O230" s="30" t="s">
        <v>1542</v>
      </c>
      <c r="P230" s="30" t="s">
        <v>1542</v>
      </c>
      <c r="Q230" s="30" t="str">
        <f>VLOOKUP(WEEKDAY(G230),Key!$B$3:$C$9,2,0)</f>
        <v>Thursday</v>
      </c>
      <c r="R230" s="42" t="str">
        <f t="shared" si="9"/>
        <v>Within</v>
      </c>
      <c r="S230" s="41" t="str">
        <f t="shared" si="10"/>
        <v>Pass</v>
      </c>
      <c r="T230" s="30" t="str">
        <f t="shared" si="11"/>
        <v>FY 20-21</v>
      </c>
      <c r="U230" s="30" t="str">
        <f>VLOOKUP(MONTH(G230),Key!$F$3:$G$14,2,0)</f>
        <v>Feb</v>
      </c>
      <c r="V230" s="30" t="str">
        <f>IFERROR(IF(MATCH(F230,'Test 6'!C$5:C$9,0)&gt;0,"RP"),"NON-RP")</f>
        <v>NON-RP</v>
      </c>
    </row>
    <row r="231" spans="2:22" x14ac:dyDescent="0.5">
      <c r="B231" s="30">
        <v>227</v>
      </c>
      <c r="C231" s="30" t="s">
        <v>546</v>
      </c>
      <c r="D231" s="31">
        <v>2021227</v>
      </c>
      <c r="E231" s="30" t="s">
        <v>547</v>
      </c>
      <c r="F231" s="53" t="s">
        <v>81</v>
      </c>
      <c r="G231" s="32">
        <v>44232</v>
      </c>
      <c r="H231" s="33">
        <v>0.69370339399231062</v>
      </c>
      <c r="I231" s="30" t="s">
        <v>535</v>
      </c>
      <c r="J231" s="34">
        <v>461930</v>
      </c>
      <c r="K231" s="35" t="s">
        <v>17</v>
      </c>
      <c r="L231" s="36">
        <v>83147.399999999994</v>
      </c>
      <c r="M231" s="30" t="s">
        <v>46</v>
      </c>
      <c r="N231" s="30" t="s">
        <v>24</v>
      </c>
      <c r="O231" s="30" t="s">
        <v>1542</v>
      </c>
      <c r="P231" s="30" t="s">
        <v>1542</v>
      </c>
      <c r="Q231" s="30" t="str">
        <f>VLOOKUP(WEEKDAY(G231),Key!$B$3:$C$9,2,0)</f>
        <v>Friday</v>
      </c>
      <c r="R231" s="42" t="str">
        <f t="shared" si="9"/>
        <v>Within</v>
      </c>
      <c r="S231" s="41" t="str">
        <f t="shared" si="10"/>
        <v>Pass</v>
      </c>
      <c r="T231" s="30" t="str">
        <f t="shared" si="11"/>
        <v>FY 20-21</v>
      </c>
      <c r="U231" s="30" t="str">
        <f>VLOOKUP(MONTH(G231),Key!$F$3:$G$14,2,0)</f>
        <v>Feb</v>
      </c>
      <c r="V231" s="30" t="str">
        <f>IFERROR(IF(MATCH(F231,'Test 6'!C$5:C$9,0)&gt;0,"RP"),"NON-RP")</f>
        <v>NON-RP</v>
      </c>
    </row>
    <row r="232" spans="2:22" x14ac:dyDescent="0.5">
      <c r="B232" s="30">
        <v>228</v>
      </c>
      <c r="C232" s="30" t="s">
        <v>548</v>
      </c>
      <c r="D232" s="31">
        <v>2021228</v>
      </c>
      <c r="E232" s="30" t="s">
        <v>549</v>
      </c>
      <c r="F232" s="53" t="s">
        <v>114</v>
      </c>
      <c r="G232" s="32">
        <v>44235</v>
      </c>
      <c r="H232" s="33">
        <v>0.46399394051463089</v>
      </c>
      <c r="I232" s="30" t="s">
        <v>535</v>
      </c>
      <c r="J232" s="34">
        <v>380650</v>
      </c>
      <c r="K232" s="35" t="s">
        <v>17</v>
      </c>
      <c r="L232" s="36">
        <v>68517</v>
      </c>
      <c r="M232" s="30" t="s">
        <v>37</v>
      </c>
      <c r="N232" s="30" t="s">
        <v>47</v>
      </c>
      <c r="O232" s="30" t="s">
        <v>1542</v>
      </c>
      <c r="P232" s="30" t="s">
        <v>1542</v>
      </c>
      <c r="Q232" s="30" t="str">
        <f>VLOOKUP(WEEKDAY(G232),Key!$B$3:$C$9,2,0)</f>
        <v>Monday</v>
      </c>
      <c r="R232" s="42" t="str">
        <f t="shared" si="9"/>
        <v>Within</v>
      </c>
      <c r="S232" s="41" t="str">
        <f t="shared" si="10"/>
        <v>Pass</v>
      </c>
      <c r="T232" s="30" t="str">
        <f t="shared" si="11"/>
        <v>FY 20-21</v>
      </c>
      <c r="U232" s="30" t="str">
        <f>VLOOKUP(MONTH(G232),Key!$F$3:$G$14,2,0)</f>
        <v>Feb</v>
      </c>
      <c r="V232" s="30" t="str">
        <f>IFERROR(IF(MATCH(F232,'Test 6'!C$5:C$9,0)&gt;0,"RP"),"NON-RP")</f>
        <v>NON-RP</v>
      </c>
    </row>
    <row r="233" spans="2:22" x14ac:dyDescent="0.5">
      <c r="B233" s="30">
        <v>229</v>
      </c>
      <c r="C233" s="30" t="s">
        <v>550</v>
      </c>
      <c r="D233" s="31">
        <v>2021229</v>
      </c>
      <c r="E233" s="30" t="s">
        <v>551</v>
      </c>
      <c r="F233" s="53" t="s">
        <v>27</v>
      </c>
      <c r="G233" s="32">
        <v>44239</v>
      </c>
      <c r="H233" s="33">
        <v>0.70273975075252959</v>
      </c>
      <c r="I233" s="30" t="s">
        <v>535</v>
      </c>
      <c r="J233" s="34">
        <v>362410</v>
      </c>
      <c r="K233" s="35" t="s">
        <v>17</v>
      </c>
      <c r="L233" s="36">
        <v>65233.799999999996</v>
      </c>
      <c r="M233" s="30" t="s">
        <v>18</v>
      </c>
      <c r="N233" s="30" t="s">
        <v>19</v>
      </c>
      <c r="O233" s="30" t="s">
        <v>1542</v>
      </c>
      <c r="P233" s="30" t="s">
        <v>1542</v>
      </c>
      <c r="Q233" s="30" t="str">
        <f>VLOOKUP(WEEKDAY(G233),Key!$B$3:$C$9,2,0)</f>
        <v>Friday</v>
      </c>
      <c r="R233" s="42" t="str">
        <f t="shared" si="9"/>
        <v>Within</v>
      </c>
      <c r="S233" s="41" t="str">
        <f t="shared" si="10"/>
        <v>Pass</v>
      </c>
      <c r="T233" s="30" t="str">
        <f t="shared" si="11"/>
        <v>FY 20-21</v>
      </c>
      <c r="U233" s="30" t="str">
        <f>VLOOKUP(MONTH(G233),Key!$F$3:$G$14,2,0)</f>
        <v>Feb</v>
      </c>
      <c r="V233" s="30" t="str">
        <f>IFERROR(IF(MATCH(F233,'Test 6'!C$5:C$9,0)&gt;0,"RP"),"NON-RP")</f>
        <v>NON-RP</v>
      </c>
    </row>
    <row r="234" spans="2:22" x14ac:dyDescent="0.5">
      <c r="B234" s="30">
        <v>230</v>
      </c>
      <c r="C234" s="30" t="s">
        <v>552</v>
      </c>
      <c r="D234" s="31">
        <v>2021230</v>
      </c>
      <c r="E234" s="30" t="s">
        <v>553</v>
      </c>
      <c r="F234" s="53" t="s">
        <v>293</v>
      </c>
      <c r="G234" s="32">
        <v>44239</v>
      </c>
      <c r="H234" s="33">
        <v>0.56936444808695252</v>
      </c>
      <c r="I234" s="30" t="s">
        <v>535</v>
      </c>
      <c r="J234" s="34">
        <v>6899270</v>
      </c>
      <c r="K234" s="35" t="s">
        <v>17</v>
      </c>
      <c r="L234" s="36">
        <v>1241868.5999999999</v>
      </c>
      <c r="M234" s="30" t="s">
        <v>41</v>
      </c>
      <c r="N234" s="30" t="s">
        <v>42</v>
      </c>
      <c r="O234" s="30" t="s">
        <v>1575</v>
      </c>
      <c r="P234" s="30" t="s">
        <v>1582</v>
      </c>
      <c r="Q234" s="30" t="str">
        <f>VLOOKUP(WEEKDAY(G234),Key!$B$3:$C$9,2,0)</f>
        <v>Friday</v>
      </c>
      <c r="R234" s="42" t="str">
        <f t="shared" si="9"/>
        <v>Within</v>
      </c>
      <c r="S234" s="41" t="str">
        <f t="shared" si="10"/>
        <v>Pass</v>
      </c>
      <c r="T234" s="30" t="str">
        <f t="shared" si="11"/>
        <v>FY 20-21</v>
      </c>
      <c r="U234" s="30" t="str">
        <f>VLOOKUP(MONTH(G234),Key!$F$3:$G$14,2,0)</f>
        <v>Feb</v>
      </c>
      <c r="V234" s="30" t="str">
        <f>IFERROR(IF(MATCH(F234,'Test 6'!C$5:C$9,0)&gt;0,"RP"),"NON-RP")</f>
        <v>NON-RP</v>
      </c>
    </row>
    <row r="235" spans="2:22" x14ac:dyDescent="0.5">
      <c r="B235" s="30">
        <v>231</v>
      </c>
      <c r="C235" s="30" t="s">
        <v>554</v>
      </c>
      <c r="D235" s="31">
        <v>2021231</v>
      </c>
      <c r="E235" s="30" t="s">
        <v>555</v>
      </c>
      <c r="F235" s="53" t="s">
        <v>143</v>
      </c>
      <c r="G235" s="32">
        <v>44240</v>
      </c>
      <c r="H235" s="33">
        <v>0.65763525439433601</v>
      </c>
      <c r="I235" s="30" t="s">
        <v>535</v>
      </c>
      <c r="J235" s="34">
        <v>417340</v>
      </c>
      <c r="K235" s="35" t="s">
        <v>17</v>
      </c>
      <c r="L235" s="36">
        <v>75121.2</v>
      </c>
      <c r="M235" s="30" t="s">
        <v>18</v>
      </c>
      <c r="N235" s="30" t="s">
        <v>24</v>
      </c>
      <c r="O235" s="30" t="s">
        <v>1542</v>
      </c>
      <c r="P235" s="30" t="s">
        <v>1542</v>
      </c>
      <c r="Q235" s="30" t="str">
        <f>VLOOKUP(WEEKDAY(G235),Key!$B$3:$C$9,2,0)</f>
        <v>Saturday</v>
      </c>
      <c r="R235" s="42" t="str">
        <f t="shared" si="9"/>
        <v>Within</v>
      </c>
      <c r="S235" s="41" t="str">
        <f t="shared" si="10"/>
        <v>Pass</v>
      </c>
      <c r="T235" s="30" t="str">
        <f t="shared" si="11"/>
        <v>FY 20-21</v>
      </c>
      <c r="U235" s="30" t="str">
        <f>VLOOKUP(MONTH(G235),Key!$F$3:$G$14,2,0)</f>
        <v>Feb</v>
      </c>
      <c r="V235" s="30" t="str">
        <f>IFERROR(IF(MATCH(F235,'Test 6'!C$5:C$9,0)&gt;0,"RP"),"NON-RP")</f>
        <v>NON-RP</v>
      </c>
    </row>
    <row r="236" spans="2:22" x14ac:dyDescent="0.5">
      <c r="B236" s="30">
        <v>232</v>
      </c>
      <c r="C236" s="30" t="s">
        <v>556</v>
      </c>
      <c r="D236" s="31">
        <v>2021232</v>
      </c>
      <c r="E236" s="30" t="s">
        <v>557</v>
      </c>
      <c r="F236" s="53" t="s">
        <v>190</v>
      </c>
      <c r="G236" s="32">
        <v>44242</v>
      </c>
      <c r="H236" s="33">
        <v>0.64103911585861872</v>
      </c>
      <c r="I236" s="30" t="s">
        <v>535</v>
      </c>
      <c r="J236" s="34">
        <v>214490</v>
      </c>
      <c r="K236" s="35" t="s">
        <v>17</v>
      </c>
      <c r="L236" s="36">
        <v>38608.199999999997</v>
      </c>
      <c r="M236" s="30" t="s">
        <v>61</v>
      </c>
      <c r="N236" s="30" t="s">
        <v>51</v>
      </c>
      <c r="O236" s="30" t="s">
        <v>1542</v>
      </c>
      <c r="P236" s="30" t="s">
        <v>1542</v>
      </c>
      <c r="Q236" s="30" t="str">
        <f>VLOOKUP(WEEKDAY(G236),Key!$B$3:$C$9,2,0)</f>
        <v>Monday</v>
      </c>
      <c r="R236" s="42" t="str">
        <f t="shared" si="9"/>
        <v>Within</v>
      </c>
      <c r="S236" s="41" t="str">
        <f t="shared" si="10"/>
        <v>Pass</v>
      </c>
      <c r="T236" s="30" t="str">
        <f t="shared" si="11"/>
        <v>FY 20-21</v>
      </c>
      <c r="U236" s="30" t="str">
        <f>VLOOKUP(MONTH(G236),Key!$F$3:$G$14,2,0)</f>
        <v>Feb</v>
      </c>
      <c r="V236" s="30" t="str">
        <f>IFERROR(IF(MATCH(F236,'Test 6'!C$5:C$9,0)&gt;0,"RP"),"NON-RP")</f>
        <v>NON-RP</v>
      </c>
    </row>
    <row r="237" spans="2:22" x14ac:dyDescent="0.5">
      <c r="B237" s="30">
        <v>233</v>
      </c>
      <c r="C237" s="30" t="s">
        <v>558</v>
      </c>
      <c r="D237" s="31">
        <v>2021233</v>
      </c>
      <c r="E237" s="30" t="s">
        <v>559</v>
      </c>
      <c r="F237" s="53" t="s">
        <v>67</v>
      </c>
      <c r="G237" s="32">
        <v>44242</v>
      </c>
      <c r="H237" s="33">
        <v>0.58447943357107202</v>
      </c>
      <c r="I237" s="30" t="s">
        <v>502</v>
      </c>
      <c r="J237" s="34">
        <v>395980</v>
      </c>
      <c r="K237" s="35" t="s">
        <v>17</v>
      </c>
      <c r="L237" s="36">
        <v>71276.399999999994</v>
      </c>
      <c r="M237" s="30" t="s">
        <v>28</v>
      </c>
      <c r="N237" s="30" t="s">
        <v>51</v>
      </c>
      <c r="O237" s="30" t="s">
        <v>1542</v>
      </c>
      <c r="P237" s="30" t="s">
        <v>1542</v>
      </c>
      <c r="Q237" s="30" t="str">
        <f>VLOOKUP(WEEKDAY(G237),Key!$B$3:$C$9,2,0)</f>
        <v>Monday</v>
      </c>
      <c r="R237" s="42" t="str">
        <f t="shared" si="9"/>
        <v>Within</v>
      </c>
      <c r="S237" s="41" t="str">
        <f t="shared" si="10"/>
        <v>Pass</v>
      </c>
      <c r="T237" s="30" t="str">
        <f t="shared" si="11"/>
        <v>FY 20-21</v>
      </c>
      <c r="U237" s="30" t="str">
        <f>VLOOKUP(MONTH(G237),Key!$F$3:$G$14,2,0)</f>
        <v>Feb</v>
      </c>
      <c r="V237" s="30" t="str">
        <f>IFERROR(IF(MATCH(F237,'Test 6'!C$5:C$9,0)&gt;0,"RP"),"NON-RP")</f>
        <v>NON-RP</v>
      </c>
    </row>
    <row r="238" spans="2:22" x14ac:dyDescent="0.5">
      <c r="B238" s="30">
        <v>234</v>
      </c>
      <c r="C238" s="30" t="s">
        <v>560</v>
      </c>
      <c r="D238" s="31">
        <v>2021234</v>
      </c>
      <c r="E238" s="30" t="s">
        <v>561</v>
      </c>
      <c r="F238" s="53" t="s">
        <v>153</v>
      </c>
      <c r="G238" s="32">
        <v>44245</v>
      </c>
      <c r="H238" s="33">
        <v>0.68926048374803017</v>
      </c>
      <c r="I238" s="30" t="s">
        <v>535</v>
      </c>
      <c r="J238" s="34">
        <v>278800</v>
      </c>
      <c r="K238" s="35" t="s">
        <v>17</v>
      </c>
      <c r="L238" s="36">
        <v>50184</v>
      </c>
      <c r="M238" s="30" t="s">
        <v>61</v>
      </c>
      <c r="N238" s="30" t="s">
        <v>24</v>
      </c>
      <c r="O238" s="30" t="s">
        <v>1542</v>
      </c>
      <c r="P238" s="30" t="s">
        <v>1542</v>
      </c>
      <c r="Q238" s="30" t="str">
        <f>VLOOKUP(WEEKDAY(G238),Key!$B$3:$C$9,2,0)</f>
        <v>Thursday</v>
      </c>
      <c r="R238" s="42" t="str">
        <f t="shared" si="9"/>
        <v>Within</v>
      </c>
      <c r="S238" s="41" t="str">
        <f t="shared" si="10"/>
        <v>Pass</v>
      </c>
      <c r="T238" s="30" t="str">
        <f t="shared" si="11"/>
        <v>FY 20-21</v>
      </c>
      <c r="U238" s="30" t="str">
        <f>VLOOKUP(MONTH(G238),Key!$F$3:$G$14,2,0)</f>
        <v>Feb</v>
      </c>
      <c r="V238" s="30" t="str">
        <f>IFERROR(IF(MATCH(F238,'Test 6'!C$5:C$9,0)&gt;0,"RP"),"NON-RP")</f>
        <v>NON-RP</v>
      </c>
    </row>
    <row r="239" spans="2:22" x14ac:dyDescent="0.5">
      <c r="B239" s="30">
        <v>235</v>
      </c>
      <c r="C239" s="30" t="s">
        <v>562</v>
      </c>
      <c r="D239" s="31">
        <v>2021235</v>
      </c>
      <c r="E239" s="30" t="s">
        <v>563</v>
      </c>
      <c r="F239" s="53" t="s">
        <v>57</v>
      </c>
      <c r="G239" s="32">
        <v>44247</v>
      </c>
      <c r="H239" s="33">
        <v>0.55442766859178894</v>
      </c>
      <c r="I239" s="30" t="s">
        <v>535</v>
      </c>
      <c r="J239" s="34">
        <v>431320</v>
      </c>
      <c r="K239" s="35" t="s">
        <v>17</v>
      </c>
      <c r="L239" s="36">
        <v>77637.599999999991</v>
      </c>
      <c r="M239" s="30" t="s">
        <v>32</v>
      </c>
      <c r="N239" s="30" t="s">
        <v>51</v>
      </c>
      <c r="O239" s="30" t="s">
        <v>1542</v>
      </c>
      <c r="P239" s="30" t="s">
        <v>1542</v>
      </c>
      <c r="Q239" s="30" t="str">
        <f>VLOOKUP(WEEKDAY(G239),Key!$B$3:$C$9,2,0)</f>
        <v>Saturday</v>
      </c>
      <c r="R239" s="42" t="str">
        <f t="shared" si="9"/>
        <v>Within</v>
      </c>
      <c r="S239" s="41" t="str">
        <f t="shared" si="10"/>
        <v>Pass</v>
      </c>
      <c r="T239" s="30" t="str">
        <f t="shared" si="11"/>
        <v>FY 20-21</v>
      </c>
      <c r="U239" s="30" t="str">
        <f>VLOOKUP(MONTH(G239),Key!$F$3:$G$14,2,0)</f>
        <v>Feb</v>
      </c>
      <c r="V239" s="30" t="str">
        <f>IFERROR(IF(MATCH(F239,'Test 6'!C$5:C$9,0)&gt;0,"RP"),"NON-RP")</f>
        <v>NON-RP</v>
      </c>
    </row>
    <row r="240" spans="2:22" x14ac:dyDescent="0.5">
      <c r="B240" s="30">
        <v>236</v>
      </c>
      <c r="C240" s="30" t="s">
        <v>564</v>
      </c>
      <c r="D240" s="31">
        <v>2021236</v>
      </c>
      <c r="E240" s="30" t="s">
        <v>565</v>
      </c>
      <c r="F240" s="53" t="s">
        <v>95</v>
      </c>
      <c r="G240" s="32">
        <v>44250</v>
      </c>
      <c r="H240" s="33">
        <v>0.52145476715205274</v>
      </c>
      <c r="I240" s="30" t="s">
        <v>535</v>
      </c>
      <c r="J240" s="34">
        <v>216430</v>
      </c>
      <c r="K240" s="35" t="s">
        <v>17</v>
      </c>
      <c r="L240" s="36">
        <v>38957.4</v>
      </c>
      <c r="M240" s="30" t="s">
        <v>37</v>
      </c>
      <c r="N240" s="30" t="s">
        <v>19</v>
      </c>
      <c r="O240" s="30" t="s">
        <v>1542</v>
      </c>
      <c r="P240" s="30" t="s">
        <v>1542</v>
      </c>
      <c r="Q240" s="30" t="str">
        <f>VLOOKUP(WEEKDAY(G240),Key!$B$3:$C$9,2,0)</f>
        <v>Tuesday</v>
      </c>
      <c r="R240" s="42" t="str">
        <f t="shared" si="9"/>
        <v>Within</v>
      </c>
      <c r="S240" s="41" t="str">
        <f t="shared" si="10"/>
        <v>Pass</v>
      </c>
      <c r="T240" s="30" t="str">
        <f t="shared" si="11"/>
        <v>FY 20-21</v>
      </c>
      <c r="U240" s="30" t="str">
        <f>VLOOKUP(MONTH(G240),Key!$F$3:$G$14,2,0)</f>
        <v>Feb</v>
      </c>
      <c r="V240" s="30" t="str">
        <f>IFERROR(IF(MATCH(F240,'Test 6'!C$5:C$9,0)&gt;0,"RP"),"NON-RP")</f>
        <v>NON-RP</v>
      </c>
    </row>
    <row r="241" spans="2:22" x14ac:dyDescent="0.5">
      <c r="B241" s="30">
        <v>237</v>
      </c>
      <c r="C241" s="30" t="s">
        <v>566</v>
      </c>
      <c r="D241" s="31">
        <v>2021237</v>
      </c>
      <c r="E241" s="30" t="s">
        <v>567</v>
      </c>
      <c r="F241" s="53" t="s">
        <v>184</v>
      </c>
      <c r="G241" s="32">
        <v>44251</v>
      </c>
      <c r="H241" s="33">
        <v>0.66366029487213551</v>
      </c>
      <c r="I241" s="30" t="s">
        <v>535</v>
      </c>
      <c r="J241" s="34">
        <v>201920</v>
      </c>
      <c r="K241" s="35" t="s">
        <v>17</v>
      </c>
      <c r="L241" s="36">
        <v>36345.599999999999</v>
      </c>
      <c r="M241" s="30" t="s">
        <v>18</v>
      </c>
      <c r="N241" s="30" t="s">
        <v>24</v>
      </c>
      <c r="O241" s="30" t="s">
        <v>1542</v>
      </c>
      <c r="P241" s="30" t="s">
        <v>1542</v>
      </c>
      <c r="Q241" s="30" t="str">
        <f>VLOOKUP(WEEKDAY(G241),Key!$B$3:$C$9,2,0)</f>
        <v>Wednesday</v>
      </c>
      <c r="R241" s="42" t="str">
        <f t="shared" si="9"/>
        <v>Within</v>
      </c>
      <c r="S241" s="41" t="str">
        <f t="shared" si="10"/>
        <v>Pass</v>
      </c>
      <c r="T241" s="30" t="str">
        <f t="shared" si="11"/>
        <v>FY 20-21</v>
      </c>
      <c r="U241" s="30" t="str">
        <f>VLOOKUP(MONTH(G241),Key!$F$3:$G$14,2,0)</f>
        <v>Feb</v>
      </c>
      <c r="V241" s="30" t="str">
        <f>IFERROR(IF(MATCH(F241,'Test 6'!C$5:C$9,0)&gt;0,"RP"),"NON-RP")</f>
        <v>NON-RP</v>
      </c>
    </row>
    <row r="242" spans="2:22" x14ac:dyDescent="0.5">
      <c r="B242" s="30">
        <v>238</v>
      </c>
      <c r="C242" s="30" t="s">
        <v>568</v>
      </c>
      <c r="D242" s="31">
        <v>2021238</v>
      </c>
      <c r="E242" s="30" t="s">
        <v>569</v>
      </c>
      <c r="F242" s="53" t="s">
        <v>57</v>
      </c>
      <c r="G242" s="32">
        <v>44251</v>
      </c>
      <c r="H242" s="33">
        <v>0.48530030476134517</v>
      </c>
      <c r="I242" s="30" t="s">
        <v>535</v>
      </c>
      <c r="J242" s="34">
        <v>383620</v>
      </c>
      <c r="K242" s="35" t="s">
        <v>17</v>
      </c>
      <c r="L242" s="36">
        <v>69051.599999999991</v>
      </c>
      <c r="M242" s="30" t="s">
        <v>28</v>
      </c>
      <c r="N242" s="30" t="s">
        <v>51</v>
      </c>
      <c r="O242" s="30" t="s">
        <v>1542</v>
      </c>
      <c r="P242" s="30" t="s">
        <v>1542</v>
      </c>
      <c r="Q242" s="30" t="str">
        <f>VLOOKUP(WEEKDAY(G242),Key!$B$3:$C$9,2,0)</f>
        <v>Wednesday</v>
      </c>
      <c r="R242" s="42" t="str">
        <f t="shared" si="9"/>
        <v>Within</v>
      </c>
      <c r="S242" s="41" t="str">
        <f t="shared" si="10"/>
        <v>Pass</v>
      </c>
      <c r="T242" s="30" t="str">
        <f t="shared" si="11"/>
        <v>FY 20-21</v>
      </c>
      <c r="U242" s="30" t="str">
        <f>VLOOKUP(MONTH(G242),Key!$F$3:$G$14,2,0)</f>
        <v>Feb</v>
      </c>
      <c r="V242" s="30" t="str">
        <f>IFERROR(IF(MATCH(F242,'Test 6'!C$5:C$9,0)&gt;0,"RP"),"NON-RP")</f>
        <v>NON-RP</v>
      </c>
    </row>
    <row r="243" spans="2:22" x14ac:dyDescent="0.5">
      <c r="B243" s="30">
        <v>239</v>
      </c>
      <c r="C243" s="30" t="s">
        <v>570</v>
      </c>
      <c r="D243" s="31">
        <v>2021239</v>
      </c>
      <c r="E243" s="30" t="s">
        <v>571</v>
      </c>
      <c r="F243" s="53" t="s">
        <v>72</v>
      </c>
      <c r="G243" s="32">
        <v>44254</v>
      </c>
      <c r="H243" s="33">
        <v>0.70542442816670192</v>
      </c>
      <c r="I243" s="30" t="s">
        <v>502</v>
      </c>
      <c r="J243" s="34">
        <v>495540</v>
      </c>
      <c r="K243" s="35" t="s">
        <v>17</v>
      </c>
      <c r="L243" s="36">
        <v>89197.2</v>
      </c>
      <c r="M243" s="30" t="s">
        <v>37</v>
      </c>
      <c r="N243" s="30" t="s">
        <v>68</v>
      </c>
      <c r="O243" s="30" t="s">
        <v>1542</v>
      </c>
      <c r="P243" s="30" t="s">
        <v>1542</v>
      </c>
      <c r="Q243" s="30" t="str">
        <f>VLOOKUP(WEEKDAY(G243),Key!$B$3:$C$9,2,0)</f>
        <v>Saturday</v>
      </c>
      <c r="R243" s="42" t="str">
        <f t="shared" si="9"/>
        <v>Within</v>
      </c>
      <c r="S243" s="41" t="str">
        <f t="shared" si="10"/>
        <v>Pass</v>
      </c>
      <c r="T243" s="30" t="str">
        <f t="shared" si="11"/>
        <v>FY 20-21</v>
      </c>
      <c r="U243" s="30" t="str">
        <f>VLOOKUP(MONTH(G243),Key!$F$3:$G$14,2,0)</f>
        <v>Feb</v>
      </c>
      <c r="V243" s="30" t="str">
        <f>IFERROR(IF(MATCH(F243,'Test 6'!C$5:C$9,0)&gt;0,"RP"),"NON-RP")</f>
        <v>NON-RP</v>
      </c>
    </row>
    <row r="244" spans="2:22" x14ac:dyDescent="0.5">
      <c r="B244" s="30">
        <v>240</v>
      </c>
      <c r="C244" s="30" t="s">
        <v>572</v>
      </c>
      <c r="D244" s="31">
        <v>2021240</v>
      </c>
      <c r="E244" s="30" t="s">
        <v>573</v>
      </c>
      <c r="F244" s="53" t="s">
        <v>64</v>
      </c>
      <c r="G244" s="32">
        <v>44256</v>
      </c>
      <c r="H244" s="33">
        <v>0.66756103532082212</v>
      </c>
      <c r="I244" s="30" t="s">
        <v>574</v>
      </c>
      <c r="J244" s="34">
        <v>285080</v>
      </c>
      <c r="K244" s="35" t="s">
        <v>17</v>
      </c>
      <c r="L244" s="36">
        <v>51314.400000000001</v>
      </c>
      <c r="M244" s="30" t="s">
        <v>32</v>
      </c>
      <c r="N244" s="30" t="s">
        <v>24</v>
      </c>
      <c r="O244" s="30" t="s">
        <v>1542</v>
      </c>
      <c r="P244" s="30" t="s">
        <v>1542</v>
      </c>
      <c r="Q244" s="30" t="str">
        <f>VLOOKUP(WEEKDAY(G244),Key!$B$3:$C$9,2,0)</f>
        <v>Monday</v>
      </c>
      <c r="R244" s="42" t="str">
        <f t="shared" si="9"/>
        <v>Within</v>
      </c>
      <c r="S244" s="41" t="str">
        <f t="shared" si="10"/>
        <v>Pass</v>
      </c>
      <c r="T244" s="30" t="str">
        <f t="shared" si="11"/>
        <v>FY 20-21</v>
      </c>
      <c r="U244" s="30" t="str">
        <f>VLOOKUP(MONTH(G244),Key!$F$3:$G$14,2,0)</f>
        <v>Mar</v>
      </c>
      <c r="V244" s="30" t="str">
        <f>IFERROR(IF(MATCH(F244,'Test 6'!C$5:C$9,0)&gt;0,"RP"),"NON-RP")</f>
        <v>NON-RP</v>
      </c>
    </row>
    <row r="245" spans="2:22" x14ac:dyDescent="0.5">
      <c r="B245" s="30">
        <v>241</v>
      </c>
      <c r="C245" s="30" t="s">
        <v>575</v>
      </c>
      <c r="D245" s="31">
        <v>2021241</v>
      </c>
      <c r="E245" s="30" t="s">
        <v>576</v>
      </c>
      <c r="F245" s="53" t="s">
        <v>577</v>
      </c>
      <c r="G245" s="32">
        <v>44256</v>
      </c>
      <c r="H245" s="33">
        <v>0.59026401510312965</v>
      </c>
      <c r="I245" s="30" t="s">
        <v>574</v>
      </c>
      <c r="J245" s="34">
        <v>441790</v>
      </c>
      <c r="K245" s="35" t="s">
        <v>17</v>
      </c>
      <c r="L245" s="36">
        <v>79522.2</v>
      </c>
      <c r="M245" s="30" t="s">
        <v>28</v>
      </c>
      <c r="N245" s="30" t="s">
        <v>68</v>
      </c>
      <c r="O245" s="30" t="s">
        <v>1542</v>
      </c>
      <c r="P245" s="30" t="s">
        <v>1542</v>
      </c>
      <c r="Q245" s="30" t="str">
        <f>VLOOKUP(WEEKDAY(G245),Key!$B$3:$C$9,2,0)</f>
        <v>Monday</v>
      </c>
      <c r="R245" s="42" t="str">
        <f t="shared" si="9"/>
        <v>Within</v>
      </c>
      <c r="S245" s="41" t="str">
        <f t="shared" si="10"/>
        <v>Pass</v>
      </c>
      <c r="T245" s="30" t="str">
        <f t="shared" si="11"/>
        <v>FY 20-21</v>
      </c>
      <c r="U245" s="30" t="str">
        <f>VLOOKUP(MONTH(G245),Key!$F$3:$G$14,2,0)</f>
        <v>Mar</v>
      </c>
      <c r="V245" s="30" t="str">
        <f>IFERROR(IF(MATCH(F245,'Test 6'!C$5:C$9,0)&gt;0,"RP"),"NON-RP")</f>
        <v>RP</v>
      </c>
    </row>
    <row r="246" spans="2:22" x14ac:dyDescent="0.5">
      <c r="B246" s="30">
        <v>242</v>
      </c>
      <c r="C246" s="30" t="s">
        <v>578</v>
      </c>
      <c r="D246" s="31">
        <v>2021242</v>
      </c>
      <c r="E246" s="30" t="s">
        <v>579</v>
      </c>
      <c r="F246" s="53" t="s">
        <v>35</v>
      </c>
      <c r="G246" s="32">
        <v>44257</v>
      </c>
      <c r="H246" s="33">
        <v>0.50059930668011288</v>
      </c>
      <c r="I246" s="30" t="s">
        <v>574</v>
      </c>
      <c r="J246" s="34">
        <v>339640</v>
      </c>
      <c r="K246" s="35" t="s">
        <v>17</v>
      </c>
      <c r="L246" s="36">
        <v>61135.199999999997</v>
      </c>
      <c r="M246" s="30" t="s">
        <v>18</v>
      </c>
      <c r="N246" s="30" t="s">
        <v>24</v>
      </c>
      <c r="O246" s="30" t="s">
        <v>1542</v>
      </c>
      <c r="P246" s="30" t="s">
        <v>1542</v>
      </c>
      <c r="Q246" s="30" t="str">
        <f>VLOOKUP(WEEKDAY(G246),Key!$B$3:$C$9,2,0)</f>
        <v>Tuesday</v>
      </c>
      <c r="R246" s="42" t="str">
        <f t="shared" si="9"/>
        <v>Within</v>
      </c>
      <c r="S246" s="41" t="str">
        <f t="shared" si="10"/>
        <v>Pass</v>
      </c>
      <c r="T246" s="30" t="str">
        <f t="shared" si="11"/>
        <v>FY 20-21</v>
      </c>
      <c r="U246" s="30" t="str">
        <f>VLOOKUP(MONTH(G246),Key!$F$3:$G$14,2,0)</f>
        <v>Mar</v>
      </c>
      <c r="V246" s="30" t="str">
        <f>IFERROR(IF(MATCH(F246,'Test 6'!C$5:C$9,0)&gt;0,"RP"),"NON-RP")</f>
        <v>NON-RP</v>
      </c>
    </row>
    <row r="247" spans="2:22" x14ac:dyDescent="0.5">
      <c r="B247" s="30">
        <v>243</v>
      </c>
      <c r="C247" s="30" t="s">
        <v>580</v>
      </c>
      <c r="D247" s="31">
        <v>2021243</v>
      </c>
      <c r="E247" s="30" t="s">
        <v>581</v>
      </c>
      <c r="F247" s="53" t="s">
        <v>262</v>
      </c>
      <c r="G247" s="32">
        <v>44264</v>
      </c>
      <c r="H247" s="33">
        <v>0.47843728974486294</v>
      </c>
      <c r="I247" s="30" t="s">
        <v>574</v>
      </c>
      <c r="J247" s="34">
        <v>494660</v>
      </c>
      <c r="K247" s="35" t="s">
        <v>17</v>
      </c>
      <c r="L247" s="36">
        <v>89038.8</v>
      </c>
      <c r="M247" s="30" t="s">
        <v>37</v>
      </c>
      <c r="N247" s="30" t="s">
        <v>68</v>
      </c>
      <c r="O247" s="30" t="s">
        <v>1542</v>
      </c>
      <c r="P247" s="30" t="s">
        <v>1542</v>
      </c>
      <c r="Q247" s="30" t="str">
        <f>VLOOKUP(WEEKDAY(G247),Key!$B$3:$C$9,2,0)</f>
        <v>Tuesday</v>
      </c>
      <c r="R247" s="42" t="str">
        <f t="shared" si="9"/>
        <v>Within</v>
      </c>
      <c r="S247" s="41" t="str">
        <f t="shared" si="10"/>
        <v>Pass</v>
      </c>
      <c r="T247" s="30" t="str">
        <f t="shared" si="11"/>
        <v>FY 20-21</v>
      </c>
      <c r="U247" s="30" t="str">
        <f>VLOOKUP(MONTH(G247),Key!$F$3:$G$14,2,0)</f>
        <v>Mar</v>
      </c>
      <c r="V247" s="30" t="str">
        <f>IFERROR(IF(MATCH(F247,'Test 6'!C$5:C$9,0)&gt;0,"RP"),"NON-RP")</f>
        <v>NON-RP</v>
      </c>
    </row>
    <row r="248" spans="2:22" x14ac:dyDescent="0.5">
      <c r="B248" s="30">
        <v>244</v>
      </c>
      <c r="C248" s="30" t="s">
        <v>582</v>
      </c>
      <c r="D248" s="31">
        <v>2021244</v>
      </c>
      <c r="E248" s="30" t="s">
        <v>583</v>
      </c>
      <c r="F248" s="53" t="s">
        <v>95</v>
      </c>
      <c r="G248" s="32">
        <v>44264</v>
      </c>
      <c r="H248" s="33">
        <v>0.58405750109927468</v>
      </c>
      <c r="I248" s="30" t="s">
        <v>574</v>
      </c>
      <c r="J248" s="34">
        <v>463590</v>
      </c>
      <c r="K248" s="35" t="s">
        <v>17</v>
      </c>
      <c r="L248" s="36">
        <v>83446.2</v>
      </c>
      <c r="M248" s="30" t="s">
        <v>18</v>
      </c>
      <c r="N248" s="30" t="s">
        <v>19</v>
      </c>
      <c r="O248" s="30" t="s">
        <v>1542</v>
      </c>
      <c r="P248" s="30" t="s">
        <v>1542</v>
      </c>
      <c r="Q248" s="30" t="str">
        <f>VLOOKUP(WEEKDAY(G248),Key!$B$3:$C$9,2,0)</f>
        <v>Tuesday</v>
      </c>
      <c r="R248" s="42" t="str">
        <f t="shared" si="9"/>
        <v>Within</v>
      </c>
      <c r="S248" s="41" t="str">
        <f t="shared" si="10"/>
        <v>Pass</v>
      </c>
      <c r="T248" s="30" t="str">
        <f t="shared" si="11"/>
        <v>FY 20-21</v>
      </c>
      <c r="U248" s="30" t="str">
        <f>VLOOKUP(MONTH(G248),Key!$F$3:$G$14,2,0)</f>
        <v>Mar</v>
      </c>
      <c r="V248" s="30" t="str">
        <f>IFERROR(IF(MATCH(F248,'Test 6'!C$5:C$9,0)&gt;0,"RP"),"NON-RP")</f>
        <v>NON-RP</v>
      </c>
    </row>
    <row r="249" spans="2:22" x14ac:dyDescent="0.5">
      <c r="B249" s="30">
        <v>245</v>
      </c>
      <c r="C249" s="30" t="s">
        <v>584</v>
      </c>
      <c r="D249" s="31">
        <v>2021245</v>
      </c>
      <c r="E249" s="30" t="s">
        <v>585</v>
      </c>
      <c r="F249" s="53" t="s">
        <v>122</v>
      </c>
      <c r="G249" s="32">
        <v>44265</v>
      </c>
      <c r="H249" s="33">
        <v>0.54707942594790449</v>
      </c>
      <c r="I249" s="30" t="s">
        <v>574</v>
      </c>
      <c r="J249" s="34">
        <v>474470</v>
      </c>
      <c r="K249" s="35" t="s">
        <v>17</v>
      </c>
      <c r="L249" s="36">
        <v>85404.599999999991</v>
      </c>
      <c r="M249" s="30" t="s">
        <v>46</v>
      </c>
      <c r="N249" s="30" t="s">
        <v>51</v>
      </c>
      <c r="O249" s="30" t="s">
        <v>1542</v>
      </c>
      <c r="P249" s="30" t="s">
        <v>1542</v>
      </c>
      <c r="Q249" s="30" t="str">
        <f>VLOOKUP(WEEKDAY(G249),Key!$B$3:$C$9,2,0)</f>
        <v>Wednesday</v>
      </c>
      <c r="R249" s="42" t="str">
        <f t="shared" si="9"/>
        <v>Within</v>
      </c>
      <c r="S249" s="41" t="str">
        <f t="shared" si="10"/>
        <v>Pass</v>
      </c>
      <c r="T249" s="30" t="str">
        <f t="shared" si="11"/>
        <v>FY 20-21</v>
      </c>
      <c r="U249" s="30" t="str">
        <f>VLOOKUP(MONTH(G249),Key!$F$3:$G$14,2,0)</f>
        <v>Mar</v>
      </c>
      <c r="V249" s="30" t="str">
        <f>IFERROR(IF(MATCH(F249,'Test 6'!C$5:C$9,0)&gt;0,"RP"),"NON-RP")</f>
        <v>NON-RP</v>
      </c>
    </row>
    <row r="250" spans="2:22" x14ac:dyDescent="0.5">
      <c r="B250" s="30">
        <v>246</v>
      </c>
      <c r="C250" s="30" t="s">
        <v>586</v>
      </c>
      <c r="D250" s="31">
        <v>2021246</v>
      </c>
      <c r="E250" s="30" t="s">
        <v>587</v>
      </c>
      <c r="F250" s="53" t="s">
        <v>143</v>
      </c>
      <c r="G250" s="32">
        <v>44266</v>
      </c>
      <c r="H250" s="33">
        <v>0.57959665580513198</v>
      </c>
      <c r="I250" s="30" t="s">
        <v>574</v>
      </c>
      <c r="J250" s="34">
        <v>236850</v>
      </c>
      <c r="K250" s="35" t="s">
        <v>17</v>
      </c>
      <c r="L250" s="36">
        <v>42633</v>
      </c>
      <c r="M250" s="30" t="s">
        <v>37</v>
      </c>
      <c r="N250" s="30" t="s">
        <v>47</v>
      </c>
      <c r="O250" s="30" t="s">
        <v>1542</v>
      </c>
      <c r="P250" s="30" t="s">
        <v>1542</v>
      </c>
      <c r="Q250" s="30" t="str">
        <f>VLOOKUP(WEEKDAY(G250),Key!$B$3:$C$9,2,0)</f>
        <v>Thursday</v>
      </c>
      <c r="R250" s="42" t="str">
        <f t="shared" si="9"/>
        <v>Within</v>
      </c>
      <c r="S250" s="41" t="str">
        <f t="shared" si="10"/>
        <v>Pass</v>
      </c>
      <c r="T250" s="30" t="str">
        <f t="shared" si="11"/>
        <v>FY 20-21</v>
      </c>
      <c r="U250" s="30" t="str">
        <f>VLOOKUP(MONTH(G250),Key!$F$3:$G$14,2,0)</f>
        <v>Mar</v>
      </c>
      <c r="V250" s="30" t="str">
        <f>IFERROR(IF(MATCH(F250,'Test 6'!C$5:C$9,0)&gt;0,"RP"),"NON-RP")</f>
        <v>NON-RP</v>
      </c>
    </row>
    <row r="251" spans="2:22" x14ac:dyDescent="0.5">
      <c r="B251" s="30">
        <v>247</v>
      </c>
      <c r="C251" s="30" t="s">
        <v>588</v>
      </c>
      <c r="D251" s="31">
        <v>2021247</v>
      </c>
      <c r="E251" s="30" t="s">
        <v>589</v>
      </c>
      <c r="F251" s="53" t="s">
        <v>67</v>
      </c>
      <c r="G251" s="32">
        <v>44267</v>
      </c>
      <c r="H251" s="33">
        <v>0.52897164899242055</v>
      </c>
      <c r="I251" s="30" t="s">
        <v>574</v>
      </c>
      <c r="J251" s="34">
        <v>37380</v>
      </c>
      <c r="K251" s="35" t="s">
        <v>17</v>
      </c>
      <c r="L251" s="36">
        <v>6728.4</v>
      </c>
      <c r="M251" s="30" t="s">
        <v>78</v>
      </c>
      <c r="N251" s="30" t="s">
        <v>32</v>
      </c>
      <c r="O251" s="30" t="s">
        <v>1542</v>
      </c>
      <c r="P251" s="30" t="s">
        <v>1542</v>
      </c>
      <c r="Q251" s="30" t="str">
        <f>VLOOKUP(WEEKDAY(G251),Key!$B$3:$C$9,2,0)</f>
        <v>Friday</v>
      </c>
      <c r="R251" s="42" t="str">
        <f t="shared" si="9"/>
        <v>Within</v>
      </c>
      <c r="S251" s="41" t="str">
        <f t="shared" si="10"/>
        <v>Pass</v>
      </c>
      <c r="T251" s="30" t="str">
        <f t="shared" si="11"/>
        <v>FY 20-21</v>
      </c>
      <c r="U251" s="30" t="str">
        <f>VLOOKUP(MONTH(G251),Key!$F$3:$G$14,2,0)</f>
        <v>Mar</v>
      </c>
      <c r="V251" s="30" t="str">
        <f>IFERROR(IF(MATCH(F251,'Test 6'!C$5:C$9,0)&gt;0,"RP"),"NON-RP")</f>
        <v>NON-RP</v>
      </c>
    </row>
    <row r="252" spans="2:22" x14ac:dyDescent="0.5">
      <c r="B252" s="30">
        <v>248</v>
      </c>
      <c r="C252" s="30" t="s">
        <v>590</v>
      </c>
      <c r="D252" s="31">
        <v>2021248</v>
      </c>
      <c r="E252" s="30" t="s">
        <v>591</v>
      </c>
      <c r="F252" s="53" t="s">
        <v>15</v>
      </c>
      <c r="G252" s="32">
        <v>44268</v>
      </c>
      <c r="H252" s="33">
        <v>0.61041701855279473</v>
      </c>
      <c r="I252" s="30" t="s">
        <v>574</v>
      </c>
      <c r="J252" s="34">
        <v>474250</v>
      </c>
      <c r="K252" s="35" t="s">
        <v>17</v>
      </c>
      <c r="L252" s="36">
        <v>85365</v>
      </c>
      <c r="M252" s="30" t="s">
        <v>61</v>
      </c>
      <c r="N252" s="30" t="s">
        <v>47</v>
      </c>
      <c r="O252" s="30" t="s">
        <v>1542</v>
      </c>
      <c r="P252" s="30" t="s">
        <v>1542</v>
      </c>
      <c r="Q252" s="30" t="str">
        <f>VLOOKUP(WEEKDAY(G252),Key!$B$3:$C$9,2,0)</f>
        <v>Saturday</v>
      </c>
      <c r="R252" s="42" t="str">
        <f t="shared" si="9"/>
        <v>Within</v>
      </c>
      <c r="S252" s="41" t="str">
        <f t="shared" si="10"/>
        <v>Pass</v>
      </c>
      <c r="T252" s="30" t="str">
        <f t="shared" si="11"/>
        <v>FY 20-21</v>
      </c>
      <c r="U252" s="30" t="str">
        <f>VLOOKUP(MONTH(G252),Key!$F$3:$G$14,2,0)</f>
        <v>Mar</v>
      </c>
      <c r="V252" s="30" t="str">
        <f>IFERROR(IF(MATCH(F252,'Test 6'!C$5:C$9,0)&gt;0,"RP"),"NON-RP")</f>
        <v>NON-RP</v>
      </c>
    </row>
    <row r="253" spans="2:22" x14ac:dyDescent="0.5">
      <c r="B253" s="30">
        <v>249</v>
      </c>
      <c r="C253" s="30" t="s">
        <v>592</v>
      </c>
      <c r="D253" s="31">
        <v>2021249</v>
      </c>
      <c r="E253" s="30" t="s">
        <v>593</v>
      </c>
      <c r="F253" s="53" t="s">
        <v>45</v>
      </c>
      <c r="G253" s="32">
        <v>44270</v>
      </c>
      <c r="H253" s="33">
        <v>0.55993156446794667</v>
      </c>
      <c r="I253" s="30" t="s">
        <v>574</v>
      </c>
      <c r="J253" s="34">
        <v>322680</v>
      </c>
      <c r="K253" s="35" t="s">
        <v>17</v>
      </c>
      <c r="L253" s="36">
        <v>58082.400000000001</v>
      </c>
      <c r="M253" s="30" t="s">
        <v>23</v>
      </c>
      <c r="N253" s="30" t="s">
        <v>24</v>
      </c>
      <c r="O253" s="30" t="s">
        <v>1542</v>
      </c>
      <c r="P253" s="30" t="s">
        <v>1542</v>
      </c>
      <c r="Q253" s="30" t="str">
        <f>VLOOKUP(WEEKDAY(G253),Key!$B$3:$C$9,2,0)</f>
        <v>Monday</v>
      </c>
      <c r="R253" s="42" t="str">
        <f t="shared" si="9"/>
        <v>Within</v>
      </c>
      <c r="S253" s="41" t="str">
        <f t="shared" si="10"/>
        <v>Pass</v>
      </c>
      <c r="T253" s="30" t="str">
        <f t="shared" si="11"/>
        <v>FY 20-21</v>
      </c>
      <c r="U253" s="30" t="str">
        <f>VLOOKUP(MONTH(G253),Key!$F$3:$G$14,2,0)</f>
        <v>Mar</v>
      </c>
      <c r="V253" s="30" t="str">
        <f>IFERROR(IF(MATCH(F253,'Test 6'!C$5:C$9,0)&gt;0,"RP"),"NON-RP")</f>
        <v>NON-RP</v>
      </c>
    </row>
    <row r="254" spans="2:22" x14ac:dyDescent="0.5">
      <c r="B254" s="30">
        <v>250</v>
      </c>
      <c r="C254" s="30" t="s">
        <v>594</v>
      </c>
      <c r="D254" s="31">
        <v>2021250</v>
      </c>
      <c r="E254" s="30" t="s">
        <v>595</v>
      </c>
      <c r="F254" s="53" t="s">
        <v>57</v>
      </c>
      <c r="G254" s="32">
        <v>44270</v>
      </c>
      <c r="H254" s="33">
        <v>0.60554892019005679</v>
      </c>
      <c r="I254" s="30" t="s">
        <v>574</v>
      </c>
      <c r="J254" s="34">
        <v>245600</v>
      </c>
      <c r="K254" s="35" t="s">
        <v>17</v>
      </c>
      <c r="L254" s="36">
        <v>44208</v>
      </c>
      <c r="M254" s="30" t="s">
        <v>32</v>
      </c>
      <c r="N254" s="30" t="s">
        <v>68</v>
      </c>
      <c r="O254" s="30" t="s">
        <v>1542</v>
      </c>
      <c r="P254" s="30" t="s">
        <v>1542</v>
      </c>
      <c r="Q254" s="30" t="str">
        <f>VLOOKUP(WEEKDAY(G254),Key!$B$3:$C$9,2,0)</f>
        <v>Monday</v>
      </c>
      <c r="R254" s="42" t="str">
        <f t="shared" si="9"/>
        <v>Within</v>
      </c>
      <c r="S254" s="41" t="str">
        <f t="shared" si="10"/>
        <v>Pass</v>
      </c>
      <c r="T254" s="30" t="str">
        <f t="shared" si="11"/>
        <v>FY 20-21</v>
      </c>
      <c r="U254" s="30" t="str">
        <f>VLOOKUP(MONTH(G254),Key!$F$3:$G$14,2,0)</f>
        <v>Mar</v>
      </c>
      <c r="V254" s="30" t="str">
        <f>IFERROR(IF(MATCH(F254,'Test 6'!C$5:C$9,0)&gt;0,"RP"),"NON-RP")</f>
        <v>NON-RP</v>
      </c>
    </row>
    <row r="255" spans="2:22" x14ac:dyDescent="0.5">
      <c r="B255" s="30">
        <v>251</v>
      </c>
      <c r="C255" s="30" t="s">
        <v>596</v>
      </c>
      <c r="D255" s="31">
        <v>2021251</v>
      </c>
      <c r="E255" s="30" t="s">
        <v>597</v>
      </c>
      <c r="F255" s="53" t="s">
        <v>122</v>
      </c>
      <c r="G255" s="32">
        <v>44270</v>
      </c>
      <c r="H255" s="33">
        <v>0.69245700111964381</v>
      </c>
      <c r="I255" s="30" t="s">
        <v>574</v>
      </c>
      <c r="J255" s="34">
        <v>276510</v>
      </c>
      <c r="K255" s="35" t="s">
        <v>17</v>
      </c>
      <c r="L255" s="36">
        <v>49771.799999999996</v>
      </c>
      <c r="M255" s="30" t="s">
        <v>61</v>
      </c>
      <c r="N255" s="30" t="s">
        <v>19</v>
      </c>
      <c r="O255" s="30" t="s">
        <v>1542</v>
      </c>
      <c r="P255" s="30" t="s">
        <v>1542</v>
      </c>
      <c r="Q255" s="30" t="str">
        <f>VLOOKUP(WEEKDAY(G255),Key!$B$3:$C$9,2,0)</f>
        <v>Monday</v>
      </c>
      <c r="R255" s="42" t="str">
        <f t="shared" si="9"/>
        <v>Within</v>
      </c>
      <c r="S255" s="41" t="str">
        <f t="shared" si="10"/>
        <v>Pass</v>
      </c>
      <c r="T255" s="30" t="str">
        <f t="shared" si="11"/>
        <v>FY 20-21</v>
      </c>
      <c r="U255" s="30" t="str">
        <f>VLOOKUP(MONTH(G255),Key!$F$3:$G$14,2,0)</f>
        <v>Mar</v>
      </c>
      <c r="V255" s="30" t="str">
        <f>IFERROR(IF(MATCH(F255,'Test 6'!C$5:C$9,0)&gt;0,"RP"),"NON-RP")</f>
        <v>NON-RP</v>
      </c>
    </row>
    <row r="256" spans="2:22" x14ac:dyDescent="0.5">
      <c r="B256" s="30">
        <v>252</v>
      </c>
      <c r="C256" s="30" t="s">
        <v>598</v>
      </c>
      <c r="D256" s="31">
        <v>2021252</v>
      </c>
      <c r="E256" s="30" t="s">
        <v>599</v>
      </c>
      <c r="F256" s="53" t="s">
        <v>27</v>
      </c>
      <c r="G256" s="32">
        <v>44272</v>
      </c>
      <c r="H256" s="33">
        <v>0.55598279784640825</v>
      </c>
      <c r="I256" s="30" t="s">
        <v>574</v>
      </c>
      <c r="J256" s="34">
        <v>290150</v>
      </c>
      <c r="K256" s="35" t="s">
        <v>17</v>
      </c>
      <c r="L256" s="36">
        <v>52227</v>
      </c>
      <c r="M256" s="30" t="s">
        <v>28</v>
      </c>
      <c r="N256" s="30" t="s">
        <v>51</v>
      </c>
      <c r="O256" s="30" t="s">
        <v>1542</v>
      </c>
      <c r="P256" s="30" t="s">
        <v>1542</v>
      </c>
      <c r="Q256" s="30" t="str">
        <f>VLOOKUP(WEEKDAY(G256),Key!$B$3:$C$9,2,0)</f>
        <v>Wednesday</v>
      </c>
      <c r="R256" s="42" t="str">
        <f t="shared" si="9"/>
        <v>Within</v>
      </c>
      <c r="S256" s="41" t="str">
        <f t="shared" si="10"/>
        <v>Pass</v>
      </c>
      <c r="T256" s="30" t="str">
        <f t="shared" si="11"/>
        <v>FY 20-21</v>
      </c>
      <c r="U256" s="30" t="str">
        <f>VLOOKUP(MONTH(G256),Key!$F$3:$G$14,2,0)</f>
        <v>Mar</v>
      </c>
      <c r="V256" s="30" t="str">
        <f>IFERROR(IF(MATCH(F256,'Test 6'!C$5:C$9,0)&gt;0,"RP"),"NON-RP")</f>
        <v>NON-RP</v>
      </c>
    </row>
    <row r="257" spans="2:22" x14ac:dyDescent="0.5">
      <c r="B257" s="30">
        <v>253</v>
      </c>
      <c r="C257" s="30" t="s">
        <v>600</v>
      </c>
      <c r="D257" s="31">
        <v>2021253</v>
      </c>
      <c r="E257" s="30" t="s">
        <v>601</v>
      </c>
      <c r="F257" s="53" t="s">
        <v>84</v>
      </c>
      <c r="G257" s="32">
        <v>44272</v>
      </c>
      <c r="H257" s="33">
        <v>0.60522117639267969</v>
      </c>
      <c r="I257" s="30" t="s">
        <v>574</v>
      </c>
      <c r="J257" s="34">
        <v>215830</v>
      </c>
      <c r="K257" s="35" t="s">
        <v>17</v>
      </c>
      <c r="L257" s="36">
        <v>38849.4</v>
      </c>
      <c r="M257" s="30" t="s">
        <v>23</v>
      </c>
      <c r="N257" s="30" t="s">
        <v>24</v>
      </c>
      <c r="O257" s="30" t="s">
        <v>1542</v>
      </c>
      <c r="P257" s="30" t="s">
        <v>1542</v>
      </c>
      <c r="Q257" s="30" t="str">
        <f>VLOOKUP(WEEKDAY(G257),Key!$B$3:$C$9,2,0)</f>
        <v>Wednesday</v>
      </c>
      <c r="R257" s="42" t="str">
        <f t="shared" si="9"/>
        <v>Within</v>
      </c>
      <c r="S257" s="41" t="str">
        <f t="shared" si="10"/>
        <v>Pass</v>
      </c>
      <c r="T257" s="30" t="str">
        <f t="shared" si="11"/>
        <v>FY 20-21</v>
      </c>
      <c r="U257" s="30" t="str">
        <f>VLOOKUP(MONTH(G257),Key!$F$3:$G$14,2,0)</f>
        <v>Mar</v>
      </c>
      <c r="V257" s="30" t="str">
        <f>IFERROR(IF(MATCH(F257,'Test 6'!C$5:C$9,0)&gt;0,"RP"),"NON-RP")</f>
        <v>NON-RP</v>
      </c>
    </row>
    <row r="258" spans="2:22" x14ac:dyDescent="0.5">
      <c r="B258" s="30">
        <v>254</v>
      </c>
      <c r="C258" s="30" t="s">
        <v>602</v>
      </c>
      <c r="D258" s="31">
        <v>2021254</v>
      </c>
      <c r="E258" s="30" t="s">
        <v>603</v>
      </c>
      <c r="F258" s="53" t="s">
        <v>114</v>
      </c>
      <c r="G258" s="32">
        <v>44273</v>
      </c>
      <c r="H258" s="33">
        <v>0.58944765927992415</v>
      </c>
      <c r="I258" s="30" t="s">
        <v>574</v>
      </c>
      <c r="J258" s="34">
        <v>310790</v>
      </c>
      <c r="K258" s="35" t="s">
        <v>17</v>
      </c>
      <c r="L258" s="36">
        <v>55942.2</v>
      </c>
      <c r="M258" s="30" t="s">
        <v>61</v>
      </c>
      <c r="N258" s="30" t="s">
        <v>68</v>
      </c>
      <c r="O258" s="30" t="s">
        <v>1542</v>
      </c>
      <c r="P258" s="30" t="s">
        <v>1542</v>
      </c>
      <c r="Q258" s="30" t="str">
        <f>VLOOKUP(WEEKDAY(G258),Key!$B$3:$C$9,2,0)</f>
        <v>Thursday</v>
      </c>
      <c r="R258" s="42" t="str">
        <f t="shared" si="9"/>
        <v>Within</v>
      </c>
      <c r="S258" s="41" t="str">
        <f t="shared" si="10"/>
        <v>Pass</v>
      </c>
      <c r="T258" s="30" t="str">
        <f t="shared" si="11"/>
        <v>FY 20-21</v>
      </c>
      <c r="U258" s="30" t="str">
        <f>VLOOKUP(MONTH(G258),Key!$F$3:$G$14,2,0)</f>
        <v>Mar</v>
      </c>
      <c r="V258" s="30" t="str">
        <f>IFERROR(IF(MATCH(F258,'Test 6'!C$5:C$9,0)&gt;0,"RP"),"NON-RP")</f>
        <v>NON-RP</v>
      </c>
    </row>
    <row r="259" spans="2:22" x14ac:dyDescent="0.5">
      <c r="B259" s="30">
        <v>255</v>
      </c>
      <c r="C259" s="30" t="s">
        <v>604</v>
      </c>
      <c r="D259" s="31">
        <v>2021255</v>
      </c>
      <c r="E259" s="30" t="s">
        <v>605</v>
      </c>
      <c r="F259" s="53" t="s">
        <v>111</v>
      </c>
      <c r="G259" s="32">
        <v>44278</v>
      </c>
      <c r="H259" s="33">
        <v>0.5626872830556271</v>
      </c>
      <c r="I259" s="30" t="s">
        <v>574</v>
      </c>
      <c r="J259" s="34">
        <v>275200</v>
      </c>
      <c r="K259" s="35" t="s">
        <v>17</v>
      </c>
      <c r="L259" s="36">
        <v>49536</v>
      </c>
      <c r="M259" s="30" t="s">
        <v>37</v>
      </c>
      <c r="N259" s="30" t="s">
        <v>24</v>
      </c>
      <c r="O259" s="30" t="s">
        <v>1542</v>
      </c>
      <c r="P259" s="30" t="s">
        <v>1542</v>
      </c>
      <c r="Q259" s="30" t="str">
        <f>VLOOKUP(WEEKDAY(G259),Key!$B$3:$C$9,2,0)</f>
        <v>Tuesday</v>
      </c>
      <c r="R259" s="42" t="str">
        <f t="shared" si="9"/>
        <v>Within</v>
      </c>
      <c r="S259" s="41" t="str">
        <f t="shared" si="10"/>
        <v>Pass</v>
      </c>
      <c r="T259" s="30" t="str">
        <f t="shared" si="11"/>
        <v>FY 20-21</v>
      </c>
      <c r="U259" s="30" t="str">
        <f>VLOOKUP(MONTH(G259),Key!$F$3:$G$14,2,0)</f>
        <v>Mar</v>
      </c>
      <c r="V259" s="30" t="str">
        <f>IFERROR(IF(MATCH(F259,'Test 6'!C$5:C$9,0)&gt;0,"RP"),"NON-RP")</f>
        <v>RP</v>
      </c>
    </row>
    <row r="260" spans="2:22" x14ac:dyDescent="0.5">
      <c r="B260" s="30">
        <v>256</v>
      </c>
      <c r="C260" s="30" t="s">
        <v>606</v>
      </c>
      <c r="D260" s="31">
        <v>2021256</v>
      </c>
      <c r="E260" s="30" t="s">
        <v>607</v>
      </c>
      <c r="F260" s="53" t="s">
        <v>608</v>
      </c>
      <c r="G260" s="32">
        <v>44279</v>
      </c>
      <c r="H260" s="33">
        <v>0.60143778020847671</v>
      </c>
      <c r="I260" s="30" t="s">
        <v>574</v>
      </c>
      <c r="J260" s="34">
        <v>347560</v>
      </c>
      <c r="K260" s="35" t="s">
        <v>17</v>
      </c>
      <c r="L260" s="36">
        <v>62560.799999999996</v>
      </c>
      <c r="M260" s="30" t="s">
        <v>18</v>
      </c>
      <c r="N260" s="30" t="s">
        <v>19</v>
      </c>
      <c r="O260" s="30" t="s">
        <v>1542</v>
      </c>
      <c r="P260" s="30" t="s">
        <v>1542</v>
      </c>
      <c r="Q260" s="30" t="str">
        <f>VLOOKUP(WEEKDAY(G260),Key!$B$3:$C$9,2,0)</f>
        <v>Wednesday</v>
      </c>
      <c r="R260" s="42" t="str">
        <f t="shared" si="9"/>
        <v>Within</v>
      </c>
      <c r="S260" s="41" t="str">
        <f t="shared" si="10"/>
        <v>Pass</v>
      </c>
      <c r="T260" s="30" t="str">
        <f t="shared" si="11"/>
        <v>FY 20-21</v>
      </c>
      <c r="U260" s="30" t="str">
        <f>VLOOKUP(MONTH(G260),Key!$F$3:$G$14,2,0)</f>
        <v>Mar</v>
      </c>
      <c r="V260" s="30" t="str">
        <f>IFERROR(IF(MATCH(F260,'Test 6'!C$5:C$9,0)&gt;0,"RP"),"NON-RP")</f>
        <v>NON-RP</v>
      </c>
    </row>
    <row r="261" spans="2:22" x14ac:dyDescent="0.5">
      <c r="B261" s="30">
        <v>257</v>
      </c>
      <c r="C261" s="30" t="s">
        <v>609</v>
      </c>
      <c r="D261" s="31">
        <v>2021257</v>
      </c>
      <c r="E261" s="30" t="s">
        <v>610</v>
      </c>
      <c r="F261" s="53" t="s">
        <v>184</v>
      </c>
      <c r="G261" s="32">
        <v>44280</v>
      </c>
      <c r="H261" s="33">
        <v>0.64287669521964863</v>
      </c>
      <c r="I261" s="30" t="s">
        <v>574</v>
      </c>
      <c r="J261" s="34">
        <v>463330</v>
      </c>
      <c r="K261" s="35" t="s">
        <v>17</v>
      </c>
      <c r="L261" s="36">
        <v>83399.399999999994</v>
      </c>
      <c r="M261" s="30" t="s">
        <v>46</v>
      </c>
      <c r="N261" s="30" t="s">
        <v>24</v>
      </c>
      <c r="O261" s="30" t="s">
        <v>1542</v>
      </c>
      <c r="P261" s="30" t="s">
        <v>1542</v>
      </c>
      <c r="Q261" s="30" t="str">
        <f>VLOOKUP(WEEKDAY(G261),Key!$B$3:$C$9,2,0)</f>
        <v>Thursday</v>
      </c>
      <c r="R261" s="42" t="str">
        <f t="shared" ref="R261:R324" si="12">IF(AND(H261&lt;TIME(18,0,0),H261&gt;TIME(10,0,0)),"Within","Outside")</f>
        <v>Within</v>
      </c>
      <c r="S261" s="41" t="str">
        <f t="shared" si="10"/>
        <v>Pass</v>
      </c>
      <c r="T261" s="30" t="str">
        <f t="shared" si="11"/>
        <v>FY 20-21</v>
      </c>
      <c r="U261" s="30" t="str">
        <f>VLOOKUP(MONTH(G261),Key!$F$3:$G$14,2,0)</f>
        <v>Mar</v>
      </c>
      <c r="V261" s="30" t="str">
        <f>IFERROR(IF(MATCH(F261,'Test 6'!C$5:C$9,0)&gt;0,"RP"),"NON-RP")</f>
        <v>NON-RP</v>
      </c>
    </row>
    <row r="262" spans="2:22" x14ac:dyDescent="0.5">
      <c r="B262" s="30">
        <v>258</v>
      </c>
      <c r="C262" s="30" t="s">
        <v>611</v>
      </c>
      <c r="D262" s="31">
        <v>2021258</v>
      </c>
      <c r="E262" s="30" t="s">
        <v>612</v>
      </c>
      <c r="F262" s="53" t="s">
        <v>143</v>
      </c>
      <c r="G262" s="32">
        <v>44286</v>
      </c>
      <c r="H262" s="33">
        <v>0.70154181135287619</v>
      </c>
      <c r="I262" s="30" t="s">
        <v>574</v>
      </c>
      <c r="J262" s="34">
        <v>237420</v>
      </c>
      <c r="K262" s="35" t="s">
        <v>17</v>
      </c>
      <c r="L262" s="36">
        <v>42735.6</v>
      </c>
      <c r="M262" s="30" t="s">
        <v>32</v>
      </c>
      <c r="N262" s="30" t="s">
        <v>47</v>
      </c>
      <c r="O262" s="30" t="s">
        <v>1542</v>
      </c>
      <c r="P262" s="30" t="s">
        <v>1542</v>
      </c>
      <c r="Q262" s="30" t="str">
        <f>VLOOKUP(WEEKDAY(G262),Key!$B$3:$C$9,2,0)</f>
        <v>Wednesday</v>
      </c>
      <c r="R262" s="42" t="str">
        <f t="shared" si="12"/>
        <v>Within</v>
      </c>
      <c r="S262" s="41" t="str">
        <f t="shared" ref="S262:S325" si="13">IF(OR(Q262="Sunday",R262="outside"),"Red Flag","Pass")</f>
        <v>Pass</v>
      </c>
      <c r="T262" s="30" t="str">
        <f t="shared" ref="T262:T325" si="14">IF(AND(DATE(2021,4,1)&lt;=G262,G262&lt;=DATE(2022,3,31)),"FY 21-22","FY 20-21")</f>
        <v>FY 20-21</v>
      </c>
      <c r="U262" s="30" t="str">
        <f>VLOOKUP(MONTH(G262),Key!$F$3:$G$14,2,0)</f>
        <v>Mar</v>
      </c>
      <c r="V262" s="30" t="str">
        <f>IFERROR(IF(MATCH(F262,'Test 6'!C$5:C$9,0)&gt;0,"RP"),"NON-RP")</f>
        <v>NON-RP</v>
      </c>
    </row>
    <row r="263" spans="2:22" x14ac:dyDescent="0.5">
      <c r="B263" s="30">
        <v>259</v>
      </c>
      <c r="C263" s="30" t="s">
        <v>613</v>
      </c>
      <c r="D263" s="31">
        <v>2021259</v>
      </c>
      <c r="E263" s="30" t="s">
        <v>614</v>
      </c>
      <c r="F263" s="53" t="s">
        <v>229</v>
      </c>
      <c r="G263" s="32">
        <v>44286</v>
      </c>
      <c r="H263" s="33">
        <v>0.5866953913450349</v>
      </c>
      <c r="I263" s="30" t="s">
        <v>574</v>
      </c>
      <c r="J263" s="34">
        <v>367870</v>
      </c>
      <c r="K263" s="35" t="s">
        <v>17</v>
      </c>
      <c r="L263" s="36">
        <v>66216.599999999991</v>
      </c>
      <c r="M263" s="30" t="s">
        <v>32</v>
      </c>
      <c r="N263" s="30" t="s">
        <v>19</v>
      </c>
      <c r="O263" s="30" t="s">
        <v>1542</v>
      </c>
      <c r="P263" s="30" t="s">
        <v>1542</v>
      </c>
      <c r="Q263" s="30" t="str">
        <f>VLOOKUP(WEEKDAY(G263),Key!$B$3:$C$9,2,0)</f>
        <v>Wednesday</v>
      </c>
      <c r="R263" s="42" t="str">
        <f t="shared" si="12"/>
        <v>Within</v>
      </c>
      <c r="S263" s="41" t="str">
        <f t="shared" si="13"/>
        <v>Pass</v>
      </c>
      <c r="T263" s="30" t="str">
        <f t="shared" si="14"/>
        <v>FY 20-21</v>
      </c>
      <c r="U263" s="30" t="str">
        <f>VLOOKUP(MONTH(G263),Key!$F$3:$G$14,2,0)</f>
        <v>Mar</v>
      </c>
      <c r="V263" s="30" t="str">
        <f>IFERROR(IF(MATCH(F263,'Test 6'!C$5:C$9,0)&gt;0,"RP"),"NON-RP")</f>
        <v>NON-RP</v>
      </c>
    </row>
    <row r="264" spans="2:22" x14ac:dyDescent="0.5">
      <c r="B264" s="30">
        <v>260</v>
      </c>
      <c r="C264" s="30" t="s">
        <v>615</v>
      </c>
      <c r="D264" s="31">
        <v>21221</v>
      </c>
      <c r="E264" s="30" t="s">
        <v>616</v>
      </c>
      <c r="F264" s="53" t="s">
        <v>77</v>
      </c>
      <c r="G264" s="32">
        <v>44287</v>
      </c>
      <c r="H264" s="33">
        <v>0.68717400963776609</v>
      </c>
      <c r="I264" s="30" t="s">
        <v>16</v>
      </c>
      <c r="J264" s="34">
        <v>10252420</v>
      </c>
      <c r="K264" s="35" t="s">
        <v>17</v>
      </c>
      <c r="L264" s="36">
        <v>1845435.5999999999</v>
      </c>
      <c r="M264" s="30" t="s">
        <v>41</v>
      </c>
      <c r="N264" s="30" t="s">
        <v>42</v>
      </c>
      <c r="O264" s="30" t="s">
        <v>1575</v>
      </c>
      <c r="P264" s="30" t="s">
        <v>1583</v>
      </c>
      <c r="Q264" s="30" t="str">
        <f>VLOOKUP(WEEKDAY(G264),Key!$B$3:$C$9,2,0)</f>
        <v>Thursday</v>
      </c>
      <c r="R264" s="42" t="str">
        <f t="shared" si="12"/>
        <v>Within</v>
      </c>
      <c r="S264" s="41" t="str">
        <f t="shared" si="13"/>
        <v>Pass</v>
      </c>
      <c r="T264" s="30" t="str">
        <f t="shared" si="14"/>
        <v>FY 21-22</v>
      </c>
      <c r="U264" s="30" t="str">
        <f>VLOOKUP(MONTH(G264),Key!$F$3:$G$14,2,0)</f>
        <v>Apr</v>
      </c>
      <c r="V264" s="30" t="str">
        <f>IFERROR(IF(MATCH(F264,'Test 6'!C$5:C$9,0)&gt;0,"RP"),"NON-RP")</f>
        <v>NON-RP</v>
      </c>
    </row>
    <row r="265" spans="2:22" x14ac:dyDescent="0.5">
      <c r="B265" s="30">
        <v>261</v>
      </c>
      <c r="C265" s="30" t="s">
        <v>617</v>
      </c>
      <c r="D265" s="31">
        <v>21222</v>
      </c>
      <c r="E265" s="30" t="s">
        <v>618</v>
      </c>
      <c r="F265" s="53" t="s">
        <v>67</v>
      </c>
      <c r="G265" s="32">
        <v>44289</v>
      </c>
      <c r="H265" s="33">
        <v>0.71326469396817038</v>
      </c>
      <c r="I265" s="30" t="s">
        <v>16</v>
      </c>
      <c r="J265" s="34">
        <v>277050</v>
      </c>
      <c r="K265" s="35" t="s">
        <v>17</v>
      </c>
      <c r="L265" s="36">
        <v>49869</v>
      </c>
      <c r="M265" s="30" t="s">
        <v>28</v>
      </c>
      <c r="N265" s="30" t="s">
        <v>19</v>
      </c>
      <c r="O265" s="30" t="s">
        <v>1542</v>
      </c>
      <c r="P265" s="30" t="s">
        <v>1542</v>
      </c>
      <c r="Q265" s="30" t="str">
        <f>VLOOKUP(WEEKDAY(G265),Key!$B$3:$C$9,2,0)</f>
        <v>Saturday</v>
      </c>
      <c r="R265" s="42" t="str">
        <f t="shared" si="12"/>
        <v>Within</v>
      </c>
      <c r="S265" s="41" t="str">
        <f t="shared" si="13"/>
        <v>Pass</v>
      </c>
      <c r="T265" s="30" t="str">
        <f t="shared" si="14"/>
        <v>FY 21-22</v>
      </c>
      <c r="U265" s="30" t="str">
        <f>VLOOKUP(MONTH(G265),Key!$F$3:$G$14,2,0)</f>
        <v>Apr</v>
      </c>
      <c r="V265" s="30" t="str">
        <f>IFERROR(IF(MATCH(F265,'Test 6'!C$5:C$9,0)&gt;0,"RP"),"NON-RP")</f>
        <v>NON-RP</v>
      </c>
    </row>
    <row r="266" spans="2:22" x14ac:dyDescent="0.5">
      <c r="B266" s="30">
        <v>262</v>
      </c>
      <c r="C266" s="30" t="s">
        <v>619</v>
      </c>
      <c r="D266" s="31">
        <v>21223</v>
      </c>
      <c r="E266" s="30" t="s">
        <v>620</v>
      </c>
      <c r="F266" s="53" t="s">
        <v>184</v>
      </c>
      <c r="G266" s="32">
        <v>44289</v>
      </c>
      <c r="H266" s="33">
        <v>0.45250037116445874</v>
      </c>
      <c r="I266" s="30" t="s">
        <v>16</v>
      </c>
      <c r="J266" s="34">
        <v>234800</v>
      </c>
      <c r="K266" s="35" t="s">
        <v>17</v>
      </c>
      <c r="L266" s="36">
        <v>42264</v>
      </c>
      <c r="M266" s="30" t="s">
        <v>18</v>
      </c>
      <c r="N266" s="30" t="s">
        <v>24</v>
      </c>
      <c r="O266" s="30" t="s">
        <v>1542</v>
      </c>
      <c r="P266" s="30" t="s">
        <v>1542</v>
      </c>
      <c r="Q266" s="30" t="str">
        <f>VLOOKUP(WEEKDAY(G266),Key!$B$3:$C$9,2,0)</f>
        <v>Saturday</v>
      </c>
      <c r="R266" s="42" t="str">
        <f t="shared" si="12"/>
        <v>Within</v>
      </c>
      <c r="S266" s="41" t="str">
        <f t="shared" si="13"/>
        <v>Pass</v>
      </c>
      <c r="T266" s="30" t="str">
        <f t="shared" si="14"/>
        <v>FY 21-22</v>
      </c>
      <c r="U266" s="30" t="str">
        <f>VLOOKUP(MONTH(G266),Key!$F$3:$G$14,2,0)</f>
        <v>Apr</v>
      </c>
      <c r="V266" s="30" t="str">
        <f>IFERROR(IF(MATCH(F266,'Test 6'!C$5:C$9,0)&gt;0,"RP"),"NON-RP")</f>
        <v>NON-RP</v>
      </c>
    </row>
    <row r="267" spans="2:22" x14ac:dyDescent="0.5">
      <c r="B267" s="30">
        <v>263</v>
      </c>
      <c r="C267" s="30" t="s">
        <v>621</v>
      </c>
      <c r="D267" s="31">
        <v>21224</v>
      </c>
      <c r="E267" s="30" t="s">
        <v>622</v>
      </c>
      <c r="F267" s="53" t="s">
        <v>290</v>
      </c>
      <c r="G267" s="32">
        <v>44291</v>
      </c>
      <c r="H267" s="33">
        <v>0.66234818984976052</v>
      </c>
      <c r="I267" s="30" t="s">
        <v>16</v>
      </c>
      <c r="J267" s="34">
        <v>491400</v>
      </c>
      <c r="K267" s="35" t="s">
        <v>17</v>
      </c>
      <c r="L267" s="36">
        <v>88452</v>
      </c>
      <c r="M267" s="30" t="s">
        <v>46</v>
      </c>
      <c r="N267" s="30" t="s">
        <v>19</v>
      </c>
      <c r="O267" s="30" t="s">
        <v>1542</v>
      </c>
      <c r="P267" s="30" t="s">
        <v>1542</v>
      </c>
      <c r="Q267" s="30" t="str">
        <f>VLOOKUP(WEEKDAY(G267),Key!$B$3:$C$9,2,0)</f>
        <v>Monday</v>
      </c>
      <c r="R267" s="42" t="str">
        <f t="shared" si="12"/>
        <v>Within</v>
      </c>
      <c r="S267" s="41" t="str">
        <f t="shared" si="13"/>
        <v>Pass</v>
      </c>
      <c r="T267" s="30" t="str">
        <f t="shared" si="14"/>
        <v>FY 21-22</v>
      </c>
      <c r="U267" s="30" t="str">
        <f>VLOOKUP(MONTH(G267),Key!$F$3:$G$14,2,0)</f>
        <v>Apr</v>
      </c>
      <c r="V267" s="30" t="str">
        <f>IFERROR(IF(MATCH(F267,'Test 6'!C$5:C$9,0)&gt;0,"RP"),"NON-RP")</f>
        <v>NON-RP</v>
      </c>
    </row>
    <row r="268" spans="2:22" x14ac:dyDescent="0.5">
      <c r="B268" s="30">
        <v>264</v>
      </c>
      <c r="C268" s="30" t="s">
        <v>623</v>
      </c>
      <c r="D268" s="31">
        <v>21225</v>
      </c>
      <c r="E268" s="30" t="s">
        <v>624</v>
      </c>
      <c r="F268" s="53" t="s">
        <v>241</v>
      </c>
      <c r="G268" s="32">
        <v>44292</v>
      </c>
      <c r="H268" s="33">
        <v>0.57868741500716192</v>
      </c>
      <c r="I268" s="30" t="s">
        <v>16</v>
      </c>
      <c r="J268" s="34">
        <v>203540</v>
      </c>
      <c r="K268" s="35" t="s">
        <v>17</v>
      </c>
      <c r="L268" s="36">
        <v>36637.199999999997</v>
      </c>
      <c r="M268" s="30" t="s">
        <v>32</v>
      </c>
      <c r="N268" s="30" t="s">
        <v>51</v>
      </c>
      <c r="O268" s="30" t="s">
        <v>1542</v>
      </c>
      <c r="P268" s="30" t="s">
        <v>1542</v>
      </c>
      <c r="Q268" s="30" t="str">
        <f>VLOOKUP(WEEKDAY(G268),Key!$B$3:$C$9,2,0)</f>
        <v>Tuesday</v>
      </c>
      <c r="R268" s="42" t="str">
        <f t="shared" si="12"/>
        <v>Within</v>
      </c>
      <c r="S268" s="41" t="str">
        <f t="shared" si="13"/>
        <v>Pass</v>
      </c>
      <c r="T268" s="30" t="str">
        <f t="shared" si="14"/>
        <v>FY 21-22</v>
      </c>
      <c r="U268" s="30" t="str">
        <f>VLOOKUP(MONTH(G268),Key!$F$3:$G$14,2,0)</f>
        <v>Apr</v>
      </c>
      <c r="V268" s="30" t="str">
        <f>IFERROR(IF(MATCH(F268,'Test 6'!C$5:C$9,0)&gt;0,"RP"),"NON-RP")</f>
        <v>RP</v>
      </c>
    </row>
    <row r="269" spans="2:22" x14ac:dyDescent="0.5">
      <c r="B269" s="30">
        <v>265</v>
      </c>
      <c r="C269" s="30" t="s">
        <v>625</v>
      </c>
      <c r="D269" s="31">
        <v>21226</v>
      </c>
      <c r="E269" s="30" t="s">
        <v>626</v>
      </c>
      <c r="F269" s="53" t="s">
        <v>131</v>
      </c>
      <c r="G269" s="32">
        <v>44293</v>
      </c>
      <c r="H269" s="33">
        <v>0.7059923434802895</v>
      </c>
      <c r="I269" s="30" t="s">
        <v>16</v>
      </c>
      <c r="J269" s="34">
        <v>255220</v>
      </c>
      <c r="K269" s="35" t="s">
        <v>17</v>
      </c>
      <c r="L269" s="36">
        <v>45939.6</v>
      </c>
      <c r="M269" s="30" t="s">
        <v>46</v>
      </c>
      <c r="N269" s="30" t="s">
        <v>51</v>
      </c>
      <c r="O269" s="30" t="s">
        <v>1542</v>
      </c>
      <c r="P269" s="30" t="s">
        <v>1542</v>
      </c>
      <c r="Q269" s="30" t="str">
        <f>VLOOKUP(WEEKDAY(G269),Key!$B$3:$C$9,2,0)</f>
        <v>Wednesday</v>
      </c>
      <c r="R269" s="42" t="str">
        <f t="shared" si="12"/>
        <v>Within</v>
      </c>
      <c r="S269" s="41" t="str">
        <f t="shared" si="13"/>
        <v>Pass</v>
      </c>
      <c r="T269" s="30" t="str">
        <f t="shared" si="14"/>
        <v>FY 21-22</v>
      </c>
      <c r="U269" s="30" t="str">
        <f>VLOOKUP(MONTH(G269),Key!$F$3:$G$14,2,0)</f>
        <v>Apr</v>
      </c>
      <c r="V269" s="30" t="str">
        <f>IFERROR(IF(MATCH(F269,'Test 6'!C$5:C$9,0)&gt;0,"RP"),"NON-RP")</f>
        <v>NON-RP</v>
      </c>
    </row>
    <row r="270" spans="2:22" x14ac:dyDescent="0.5">
      <c r="B270" s="30">
        <v>266</v>
      </c>
      <c r="C270" s="30" t="s">
        <v>627</v>
      </c>
      <c r="D270" s="31">
        <v>21227</v>
      </c>
      <c r="E270" s="30" t="s">
        <v>628</v>
      </c>
      <c r="F270" s="53" t="s">
        <v>77</v>
      </c>
      <c r="G270" s="32">
        <v>44294</v>
      </c>
      <c r="H270" s="33">
        <v>0.67593861754604534</v>
      </c>
      <c r="I270" s="30" t="s">
        <v>16</v>
      </c>
      <c r="J270" s="34">
        <v>233510</v>
      </c>
      <c r="K270" s="35" t="s">
        <v>17</v>
      </c>
      <c r="L270" s="36">
        <v>42031.799999999996</v>
      </c>
      <c r="M270" s="30" t="s">
        <v>61</v>
      </c>
      <c r="N270" s="30" t="s">
        <v>24</v>
      </c>
      <c r="O270" s="30" t="s">
        <v>1542</v>
      </c>
      <c r="P270" s="30" t="s">
        <v>1542</v>
      </c>
      <c r="Q270" s="30" t="str">
        <f>VLOOKUP(WEEKDAY(G270),Key!$B$3:$C$9,2,0)</f>
        <v>Thursday</v>
      </c>
      <c r="R270" s="42" t="str">
        <f t="shared" si="12"/>
        <v>Within</v>
      </c>
      <c r="S270" s="41" t="str">
        <f t="shared" si="13"/>
        <v>Pass</v>
      </c>
      <c r="T270" s="30" t="str">
        <f t="shared" si="14"/>
        <v>FY 21-22</v>
      </c>
      <c r="U270" s="30" t="str">
        <f>VLOOKUP(MONTH(G270),Key!$F$3:$G$14,2,0)</f>
        <v>Apr</v>
      </c>
      <c r="V270" s="30" t="str">
        <f>IFERROR(IF(MATCH(F270,'Test 6'!C$5:C$9,0)&gt;0,"RP"),"NON-RP")</f>
        <v>NON-RP</v>
      </c>
    </row>
    <row r="271" spans="2:22" x14ac:dyDescent="0.5">
      <c r="B271" s="30">
        <v>267</v>
      </c>
      <c r="C271" s="30" t="s">
        <v>629</v>
      </c>
      <c r="D271" s="31">
        <v>21228</v>
      </c>
      <c r="E271" s="30" t="s">
        <v>630</v>
      </c>
      <c r="F271" s="53" t="s">
        <v>35</v>
      </c>
      <c r="G271" s="32">
        <v>44294</v>
      </c>
      <c r="H271" s="33">
        <v>0.51621772735136373</v>
      </c>
      <c r="I271" s="30" t="s">
        <v>16</v>
      </c>
      <c r="J271" s="34">
        <v>287430</v>
      </c>
      <c r="K271" s="35" t="s">
        <v>17</v>
      </c>
      <c r="L271" s="36">
        <v>51737.4</v>
      </c>
      <c r="M271" s="30" t="s">
        <v>32</v>
      </c>
      <c r="N271" s="30" t="s">
        <v>51</v>
      </c>
      <c r="O271" s="30" t="s">
        <v>1542</v>
      </c>
      <c r="P271" s="30" t="s">
        <v>1542</v>
      </c>
      <c r="Q271" s="30" t="str">
        <f>VLOOKUP(WEEKDAY(G271),Key!$B$3:$C$9,2,0)</f>
        <v>Thursday</v>
      </c>
      <c r="R271" s="42" t="str">
        <f t="shared" si="12"/>
        <v>Within</v>
      </c>
      <c r="S271" s="41" t="str">
        <f t="shared" si="13"/>
        <v>Pass</v>
      </c>
      <c r="T271" s="30" t="str">
        <f t="shared" si="14"/>
        <v>FY 21-22</v>
      </c>
      <c r="U271" s="30" t="str">
        <f>VLOOKUP(MONTH(G271),Key!$F$3:$G$14,2,0)</f>
        <v>Apr</v>
      </c>
      <c r="V271" s="30" t="str">
        <f>IFERROR(IF(MATCH(F271,'Test 6'!C$5:C$9,0)&gt;0,"RP"),"NON-RP")</f>
        <v>NON-RP</v>
      </c>
    </row>
    <row r="272" spans="2:22" x14ac:dyDescent="0.5">
      <c r="B272" s="30">
        <v>268</v>
      </c>
      <c r="C272" s="30" t="s">
        <v>631</v>
      </c>
      <c r="D272" s="31">
        <v>21229</v>
      </c>
      <c r="E272" s="30" t="s">
        <v>632</v>
      </c>
      <c r="F272" s="53" t="s">
        <v>84</v>
      </c>
      <c r="G272" s="32">
        <v>44295</v>
      </c>
      <c r="H272" s="33">
        <v>0.5722659981975613</v>
      </c>
      <c r="I272" s="30" t="s">
        <v>16</v>
      </c>
      <c r="J272" s="34">
        <v>448190</v>
      </c>
      <c r="K272" s="35" t="s">
        <v>17</v>
      </c>
      <c r="L272" s="36">
        <v>80674.2</v>
      </c>
      <c r="M272" s="30" t="s">
        <v>61</v>
      </c>
      <c r="N272" s="30" t="s">
        <v>47</v>
      </c>
      <c r="O272" s="30" t="s">
        <v>1542</v>
      </c>
      <c r="P272" s="30" t="s">
        <v>1542</v>
      </c>
      <c r="Q272" s="30" t="str">
        <f>VLOOKUP(WEEKDAY(G272),Key!$B$3:$C$9,2,0)</f>
        <v>Friday</v>
      </c>
      <c r="R272" s="42" t="str">
        <f t="shared" si="12"/>
        <v>Within</v>
      </c>
      <c r="S272" s="41" t="str">
        <f t="shared" si="13"/>
        <v>Pass</v>
      </c>
      <c r="T272" s="30" t="str">
        <f t="shared" si="14"/>
        <v>FY 21-22</v>
      </c>
      <c r="U272" s="30" t="str">
        <f>VLOOKUP(MONTH(G272),Key!$F$3:$G$14,2,0)</f>
        <v>Apr</v>
      </c>
      <c r="V272" s="30" t="str">
        <f>IFERROR(IF(MATCH(F272,'Test 6'!C$5:C$9,0)&gt;0,"RP"),"NON-RP")</f>
        <v>NON-RP</v>
      </c>
    </row>
    <row r="273" spans="2:22" x14ac:dyDescent="0.5">
      <c r="B273" s="30">
        <v>269</v>
      </c>
      <c r="C273" s="30" t="s">
        <v>633</v>
      </c>
      <c r="D273" s="31">
        <v>212210</v>
      </c>
      <c r="E273" s="30" t="s">
        <v>634</v>
      </c>
      <c r="F273" s="53" t="s">
        <v>190</v>
      </c>
      <c r="G273" s="32">
        <v>44295</v>
      </c>
      <c r="H273" s="33">
        <v>0.71964723592931634</v>
      </c>
      <c r="I273" s="30" t="s">
        <v>16</v>
      </c>
      <c r="J273" s="34">
        <v>443830</v>
      </c>
      <c r="K273" s="35" t="s">
        <v>17</v>
      </c>
      <c r="L273" s="36">
        <v>79889.399999999994</v>
      </c>
      <c r="M273" s="30" t="s">
        <v>32</v>
      </c>
      <c r="N273" s="30" t="s">
        <v>68</v>
      </c>
      <c r="O273" s="30" t="s">
        <v>1542</v>
      </c>
      <c r="P273" s="30" t="s">
        <v>1542</v>
      </c>
      <c r="Q273" s="30" t="str">
        <f>VLOOKUP(WEEKDAY(G273),Key!$B$3:$C$9,2,0)</f>
        <v>Friday</v>
      </c>
      <c r="R273" s="42" t="str">
        <f t="shared" si="12"/>
        <v>Within</v>
      </c>
      <c r="S273" s="41" t="str">
        <f t="shared" si="13"/>
        <v>Pass</v>
      </c>
      <c r="T273" s="30" t="str">
        <f t="shared" si="14"/>
        <v>FY 21-22</v>
      </c>
      <c r="U273" s="30" t="str">
        <f>VLOOKUP(MONTH(G273),Key!$F$3:$G$14,2,0)</f>
        <v>Apr</v>
      </c>
      <c r="V273" s="30" t="str">
        <f>IFERROR(IF(MATCH(F273,'Test 6'!C$5:C$9,0)&gt;0,"RP"),"NON-RP")</f>
        <v>NON-RP</v>
      </c>
    </row>
    <row r="274" spans="2:22" x14ac:dyDescent="0.5">
      <c r="B274" s="30">
        <v>270</v>
      </c>
      <c r="C274" s="30" t="s">
        <v>635</v>
      </c>
      <c r="D274" s="31">
        <v>212211</v>
      </c>
      <c r="E274" s="30" t="s">
        <v>636</v>
      </c>
      <c r="F274" s="53" t="s">
        <v>229</v>
      </c>
      <c r="G274" s="32">
        <v>44298</v>
      </c>
      <c r="H274" s="33">
        <v>0.64905450160572231</v>
      </c>
      <c r="I274" s="30" t="s">
        <v>16</v>
      </c>
      <c r="J274" s="34">
        <v>322290</v>
      </c>
      <c r="K274" s="35" t="s">
        <v>17</v>
      </c>
      <c r="L274" s="36">
        <v>58012.2</v>
      </c>
      <c r="M274" s="30" t="s">
        <v>46</v>
      </c>
      <c r="N274" s="30" t="s">
        <v>19</v>
      </c>
      <c r="O274" s="30" t="s">
        <v>1542</v>
      </c>
      <c r="P274" s="30" t="s">
        <v>1542</v>
      </c>
      <c r="Q274" s="30" t="str">
        <f>VLOOKUP(WEEKDAY(G274),Key!$B$3:$C$9,2,0)</f>
        <v>Monday</v>
      </c>
      <c r="R274" s="42" t="str">
        <f t="shared" si="12"/>
        <v>Within</v>
      </c>
      <c r="S274" s="41" t="str">
        <f t="shared" si="13"/>
        <v>Pass</v>
      </c>
      <c r="T274" s="30" t="str">
        <f t="shared" si="14"/>
        <v>FY 21-22</v>
      </c>
      <c r="U274" s="30" t="str">
        <f>VLOOKUP(MONTH(G274),Key!$F$3:$G$14,2,0)</f>
        <v>Apr</v>
      </c>
      <c r="V274" s="30" t="str">
        <f>IFERROR(IF(MATCH(F274,'Test 6'!C$5:C$9,0)&gt;0,"RP"),"NON-RP")</f>
        <v>NON-RP</v>
      </c>
    </row>
    <row r="275" spans="2:22" x14ac:dyDescent="0.5">
      <c r="B275" s="30">
        <v>271</v>
      </c>
      <c r="C275" s="30" t="s">
        <v>637</v>
      </c>
      <c r="D275" s="31">
        <v>212212</v>
      </c>
      <c r="E275" s="30" t="s">
        <v>638</v>
      </c>
      <c r="F275" s="53" t="s">
        <v>577</v>
      </c>
      <c r="G275" s="32">
        <v>44298</v>
      </c>
      <c r="H275" s="33">
        <v>0.72646511506710842</v>
      </c>
      <c r="I275" s="30" t="s">
        <v>16</v>
      </c>
      <c r="J275" s="34">
        <v>202040</v>
      </c>
      <c r="K275" s="35" t="s">
        <v>17</v>
      </c>
      <c r="L275" s="36">
        <v>36367.199999999997</v>
      </c>
      <c r="M275" s="30" t="s">
        <v>23</v>
      </c>
      <c r="N275" s="30" t="s">
        <v>51</v>
      </c>
      <c r="O275" s="30" t="s">
        <v>1542</v>
      </c>
      <c r="P275" s="30" t="s">
        <v>1542</v>
      </c>
      <c r="Q275" s="30" t="str">
        <f>VLOOKUP(WEEKDAY(G275),Key!$B$3:$C$9,2,0)</f>
        <v>Monday</v>
      </c>
      <c r="R275" s="42" t="str">
        <f t="shared" si="12"/>
        <v>Within</v>
      </c>
      <c r="S275" s="41" t="str">
        <f t="shared" si="13"/>
        <v>Pass</v>
      </c>
      <c r="T275" s="30" t="str">
        <f t="shared" si="14"/>
        <v>FY 21-22</v>
      </c>
      <c r="U275" s="30" t="str">
        <f>VLOOKUP(MONTH(G275),Key!$F$3:$G$14,2,0)</f>
        <v>Apr</v>
      </c>
      <c r="V275" s="30" t="str">
        <f>IFERROR(IF(MATCH(F275,'Test 6'!C$5:C$9,0)&gt;0,"RP"),"NON-RP")</f>
        <v>RP</v>
      </c>
    </row>
    <row r="276" spans="2:22" x14ac:dyDescent="0.5">
      <c r="B276" s="30">
        <v>272</v>
      </c>
      <c r="C276" s="30" t="s">
        <v>639</v>
      </c>
      <c r="D276" s="31">
        <v>212213</v>
      </c>
      <c r="E276" s="30" t="s">
        <v>640</v>
      </c>
      <c r="F276" s="53" t="s">
        <v>77</v>
      </c>
      <c r="G276" s="32">
        <v>44298</v>
      </c>
      <c r="H276" s="33">
        <v>0.54182787809783195</v>
      </c>
      <c r="I276" s="30" t="s">
        <v>16</v>
      </c>
      <c r="J276" s="34">
        <v>254090</v>
      </c>
      <c r="K276" s="35" t="s">
        <v>17</v>
      </c>
      <c r="L276" s="36">
        <v>45736.2</v>
      </c>
      <c r="M276" s="30" t="s">
        <v>61</v>
      </c>
      <c r="N276" s="30" t="s">
        <v>68</v>
      </c>
      <c r="O276" s="30" t="s">
        <v>1542</v>
      </c>
      <c r="P276" s="30" t="s">
        <v>1542</v>
      </c>
      <c r="Q276" s="30" t="str">
        <f>VLOOKUP(WEEKDAY(G276),Key!$B$3:$C$9,2,0)</f>
        <v>Monday</v>
      </c>
      <c r="R276" s="42" t="str">
        <f t="shared" si="12"/>
        <v>Within</v>
      </c>
      <c r="S276" s="41" t="str">
        <f t="shared" si="13"/>
        <v>Pass</v>
      </c>
      <c r="T276" s="30" t="str">
        <f t="shared" si="14"/>
        <v>FY 21-22</v>
      </c>
      <c r="U276" s="30" t="str">
        <f>VLOOKUP(MONTH(G276),Key!$F$3:$G$14,2,0)</f>
        <v>Apr</v>
      </c>
      <c r="V276" s="30" t="str">
        <f>IFERROR(IF(MATCH(F276,'Test 6'!C$5:C$9,0)&gt;0,"RP"),"NON-RP")</f>
        <v>NON-RP</v>
      </c>
    </row>
    <row r="277" spans="2:22" x14ac:dyDescent="0.5">
      <c r="B277" s="30">
        <v>273</v>
      </c>
      <c r="C277" s="30" t="s">
        <v>641</v>
      </c>
      <c r="D277" s="31">
        <v>212214</v>
      </c>
      <c r="E277" s="30" t="s">
        <v>642</v>
      </c>
      <c r="F277" s="53" t="s">
        <v>187</v>
      </c>
      <c r="G277" s="32">
        <v>44298</v>
      </c>
      <c r="H277" s="33">
        <v>0.52878648590141553</v>
      </c>
      <c r="I277" s="30" t="s">
        <v>16</v>
      </c>
      <c r="J277" s="34">
        <v>449120</v>
      </c>
      <c r="K277" s="35" t="s">
        <v>17</v>
      </c>
      <c r="L277" s="36">
        <v>80841.599999999991</v>
      </c>
      <c r="M277" s="30" t="s">
        <v>32</v>
      </c>
      <c r="N277" s="30" t="s">
        <v>19</v>
      </c>
      <c r="O277" s="30" t="s">
        <v>1542</v>
      </c>
      <c r="P277" s="30" t="s">
        <v>1542</v>
      </c>
      <c r="Q277" s="30" t="str">
        <f>VLOOKUP(WEEKDAY(G277),Key!$B$3:$C$9,2,0)</f>
        <v>Monday</v>
      </c>
      <c r="R277" s="42" t="str">
        <f t="shared" si="12"/>
        <v>Within</v>
      </c>
      <c r="S277" s="41" t="str">
        <f t="shared" si="13"/>
        <v>Pass</v>
      </c>
      <c r="T277" s="30" t="str">
        <f t="shared" si="14"/>
        <v>FY 21-22</v>
      </c>
      <c r="U277" s="30" t="str">
        <f>VLOOKUP(MONTH(G277),Key!$F$3:$G$14,2,0)</f>
        <v>Apr</v>
      </c>
      <c r="V277" s="30" t="str">
        <f>IFERROR(IF(MATCH(F277,'Test 6'!C$5:C$9,0)&gt;0,"RP"),"NON-RP")</f>
        <v>NON-RP</v>
      </c>
    </row>
    <row r="278" spans="2:22" x14ac:dyDescent="0.5">
      <c r="B278" s="30">
        <v>274</v>
      </c>
      <c r="C278" s="30" t="s">
        <v>643</v>
      </c>
      <c r="D278" s="31">
        <v>212215</v>
      </c>
      <c r="E278" s="30" t="s">
        <v>644</v>
      </c>
      <c r="F278" s="53" t="s">
        <v>229</v>
      </c>
      <c r="G278" s="32">
        <v>44300</v>
      </c>
      <c r="H278" s="33">
        <v>0.54028302997851352</v>
      </c>
      <c r="I278" s="30" t="s">
        <v>16</v>
      </c>
      <c r="J278" s="34">
        <v>403890</v>
      </c>
      <c r="K278" s="35" t="s">
        <v>17</v>
      </c>
      <c r="L278" s="36">
        <v>72700.2</v>
      </c>
      <c r="M278" s="30" t="s">
        <v>46</v>
      </c>
      <c r="N278" s="30" t="s">
        <v>51</v>
      </c>
      <c r="O278" s="30" t="s">
        <v>1542</v>
      </c>
      <c r="P278" s="30" t="s">
        <v>1542</v>
      </c>
      <c r="Q278" s="30" t="str">
        <f>VLOOKUP(WEEKDAY(G278),Key!$B$3:$C$9,2,0)</f>
        <v>Wednesday</v>
      </c>
      <c r="R278" s="42" t="str">
        <f t="shared" si="12"/>
        <v>Within</v>
      </c>
      <c r="S278" s="41" t="str">
        <f t="shared" si="13"/>
        <v>Pass</v>
      </c>
      <c r="T278" s="30" t="str">
        <f t="shared" si="14"/>
        <v>FY 21-22</v>
      </c>
      <c r="U278" s="30" t="str">
        <f>VLOOKUP(MONTH(G278),Key!$F$3:$G$14,2,0)</f>
        <v>Apr</v>
      </c>
      <c r="V278" s="30" t="str">
        <f>IFERROR(IF(MATCH(F278,'Test 6'!C$5:C$9,0)&gt;0,"RP"),"NON-RP")</f>
        <v>NON-RP</v>
      </c>
    </row>
    <row r="279" spans="2:22" x14ac:dyDescent="0.5">
      <c r="B279" s="30">
        <v>275</v>
      </c>
      <c r="C279" s="30" t="s">
        <v>645</v>
      </c>
      <c r="D279" s="31">
        <v>212216</v>
      </c>
      <c r="E279" s="30" t="s">
        <v>646</v>
      </c>
      <c r="F279" s="53" t="s">
        <v>308</v>
      </c>
      <c r="G279" s="32">
        <v>44302</v>
      </c>
      <c r="H279" s="33">
        <v>0.61102199617060737</v>
      </c>
      <c r="I279" s="30" t="s">
        <v>16</v>
      </c>
      <c r="J279" s="34">
        <v>284840</v>
      </c>
      <c r="K279" s="35" t="s">
        <v>17</v>
      </c>
      <c r="L279" s="36">
        <v>51271.199999999997</v>
      </c>
      <c r="M279" s="30" t="s">
        <v>28</v>
      </c>
      <c r="N279" s="30" t="s">
        <v>47</v>
      </c>
      <c r="O279" s="30" t="s">
        <v>1542</v>
      </c>
      <c r="P279" s="30" t="s">
        <v>1542</v>
      </c>
      <c r="Q279" s="30" t="str">
        <f>VLOOKUP(WEEKDAY(G279),Key!$B$3:$C$9,2,0)</f>
        <v>Friday</v>
      </c>
      <c r="R279" s="42" t="str">
        <f t="shared" si="12"/>
        <v>Within</v>
      </c>
      <c r="S279" s="41" t="str">
        <f t="shared" si="13"/>
        <v>Pass</v>
      </c>
      <c r="T279" s="30" t="str">
        <f t="shared" si="14"/>
        <v>FY 21-22</v>
      </c>
      <c r="U279" s="30" t="str">
        <f>VLOOKUP(MONTH(G279),Key!$F$3:$G$14,2,0)</f>
        <v>Apr</v>
      </c>
      <c r="V279" s="30" t="str">
        <f>IFERROR(IF(MATCH(F279,'Test 6'!C$5:C$9,0)&gt;0,"RP"),"NON-RP")</f>
        <v>RP</v>
      </c>
    </row>
    <row r="280" spans="2:22" x14ac:dyDescent="0.5">
      <c r="B280" s="30">
        <v>276</v>
      </c>
      <c r="C280" s="30" t="s">
        <v>647</v>
      </c>
      <c r="D280" s="31">
        <v>212217</v>
      </c>
      <c r="E280" s="30" t="s">
        <v>648</v>
      </c>
      <c r="F280" s="53" t="s">
        <v>577</v>
      </c>
      <c r="G280" s="32">
        <v>44302</v>
      </c>
      <c r="H280" s="33">
        <v>0.73286121582172581</v>
      </c>
      <c r="I280" s="30" t="s">
        <v>16</v>
      </c>
      <c r="J280" s="34">
        <v>400460</v>
      </c>
      <c r="K280" s="35" t="s">
        <v>17</v>
      </c>
      <c r="L280" s="36">
        <v>72082.8</v>
      </c>
      <c r="M280" s="30" t="s">
        <v>23</v>
      </c>
      <c r="N280" s="30" t="s">
        <v>24</v>
      </c>
      <c r="O280" s="30" t="s">
        <v>1542</v>
      </c>
      <c r="P280" s="30" t="s">
        <v>1542</v>
      </c>
      <c r="Q280" s="30" t="str">
        <f>VLOOKUP(WEEKDAY(G280),Key!$B$3:$C$9,2,0)</f>
        <v>Friday</v>
      </c>
      <c r="R280" s="42" t="str">
        <f t="shared" si="12"/>
        <v>Within</v>
      </c>
      <c r="S280" s="41" t="str">
        <f t="shared" si="13"/>
        <v>Pass</v>
      </c>
      <c r="T280" s="30" t="str">
        <f t="shared" si="14"/>
        <v>FY 21-22</v>
      </c>
      <c r="U280" s="30" t="str">
        <f>VLOOKUP(MONTH(G280),Key!$F$3:$G$14,2,0)</f>
        <v>Apr</v>
      </c>
      <c r="V280" s="30" t="str">
        <f>IFERROR(IF(MATCH(F280,'Test 6'!C$5:C$9,0)&gt;0,"RP"),"NON-RP")</f>
        <v>RP</v>
      </c>
    </row>
    <row r="281" spans="2:22" x14ac:dyDescent="0.5">
      <c r="B281" s="30">
        <v>277</v>
      </c>
      <c r="C281" s="30" t="s">
        <v>649</v>
      </c>
      <c r="D281" s="31">
        <v>212218</v>
      </c>
      <c r="E281" s="30" t="s">
        <v>650</v>
      </c>
      <c r="F281" s="53" t="s">
        <v>332</v>
      </c>
      <c r="G281" s="32">
        <v>44303</v>
      </c>
      <c r="H281" s="33">
        <v>0.4693045191057163</v>
      </c>
      <c r="I281" s="30" t="s">
        <v>16</v>
      </c>
      <c r="J281" s="34">
        <v>281550</v>
      </c>
      <c r="K281" s="35" t="s">
        <v>17</v>
      </c>
      <c r="L281" s="36">
        <v>50679</v>
      </c>
      <c r="M281" s="30" t="s">
        <v>28</v>
      </c>
      <c r="N281" s="30" t="s">
        <v>68</v>
      </c>
      <c r="O281" s="30" t="s">
        <v>1542</v>
      </c>
      <c r="P281" s="30" t="s">
        <v>1542</v>
      </c>
      <c r="Q281" s="30" t="str">
        <f>VLOOKUP(WEEKDAY(G281),Key!$B$3:$C$9,2,0)</f>
        <v>Saturday</v>
      </c>
      <c r="R281" s="42" t="str">
        <f t="shared" si="12"/>
        <v>Within</v>
      </c>
      <c r="S281" s="41" t="str">
        <f t="shared" si="13"/>
        <v>Pass</v>
      </c>
      <c r="T281" s="30" t="str">
        <f t="shared" si="14"/>
        <v>FY 21-22</v>
      </c>
      <c r="U281" s="30" t="str">
        <f>VLOOKUP(MONTH(G281),Key!$F$3:$G$14,2,0)</f>
        <v>Apr</v>
      </c>
      <c r="V281" s="30" t="str">
        <f>IFERROR(IF(MATCH(F281,'Test 6'!C$5:C$9,0)&gt;0,"RP"),"NON-RP")</f>
        <v>NON-RP</v>
      </c>
    </row>
    <row r="282" spans="2:22" x14ac:dyDescent="0.5">
      <c r="B282" s="30">
        <v>278</v>
      </c>
      <c r="C282" s="30" t="s">
        <v>651</v>
      </c>
      <c r="D282" s="31">
        <v>212219</v>
      </c>
      <c r="E282" s="30" t="s">
        <v>652</v>
      </c>
      <c r="F282" s="53" t="s">
        <v>60</v>
      </c>
      <c r="G282" s="32">
        <v>44303</v>
      </c>
      <c r="H282" s="33">
        <v>0.44642476800694869</v>
      </c>
      <c r="I282" s="30" t="s">
        <v>16</v>
      </c>
      <c r="J282" s="34">
        <v>283210</v>
      </c>
      <c r="K282" s="35" t="s">
        <v>17</v>
      </c>
      <c r="L282" s="36">
        <v>50977.799999999996</v>
      </c>
      <c r="M282" s="30" t="s">
        <v>46</v>
      </c>
      <c r="N282" s="30" t="s">
        <v>19</v>
      </c>
      <c r="O282" s="30" t="s">
        <v>1542</v>
      </c>
      <c r="P282" s="30" t="s">
        <v>1542</v>
      </c>
      <c r="Q282" s="30" t="str">
        <f>VLOOKUP(WEEKDAY(G282),Key!$B$3:$C$9,2,0)</f>
        <v>Saturday</v>
      </c>
      <c r="R282" s="42" t="str">
        <f t="shared" si="12"/>
        <v>Within</v>
      </c>
      <c r="S282" s="41" t="str">
        <f t="shared" si="13"/>
        <v>Pass</v>
      </c>
      <c r="T282" s="30" t="str">
        <f t="shared" si="14"/>
        <v>FY 21-22</v>
      </c>
      <c r="U282" s="30" t="str">
        <f>VLOOKUP(MONTH(G282),Key!$F$3:$G$14,2,0)</f>
        <v>Apr</v>
      </c>
      <c r="V282" s="30" t="str">
        <f>IFERROR(IF(MATCH(F282,'Test 6'!C$5:C$9,0)&gt;0,"RP"),"NON-RP")</f>
        <v>NON-RP</v>
      </c>
    </row>
    <row r="283" spans="2:22" x14ac:dyDescent="0.5">
      <c r="B283" s="30">
        <v>279</v>
      </c>
      <c r="C283" s="30" t="s">
        <v>653</v>
      </c>
      <c r="D283" s="31">
        <v>212220</v>
      </c>
      <c r="E283" s="30" t="s">
        <v>654</v>
      </c>
      <c r="F283" s="53" t="s">
        <v>84</v>
      </c>
      <c r="G283" s="32">
        <v>44305</v>
      </c>
      <c r="H283" s="33">
        <v>0.72556613051787955</v>
      </c>
      <c r="I283" s="30" t="s">
        <v>16</v>
      </c>
      <c r="J283" s="34">
        <v>277600</v>
      </c>
      <c r="K283" s="35" t="s">
        <v>17</v>
      </c>
      <c r="L283" s="36">
        <v>49968</v>
      </c>
      <c r="M283" s="30" t="s">
        <v>37</v>
      </c>
      <c r="N283" s="30" t="s">
        <v>68</v>
      </c>
      <c r="O283" s="30" t="s">
        <v>1542</v>
      </c>
      <c r="P283" s="30" t="s">
        <v>1542</v>
      </c>
      <c r="Q283" s="30" t="str">
        <f>VLOOKUP(WEEKDAY(G283),Key!$B$3:$C$9,2,0)</f>
        <v>Monday</v>
      </c>
      <c r="R283" s="42" t="str">
        <f t="shared" si="12"/>
        <v>Within</v>
      </c>
      <c r="S283" s="41" t="str">
        <f t="shared" si="13"/>
        <v>Pass</v>
      </c>
      <c r="T283" s="30" t="str">
        <f t="shared" si="14"/>
        <v>FY 21-22</v>
      </c>
      <c r="U283" s="30" t="str">
        <f>VLOOKUP(MONTH(G283),Key!$F$3:$G$14,2,0)</f>
        <v>Apr</v>
      </c>
      <c r="V283" s="30" t="str">
        <f>IFERROR(IF(MATCH(F283,'Test 6'!C$5:C$9,0)&gt;0,"RP"),"NON-RP")</f>
        <v>NON-RP</v>
      </c>
    </row>
    <row r="284" spans="2:22" x14ac:dyDescent="0.5">
      <c r="B284" s="30">
        <v>280</v>
      </c>
      <c r="C284" s="30" t="s">
        <v>655</v>
      </c>
      <c r="D284" s="31">
        <v>212221</v>
      </c>
      <c r="E284" s="30" t="s">
        <v>656</v>
      </c>
      <c r="F284" s="53" t="s">
        <v>269</v>
      </c>
      <c r="G284" s="32">
        <v>44305</v>
      </c>
      <c r="H284" s="33">
        <v>0.49675669700460834</v>
      </c>
      <c r="I284" s="30" t="s">
        <v>16</v>
      </c>
      <c r="J284" s="34">
        <v>24700</v>
      </c>
      <c r="K284" s="35" t="s">
        <v>17</v>
      </c>
      <c r="L284" s="36">
        <v>4446</v>
      </c>
      <c r="M284" s="30" t="s">
        <v>168</v>
      </c>
      <c r="N284" s="30" t="s">
        <v>28</v>
      </c>
      <c r="O284" s="30" t="s">
        <v>1542</v>
      </c>
      <c r="P284" s="30" t="s">
        <v>1542</v>
      </c>
      <c r="Q284" s="30" t="str">
        <f>VLOOKUP(WEEKDAY(G284),Key!$B$3:$C$9,2,0)</f>
        <v>Monday</v>
      </c>
      <c r="R284" s="42" t="str">
        <f t="shared" si="12"/>
        <v>Within</v>
      </c>
      <c r="S284" s="41" t="str">
        <f t="shared" si="13"/>
        <v>Pass</v>
      </c>
      <c r="T284" s="30" t="str">
        <f t="shared" si="14"/>
        <v>FY 21-22</v>
      </c>
      <c r="U284" s="30" t="str">
        <f>VLOOKUP(MONTH(G284),Key!$F$3:$G$14,2,0)</f>
        <v>Apr</v>
      </c>
      <c r="V284" s="30" t="str">
        <f>IFERROR(IF(MATCH(F284,'Test 6'!C$5:C$9,0)&gt;0,"RP"),"NON-RP")</f>
        <v>NON-RP</v>
      </c>
    </row>
    <row r="285" spans="2:22" x14ac:dyDescent="0.5">
      <c r="B285" s="30">
        <v>281</v>
      </c>
      <c r="C285" s="30" t="s">
        <v>657</v>
      </c>
      <c r="D285" s="31">
        <v>212222</v>
      </c>
      <c r="E285" s="30" t="s">
        <v>658</v>
      </c>
      <c r="F285" s="53" t="s">
        <v>187</v>
      </c>
      <c r="G285" s="32">
        <v>44305</v>
      </c>
      <c r="H285" s="33">
        <v>0.49250767562739151</v>
      </c>
      <c r="I285" s="30" t="s">
        <v>16</v>
      </c>
      <c r="J285" s="34">
        <v>449990</v>
      </c>
      <c r="K285" s="35" t="s">
        <v>17</v>
      </c>
      <c r="L285" s="36">
        <v>80998.2</v>
      </c>
      <c r="M285" s="30" t="s">
        <v>18</v>
      </c>
      <c r="N285" s="30" t="s">
        <v>51</v>
      </c>
      <c r="O285" s="30" t="s">
        <v>1542</v>
      </c>
      <c r="P285" s="30" t="s">
        <v>1542</v>
      </c>
      <c r="Q285" s="30" t="str">
        <f>VLOOKUP(WEEKDAY(G285),Key!$B$3:$C$9,2,0)</f>
        <v>Monday</v>
      </c>
      <c r="R285" s="42" t="str">
        <f t="shared" si="12"/>
        <v>Within</v>
      </c>
      <c r="S285" s="41" t="str">
        <f t="shared" si="13"/>
        <v>Pass</v>
      </c>
      <c r="T285" s="30" t="str">
        <f t="shared" si="14"/>
        <v>FY 21-22</v>
      </c>
      <c r="U285" s="30" t="str">
        <f>VLOOKUP(MONTH(G285),Key!$F$3:$G$14,2,0)</f>
        <v>Apr</v>
      </c>
      <c r="V285" s="30" t="str">
        <f>IFERROR(IF(MATCH(F285,'Test 6'!C$5:C$9,0)&gt;0,"RP"),"NON-RP")</f>
        <v>NON-RP</v>
      </c>
    </row>
    <row r="286" spans="2:22" x14ac:dyDescent="0.5">
      <c r="B286" s="30">
        <v>282</v>
      </c>
      <c r="C286" s="30" t="s">
        <v>659</v>
      </c>
      <c r="D286" s="31">
        <v>212223</v>
      </c>
      <c r="E286" s="30" t="s">
        <v>660</v>
      </c>
      <c r="F286" s="53" t="s">
        <v>114</v>
      </c>
      <c r="G286" s="32">
        <v>44305</v>
      </c>
      <c r="H286" s="33">
        <v>0.70896049808696648</v>
      </c>
      <c r="I286" s="30" t="s">
        <v>16</v>
      </c>
      <c r="J286" s="34">
        <v>397160</v>
      </c>
      <c r="K286" s="35" t="s">
        <v>17</v>
      </c>
      <c r="L286" s="36">
        <v>71488.800000000003</v>
      </c>
      <c r="M286" s="30" t="s">
        <v>61</v>
      </c>
      <c r="N286" s="30" t="s">
        <v>19</v>
      </c>
      <c r="O286" s="30" t="s">
        <v>1542</v>
      </c>
      <c r="P286" s="30" t="s">
        <v>1542</v>
      </c>
      <c r="Q286" s="30" t="str">
        <f>VLOOKUP(WEEKDAY(G286),Key!$B$3:$C$9,2,0)</f>
        <v>Monday</v>
      </c>
      <c r="R286" s="42" t="str">
        <f t="shared" si="12"/>
        <v>Within</v>
      </c>
      <c r="S286" s="41" t="str">
        <f t="shared" si="13"/>
        <v>Pass</v>
      </c>
      <c r="T286" s="30" t="str">
        <f t="shared" si="14"/>
        <v>FY 21-22</v>
      </c>
      <c r="U286" s="30" t="str">
        <f>VLOOKUP(MONTH(G286),Key!$F$3:$G$14,2,0)</f>
        <v>Apr</v>
      </c>
      <c r="V286" s="30" t="str">
        <f>IFERROR(IF(MATCH(F286,'Test 6'!C$5:C$9,0)&gt;0,"RP"),"NON-RP")</f>
        <v>NON-RP</v>
      </c>
    </row>
    <row r="287" spans="2:22" x14ac:dyDescent="0.5">
      <c r="B287" s="30">
        <v>283</v>
      </c>
      <c r="C287" s="30" t="s">
        <v>661</v>
      </c>
      <c r="D287" s="31">
        <v>212224</v>
      </c>
      <c r="E287" s="30" t="s">
        <v>662</v>
      </c>
      <c r="F287" s="53" t="s">
        <v>72</v>
      </c>
      <c r="G287" s="32">
        <v>44306</v>
      </c>
      <c r="H287" s="33">
        <v>0.46369885443325742</v>
      </c>
      <c r="I287" s="30" t="s">
        <v>16</v>
      </c>
      <c r="J287" s="34">
        <v>428840</v>
      </c>
      <c r="K287" s="35" t="s">
        <v>17</v>
      </c>
      <c r="L287" s="36">
        <v>77191.199999999997</v>
      </c>
      <c r="M287" s="30" t="s">
        <v>23</v>
      </c>
      <c r="N287" s="30" t="s">
        <v>47</v>
      </c>
      <c r="O287" s="30" t="s">
        <v>1542</v>
      </c>
      <c r="P287" s="30" t="s">
        <v>1542</v>
      </c>
      <c r="Q287" s="30" t="str">
        <f>VLOOKUP(WEEKDAY(G287),Key!$B$3:$C$9,2,0)</f>
        <v>Tuesday</v>
      </c>
      <c r="R287" s="42" t="str">
        <f t="shared" si="12"/>
        <v>Within</v>
      </c>
      <c r="S287" s="41" t="str">
        <f t="shared" si="13"/>
        <v>Pass</v>
      </c>
      <c r="T287" s="30" t="str">
        <f t="shared" si="14"/>
        <v>FY 21-22</v>
      </c>
      <c r="U287" s="30" t="str">
        <f>VLOOKUP(MONTH(G287),Key!$F$3:$G$14,2,0)</f>
        <v>Apr</v>
      </c>
      <c r="V287" s="30" t="str">
        <f>IFERROR(IF(MATCH(F287,'Test 6'!C$5:C$9,0)&gt;0,"RP"),"NON-RP")</f>
        <v>NON-RP</v>
      </c>
    </row>
    <row r="288" spans="2:22" x14ac:dyDescent="0.5">
      <c r="B288" s="30">
        <v>284</v>
      </c>
      <c r="C288" s="30" t="s">
        <v>663</v>
      </c>
      <c r="D288" s="31">
        <v>212225</v>
      </c>
      <c r="E288" s="30" t="s">
        <v>664</v>
      </c>
      <c r="F288" s="53" t="s">
        <v>64</v>
      </c>
      <c r="G288" s="32">
        <v>44308</v>
      </c>
      <c r="H288" s="33">
        <v>0.50194501290903315</v>
      </c>
      <c r="I288" s="30" t="s">
        <v>16</v>
      </c>
      <c r="J288" s="34">
        <v>397150</v>
      </c>
      <c r="K288" s="35" t="s">
        <v>17</v>
      </c>
      <c r="L288" s="36">
        <v>71487</v>
      </c>
      <c r="M288" s="30" t="s">
        <v>46</v>
      </c>
      <c r="N288" s="30" t="s">
        <v>47</v>
      </c>
      <c r="O288" s="30" t="s">
        <v>1542</v>
      </c>
      <c r="P288" s="30" t="s">
        <v>1542</v>
      </c>
      <c r="Q288" s="30" t="str">
        <f>VLOOKUP(WEEKDAY(G288),Key!$B$3:$C$9,2,0)</f>
        <v>Thursday</v>
      </c>
      <c r="R288" s="42" t="str">
        <f t="shared" si="12"/>
        <v>Within</v>
      </c>
      <c r="S288" s="41" t="str">
        <f t="shared" si="13"/>
        <v>Pass</v>
      </c>
      <c r="T288" s="30" t="str">
        <f t="shared" si="14"/>
        <v>FY 21-22</v>
      </c>
      <c r="U288" s="30" t="str">
        <f>VLOOKUP(MONTH(G288),Key!$F$3:$G$14,2,0)</f>
        <v>Apr</v>
      </c>
      <c r="V288" s="30" t="str">
        <f>IFERROR(IF(MATCH(F288,'Test 6'!C$5:C$9,0)&gt;0,"RP"),"NON-RP")</f>
        <v>NON-RP</v>
      </c>
    </row>
    <row r="289" spans="2:22" x14ac:dyDescent="0.5">
      <c r="B289" s="30">
        <v>285</v>
      </c>
      <c r="C289" s="30" t="s">
        <v>665</v>
      </c>
      <c r="D289" s="31">
        <v>212226</v>
      </c>
      <c r="E289" s="30" t="s">
        <v>666</v>
      </c>
      <c r="F289" s="53" t="s">
        <v>50</v>
      </c>
      <c r="G289" s="32">
        <v>44308</v>
      </c>
      <c r="H289" s="33">
        <v>0.57616679735017429</v>
      </c>
      <c r="I289" s="30" t="s">
        <v>16</v>
      </c>
      <c r="J289" s="34">
        <v>413530</v>
      </c>
      <c r="K289" s="35" t="s">
        <v>17</v>
      </c>
      <c r="L289" s="36">
        <v>74435.399999999994</v>
      </c>
      <c r="M289" s="30" t="s">
        <v>32</v>
      </c>
      <c r="N289" s="30" t="s">
        <v>24</v>
      </c>
      <c r="O289" s="30" t="s">
        <v>1542</v>
      </c>
      <c r="P289" s="30" t="s">
        <v>1542</v>
      </c>
      <c r="Q289" s="30" t="str">
        <f>VLOOKUP(WEEKDAY(G289),Key!$B$3:$C$9,2,0)</f>
        <v>Thursday</v>
      </c>
      <c r="R289" s="42" t="str">
        <f t="shared" si="12"/>
        <v>Within</v>
      </c>
      <c r="S289" s="41" t="str">
        <f t="shared" si="13"/>
        <v>Pass</v>
      </c>
      <c r="T289" s="30" t="str">
        <f t="shared" si="14"/>
        <v>FY 21-22</v>
      </c>
      <c r="U289" s="30" t="str">
        <f>VLOOKUP(MONTH(G289),Key!$F$3:$G$14,2,0)</f>
        <v>Apr</v>
      </c>
      <c r="V289" s="30" t="str">
        <f>IFERROR(IF(MATCH(F289,'Test 6'!C$5:C$9,0)&gt;0,"RP"),"NON-RP")</f>
        <v>NON-RP</v>
      </c>
    </row>
    <row r="290" spans="2:22" x14ac:dyDescent="0.5">
      <c r="B290" s="30">
        <v>286</v>
      </c>
      <c r="C290" s="30" t="s">
        <v>667</v>
      </c>
      <c r="D290" s="31">
        <v>212227</v>
      </c>
      <c r="E290" s="30" t="s">
        <v>668</v>
      </c>
      <c r="F290" s="53" t="s">
        <v>15</v>
      </c>
      <c r="G290" s="32">
        <v>44309</v>
      </c>
      <c r="H290" s="33">
        <v>0.67335251062583179</v>
      </c>
      <c r="I290" s="30" t="s">
        <v>16</v>
      </c>
      <c r="J290" s="34">
        <v>489190</v>
      </c>
      <c r="K290" s="35" t="s">
        <v>17</v>
      </c>
      <c r="L290" s="36">
        <v>88054.2</v>
      </c>
      <c r="M290" s="30" t="s">
        <v>28</v>
      </c>
      <c r="N290" s="30" t="s">
        <v>24</v>
      </c>
      <c r="O290" s="30" t="s">
        <v>1542</v>
      </c>
      <c r="P290" s="30" t="s">
        <v>1542</v>
      </c>
      <c r="Q290" s="30" t="str">
        <f>VLOOKUP(WEEKDAY(G290),Key!$B$3:$C$9,2,0)</f>
        <v>Friday</v>
      </c>
      <c r="R290" s="42" t="str">
        <f t="shared" si="12"/>
        <v>Within</v>
      </c>
      <c r="S290" s="41" t="str">
        <f t="shared" si="13"/>
        <v>Pass</v>
      </c>
      <c r="T290" s="30" t="str">
        <f t="shared" si="14"/>
        <v>FY 21-22</v>
      </c>
      <c r="U290" s="30" t="str">
        <f>VLOOKUP(MONTH(G290),Key!$F$3:$G$14,2,0)</f>
        <v>Apr</v>
      </c>
      <c r="V290" s="30" t="str">
        <f>IFERROR(IF(MATCH(F290,'Test 6'!C$5:C$9,0)&gt;0,"RP"),"NON-RP")</f>
        <v>NON-RP</v>
      </c>
    </row>
    <row r="291" spans="2:22" x14ac:dyDescent="0.5">
      <c r="B291" s="30">
        <v>287</v>
      </c>
      <c r="C291" s="30" t="s">
        <v>669</v>
      </c>
      <c r="D291" s="31">
        <v>212228</v>
      </c>
      <c r="E291" s="30" t="s">
        <v>670</v>
      </c>
      <c r="F291" s="53" t="s">
        <v>241</v>
      </c>
      <c r="G291" s="32">
        <v>44312</v>
      </c>
      <c r="H291" s="33">
        <v>0.57502788437196184</v>
      </c>
      <c r="I291" s="30" t="s">
        <v>16</v>
      </c>
      <c r="J291" s="34">
        <v>274850</v>
      </c>
      <c r="K291" s="35" t="s">
        <v>17</v>
      </c>
      <c r="L291" s="36">
        <v>49473</v>
      </c>
      <c r="M291" s="30" t="s">
        <v>28</v>
      </c>
      <c r="N291" s="30" t="s">
        <v>68</v>
      </c>
      <c r="O291" s="30" t="s">
        <v>1542</v>
      </c>
      <c r="P291" s="30" t="s">
        <v>1542</v>
      </c>
      <c r="Q291" s="30" t="str">
        <f>VLOOKUP(WEEKDAY(G291),Key!$B$3:$C$9,2,0)</f>
        <v>Monday</v>
      </c>
      <c r="R291" s="42" t="str">
        <f t="shared" si="12"/>
        <v>Within</v>
      </c>
      <c r="S291" s="41" t="str">
        <f t="shared" si="13"/>
        <v>Pass</v>
      </c>
      <c r="T291" s="30" t="str">
        <f t="shared" si="14"/>
        <v>FY 21-22</v>
      </c>
      <c r="U291" s="30" t="str">
        <f>VLOOKUP(MONTH(G291),Key!$F$3:$G$14,2,0)</f>
        <v>Apr</v>
      </c>
      <c r="V291" s="30" t="str">
        <f>IFERROR(IF(MATCH(F291,'Test 6'!C$5:C$9,0)&gt;0,"RP"),"NON-RP")</f>
        <v>RP</v>
      </c>
    </row>
    <row r="292" spans="2:22" x14ac:dyDescent="0.5">
      <c r="B292" s="30">
        <v>288</v>
      </c>
      <c r="C292" s="30" t="s">
        <v>671</v>
      </c>
      <c r="D292" s="31">
        <v>212229</v>
      </c>
      <c r="E292" s="30" t="s">
        <v>672</v>
      </c>
      <c r="F292" s="53" t="s">
        <v>54</v>
      </c>
      <c r="G292" s="32">
        <v>44312</v>
      </c>
      <c r="H292" s="33">
        <v>0.69138130653292329</v>
      </c>
      <c r="I292" s="30" t="s">
        <v>16</v>
      </c>
      <c r="J292" s="34">
        <v>333930</v>
      </c>
      <c r="K292" s="35" t="s">
        <v>17</v>
      </c>
      <c r="L292" s="36">
        <v>60107.399999999994</v>
      </c>
      <c r="M292" s="30" t="s">
        <v>28</v>
      </c>
      <c r="N292" s="30" t="s">
        <v>47</v>
      </c>
      <c r="O292" s="30" t="s">
        <v>1542</v>
      </c>
      <c r="P292" s="30" t="s">
        <v>1542</v>
      </c>
      <c r="Q292" s="30" t="str">
        <f>VLOOKUP(WEEKDAY(G292),Key!$B$3:$C$9,2,0)</f>
        <v>Monday</v>
      </c>
      <c r="R292" s="42" t="str">
        <f t="shared" si="12"/>
        <v>Within</v>
      </c>
      <c r="S292" s="41" t="str">
        <f t="shared" si="13"/>
        <v>Pass</v>
      </c>
      <c r="T292" s="30" t="str">
        <f t="shared" si="14"/>
        <v>FY 21-22</v>
      </c>
      <c r="U292" s="30" t="str">
        <f>VLOOKUP(MONTH(G292),Key!$F$3:$G$14,2,0)</f>
        <v>Apr</v>
      </c>
      <c r="V292" s="30" t="str">
        <f>IFERROR(IF(MATCH(F292,'Test 6'!C$5:C$9,0)&gt;0,"RP"),"NON-RP")</f>
        <v>NON-RP</v>
      </c>
    </row>
    <row r="293" spans="2:22" x14ac:dyDescent="0.5">
      <c r="B293" s="30">
        <v>289</v>
      </c>
      <c r="C293" s="30" t="s">
        <v>673</v>
      </c>
      <c r="D293" s="31">
        <v>212230</v>
      </c>
      <c r="E293" s="30" t="s">
        <v>674</v>
      </c>
      <c r="F293" s="53" t="s">
        <v>122</v>
      </c>
      <c r="G293" s="32">
        <v>44312</v>
      </c>
      <c r="H293" s="33">
        <v>0.72444562217579578</v>
      </c>
      <c r="I293" s="30" t="s">
        <v>16</v>
      </c>
      <c r="J293" s="34">
        <v>330040</v>
      </c>
      <c r="K293" s="35" t="s">
        <v>17</v>
      </c>
      <c r="L293" s="36">
        <v>59407.199999999997</v>
      </c>
      <c r="M293" s="30" t="s">
        <v>46</v>
      </c>
      <c r="N293" s="30" t="s">
        <v>47</v>
      </c>
      <c r="O293" s="30" t="s">
        <v>1542</v>
      </c>
      <c r="P293" s="30" t="s">
        <v>1542</v>
      </c>
      <c r="Q293" s="30" t="str">
        <f>VLOOKUP(WEEKDAY(G293),Key!$B$3:$C$9,2,0)</f>
        <v>Monday</v>
      </c>
      <c r="R293" s="42" t="str">
        <f t="shared" si="12"/>
        <v>Within</v>
      </c>
      <c r="S293" s="41" t="str">
        <f t="shared" si="13"/>
        <v>Pass</v>
      </c>
      <c r="T293" s="30" t="str">
        <f t="shared" si="14"/>
        <v>FY 21-22</v>
      </c>
      <c r="U293" s="30" t="str">
        <f>VLOOKUP(MONTH(G293),Key!$F$3:$G$14,2,0)</f>
        <v>Apr</v>
      </c>
      <c r="V293" s="30" t="str">
        <f>IFERROR(IF(MATCH(F293,'Test 6'!C$5:C$9,0)&gt;0,"RP"),"NON-RP")</f>
        <v>NON-RP</v>
      </c>
    </row>
    <row r="294" spans="2:22" x14ac:dyDescent="0.5">
      <c r="B294" s="30">
        <v>290</v>
      </c>
      <c r="C294" s="30" t="s">
        <v>675</v>
      </c>
      <c r="D294" s="31">
        <v>212231</v>
      </c>
      <c r="E294" s="30" t="s">
        <v>676</v>
      </c>
      <c r="F294" s="53" t="s">
        <v>95</v>
      </c>
      <c r="G294" s="32">
        <v>44313</v>
      </c>
      <c r="H294" s="33">
        <v>0.62757193939970668</v>
      </c>
      <c r="I294" s="30" t="s">
        <v>16</v>
      </c>
      <c r="J294" s="34">
        <v>212740</v>
      </c>
      <c r="K294" s="35" t="s">
        <v>17</v>
      </c>
      <c r="L294" s="36">
        <v>38293.199999999997</v>
      </c>
      <c r="M294" s="30" t="s">
        <v>32</v>
      </c>
      <c r="N294" s="30" t="s">
        <v>24</v>
      </c>
      <c r="O294" s="30" t="s">
        <v>1542</v>
      </c>
      <c r="P294" s="30" t="s">
        <v>1542</v>
      </c>
      <c r="Q294" s="30" t="str">
        <f>VLOOKUP(WEEKDAY(G294),Key!$B$3:$C$9,2,0)</f>
        <v>Tuesday</v>
      </c>
      <c r="R294" s="42" t="str">
        <f t="shared" si="12"/>
        <v>Within</v>
      </c>
      <c r="S294" s="41" t="str">
        <f t="shared" si="13"/>
        <v>Pass</v>
      </c>
      <c r="T294" s="30" t="str">
        <f t="shared" si="14"/>
        <v>FY 21-22</v>
      </c>
      <c r="U294" s="30" t="str">
        <f>VLOOKUP(MONTH(G294),Key!$F$3:$G$14,2,0)</f>
        <v>Apr</v>
      </c>
      <c r="V294" s="30" t="str">
        <f>IFERROR(IF(MATCH(F294,'Test 6'!C$5:C$9,0)&gt;0,"RP"),"NON-RP")</f>
        <v>NON-RP</v>
      </c>
    </row>
    <row r="295" spans="2:22" x14ac:dyDescent="0.5">
      <c r="B295" s="30">
        <v>291</v>
      </c>
      <c r="C295" s="30" t="s">
        <v>677</v>
      </c>
      <c r="D295" s="31">
        <v>212232</v>
      </c>
      <c r="E295" s="30" t="s">
        <v>678</v>
      </c>
      <c r="F295" s="53" t="s">
        <v>143</v>
      </c>
      <c r="G295" s="32">
        <v>44315</v>
      </c>
      <c r="H295" s="33">
        <v>0.64385439291405933</v>
      </c>
      <c r="I295" s="30" t="s">
        <v>16</v>
      </c>
      <c r="J295" s="34">
        <v>229650</v>
      </c>
      <c r="K295" s="35" t="s">
        <v>17</v>
      </c>
      <c r="L295" s="36">
        <v>41337</v>
      </c>
      <c r="M295" s="30" t="s">
        <v>28</v>
      </c>
      <c r="N295" s="30" t="s">
        <v>24</v>
      </c>
      <c r="O295" s="30" t="s">
        <v>1542</v>
      </c>
      <c r="P295" s="30" t="s">
        <v>1542</v>
      </c>
      <c r="Q295" s="30" t="str">
        <f>VLOOKUP(WEEKDAY(G295),Key!$B$3:$C$9,2,0)</f>
        <v>Thursday</v>
      </c>
      <c r="R295" s="42" t="str">
        <f t="shared" si="12"/>
        <v>Within</v>
      </c>
      <c r="S295" s="41" t="str">
        <f t="shared" si="13"/>
        <v>Pass</v>
      </c>
      <c r="T295" s="30" t="str">
        <f t="shared" si="14"/>
        <v>FY 21-22</v>
      </c>
      <c r="U295" s="30" t="str">
        <f>VLOOKUP(MONTH(G295),Key!$F$3:$G$14,2,0)</f>
        <v>Apr</v>
      </c>
      <c r="V295" s="30" t="str">
        <f>IFERROR(IF(MATCH(F295,'Test 6'!C$5:C$9,0)&gt;0,"RP"),"NON-RP")</f>
        <v>NON-RP</v>
      </c>
    </row>
    <row r="296" spans="2:22" x14ac:dyDescent="0.5">
      <c r="B296" s="30">
        <v>292</v>
      </c>
      <c r="C296" s="30" t="s">
        <v>679</v>
      </c>
      <c r="D296" s="31">
        <v>212233</v>
      </c>
      <c r="E296" s="30" t="s">
        <v>680</v>
      </c>
      <c r="F296" s="53" t="s">
        <v>40</v>
      </c>
      <c r="G296" s="32">
        <v>44316</v>
      </c>
      <c r="H296" s="33">
        <v>0.48458085734902956</v>
      </c>
      <c r="I296" s="30" t="s">
        <v>16</v>
      </c>
      <c r="J296" s="34">
        <v>276090</v>
      </c>
      <c r="K296" s="35" t="s">
        <v>17</v>
      </c>
      <c r="L296" s="36">
        <v>49696.2</v>
      </c>
      <c r="M296" s="30" t="s">
        <v>46</v>
      </c>
      <c r="N296" s="30" t="s">
        <v>19</v>
      </c>
      <c r="O296" s="30" t="s">
        <v>1542</v>
      </c>
      <c r="P296" s="30" t="s">
        <v>1542</v>
      </c>
      <c r="Q296" s="30" t="str">
        <f>VLOOKUP(WEEKDAY(G296),Key!$B$3:$C$9,2,0)</f>
        <v>Friday</v>
      </c>
      <c r="R296" s="42" t="str">
        <f t="shared" si="12"/>
        <v>Within</v>
      </c>
      <c r="S296" s="41" t="str">
        <f t="shared" si="13"/>
        <v>Pass</v>
      </c>
      <c r="T296" s="30" t="str">
        <f t="shared" si="14"/>
        <v>FY 21-22</v>
      </c>
      <c r="U296" s="30" t="str">
        <f>VLOOKUP(MONTH(G296),Key!$F$3:$G$14,2,0)</f>
        <v>Apr</v>
      </c>
      <c r="V296" s="30" t="str">
        <f>IFERROR(IF(MATCH(F296,'Test 6'!C$5:C$9,0)&gt;0,"RP"),"NON-RP")</f>
        <v>NON-RP</v>
      </c>
    </row>
    <row r="297" spans="2:22" x14ac:dyDescent="0.5">
      <c r="B297" s="30">
        <v>293</v>
      </c>
      <c r="C297" s="30" t="s">
        <v>681</v>
      </c>
      <c r="D297" s="31">
        <v>212234</v>
      </c>
      <c r="E297" s="30" t="s">
        <v>682</v>
      </c>
      <c r="F297" s="53" t="s">
        <v>84</v>
      </c>
      <c r="G297" s="32">
        <v>44316</v>
      </c>
      <c r="H297" s="33">
        <v>0.42642045558864333</v>
      </c>
      <c r="I297" s="30" t="s">
        <v>16</v>
      </c>
      <c r="J297" s="34">
        <v>250910</v>
      </c>
      <c r="K297" s="35" t="s">
        <v>17</v>
      </c>
      <c r="L297" s="36">
        <v>45163.799999999996</v>
      </c>
      <c r="M297" s="30" t="s">
        <v>28</v>
      </c>
      <c r="N297" s="30" t="s">
        <v>47</v>
      </c>
      <c r="O297" s="30" t="s">
        <v>1542</v>
      </c>
      <c r="P297" s="30" t="s">
        <v>1542</v>
      </c>
      <c r="Q297" s="30" t="str">
        <f>VLOOKUP(WEEKDAY(G297),Key!$B$3:$C$9,2,0)</f>
        <v>Friday</v>
      </c>
      <c r="R297" s="42" t="str">
        <f t="shared" si="12"/>
        <v>Within</v>
      </c>
      <c r="S297" s="41" t="str">
        <f t="shared" si="13"/>
        <v>Pass</v>
      </c>
      <c r="T297" s="30" t="str">
        <f t="shared" si="14"/>
        <v>FY 21-22</v>
      </c>
      <c r="U297" s="30" t="str">
        <f>VLOOKUP(MONTH(G297),Key!$F$3:$G$14,2,0)</f>
        <v>Apr</v>
      </c>
      <c r="V297" s="30" t="str">
        <f>IFERROR(IF(MATCH(F297,'Test 6'!C$5:C$9,0)&gt;0,"RP"),"NON-RP")</f>
        <v>NON-RP</v>
      </c>
    </row>
    <row r="298" spans="2:22" x14ac:dyDescent="0.5">
      <c r="B298" s="30">
        <v>294</v>
      </c>
      <c r="C298" s="30" t="s">
        <v>683</v>
      </c>
      <c r="D298" s="31">
        <v>212235</v>
      </c>
      <c r="E298" s="30" t="s">
        <v>684</v>
      </c>
      <c r="F298" s="53" t="s">
        <v>175</v>
      </c>
      <c r="G298" s="32">
        <v>44317</v>
      </c>
      <c r="H298" s="33">
        <v>0.61953961999221263</v>
      </c>
      <c r="I298" s="30" t="s">
        <v>96</v>
      </c>
      <c r="J298" s="34">
        <v>498030</v>
      </c>
      <c r="K298" s="35" t="s">
        <v>17</v>
      </c>
      <c r="L298" s="36">
        <v>89645.4</v>
      </c>
      <c r="M298" s="30" t="s">
        <v>46</v>
      </c>
      <c r="N298" s="30" t="s">
        <v>68</v>
      </c>
      <c r="O298" s="30" t="s">
        <v>1542</v>
      </c>
      <c r="P298" s="30" t="s">
        <v>1542</v>
      </c>
      <c r="Q298" s="30" t="str">
        <f>VLOOKUP(WEEKDAY(G298),Key!$B$3:$C$9,2,0)</f>
        <v>Saturday</v>
      </c>
      <c r="R298" s="42" t="str">
        <f t="shared" si="12"/>
        <v>Within</v>
      </c>
      <c r="S298" s="41" t="str">
        <f t="shared" si="13"/>
        <v>Pass</v>
      </c>
      <c r="T298" s="30" t="str">
        <f t="shared" si="14"/>
        <v>FY 21-22</v>
      </c>
      <c r="U298" s="30" t="str">
        <f>VLOOKUP(MONTH(G298),Key!$F$3:$G$14,2,0)</f>
        <v>May</v>
      </c>
      <c r="V298" s="30" t="str">
        <f>IFERROR(IF(MATCH(F298,'Test 6'!C$5:C$9,0)&gt;0,"RP"),"NON-RP")</f>
        <v>NON-RP</v>
      </c>
    </row>
    <row r="299" spans="2:22" x14ac:dyDescent="0.5">
      <c r="B299" s="30">
        <v>295</v>
      </c>
      <c r="C299" s="30" t="s">
        <v>685</v>
      </c>
      <c r="D299" s="31">
        <v>212236</v>
      </c>
      <c r="E299" s="30" t="s">
        <v>686</v>
      </c>
      <c r="F299" s="53" t="s">
        <v>22</v>
      </c>
      <c r="G299" s="32">
        <v>44319</v>
      </c>
      <c r="H299" s="33">
        <v>0.50341932161284519</v>
      </c>
      <c r="I299" s="30" t="s">
        <v>96</v>
      </c>
      <c r="J299" s="34">
        <v>258340</v>
      </c>
      <c r="K299" s="35" t="s">
        <v>17</v>
      </c>
      <c r="L299" s="36">
        <v>46501.2</v>
      </c>
      <c r="M299" s="30" t="s">
        <v>32</v>
      </c>
      <c r="N299" s="30" t="s">
        <v>47</v>
      </c>
      <c r="O299" s="30" t="s">
        <v>1542</v>
      </c>
      <c r="P299" s="30" t="s">
        <v>1542</v>
      </c>
      <c r="Q299" s="30" t="str">
        <f>VLOOKUP(WEEKDAY(G299),Key!$B$3:$C$9,2,0)</f>
        <v>Monday</v>
      </c>
      <c r="R299" s="42" t="str">
        <f t="shared" si="12"/>
        <v>Within</v>
      </c>
      <c r="S299" s="41" t="str">
        <f t="shared" si="13"/>
        <v>Pass</v>
      </c>
      <c r="T299" s="30" t="str">
        <f t="shared" si="14"/>
        <v>FY 21-22</v>
      </c>
      <c r="U299" s="30" t="str">
        <f>VLOOKUP(MONTH(G299),Key!$F$3:$G$14,2,0)</f>
        <v>May</v>
      </c>
      <c r="V299" s="30" t="str">
        <f>IFERROR(IF(MATCH(F299,'Test 6'!C$5:C$9,0)&gt;0,"RP"),"NON-RP")</f>
        <v>NON-RP</v>
      </c>
    </row>
    <row r="300" spans="2:22" x14ac:dyDescent="0.5">
      <c r="B300" s="30">
        <v>296</v>
      </c>
      <c r="C300" s="30" t="s">
        <v>687</v>
      </c>
      <c r="D300" s="31">
        <v>212237</v>
      </c>
      <c r="E300" s="30" t="s">
        <v>688</v>
      </c>
      <c r="F300" s="53" t="s">
        <v>238</v>
      </c>
      <c r="G300" s="32">
        <v>44319</v>
      </c>
      <c r="H300" s="33">
        <v>0.68225688743160928</v>
      </c>
      <c r="I300" s="30" t="s">
        <v>96</v>
      </c>
      <c r="J300" s="34">
        <v>240520</v>
      </c>
      <c r="K300" s="35" t="s">
        <v>17</v>
      </c>
      <c r="L300" s="36">
        <v>43293.599999999999</v>
      </c>
      <c r="M300" s="30" t="s">
        <v>37</v>
      </c>
      <c r="N300" s="30" t="s">
        <v>19</v>
      </c>
      <c r="O300" s="30" t="s">
        <v>1542</v>
      </c>
      <c r="P300" s="30" t="s">
        <v>1542</v>
      </c>
      <c r="Q300" s="30" t="str">
        <f>VLOOKUP(WEEKDAY(G300),Key!$B$3:$C$9,2,0)</f>
        <v>Monday</v>
      </c>
      <c r="R300" s="42" t="str">
        <f t="shared" si="12"/>
        <v>Within</v>
      </c>
      <c r="S300" s="41" t="str">
        <f t="shared" si="13"/>
        <v>Pass</v>
      </c>
      <c r="T300" s="30" t="str">
        <f t="shared" si="14"/>
        <v>FY 21-22</v>
      </c>
      <c r="U300" s="30" t="str">
        <f>VLOOKUP(MONTH(G300),Key!$F$3:$G$14,2,0)</f>
        <v>May</v>
      </c>
      <c r="V300" s="30" t="str">
        <f>IFERROR(IF(MATCH(F300,'Test 6'!C$5:C$9,0)&gt;0,"RP"),"NON-RP")</f>
        <v>NON-RP</v>
      </c>
    </row>
    <row r="301" spans="2:22" x14ac:dyDescent="0.5">
      <c r="B301" s="30">
        <v>297</v>
      </c>
      <c r="C301" s="30" t="s">
        <v>689</v>
      </c>
      <c r="D301" s="31">
        <v>212238</v>
      </c>
      <c r="E301" s="30" t="s">
        <v>690</v>
      </c>
      <c r="F301" s="53" t="s">
        <v>92</v>
      </c>
      <c r="G301" s="32">
        <v>44321</v>
      </c>
      <c r="H301" s="33">
        <v>0.72683659727664862</v>
      </c>
      <c r="I301" s="30" t="s">
        <v>96</v>
      </c>
      <c r="J301" s="34">
        <v>403020</v>
      </c>
      <c r="K301" s="35" t="s">
        <v>17</v>
      </c>
      <c r="L301" s="36">
        <v>72543.599999999991</v>
      </c>
      <c r="M301" s="30" t="s">
        <v>37</v>
      </c>
      <c r="N301" s="30" t="s">
        <v>19</v>
      </c>
      <c r="O301" s="30" t="s">
        <v>1542</v>
      </c>
      <c r="P301" s="30" t="s">
        <v>1542</v>
      </c>
      <c r="Q301" s="30" t="str">
        <f>VLOOKUP(WEEKDAY(G301),Key!$B$3:$C$9,2,0)</f>
        <v>Wednesday</v>
      </c>
      <c r="R301" s="42" t="str">
        <f t="shared" si="12"/>
        <v>Within</v>
      </c>
      <c r="S301" s="41" t="str">
        <f t="shared" si="13"/>
        <v>Pass</v>
      </c>
      <c r="T301" s="30" t="str">
        <f t="shared" si="14"/>
        <v>FY 21-22</v>
      </c>
      <c r="U301" s="30" t="str">
        <f>VLOOKUP(MONTH(G301),Key!$F$3:$G$14,2,0)</f>
        <v>May</v>
      </c>
      <c r="V301" s="30" t="str">
        <f>IFERROR(IF(MATCH(F301,'Test 6'!C$5:C$9,0)&gt;0,"RP"),"NON-RP")</f>
        <v>NON-RP</v>
      </c>
    </row>
    <row r="302" spans="2:22" x14ac:dyDescent="0.5">
      <c r="B302" s="30">
        <v>298</v>
      </c>
      <c r="C302" s="30" t="s">
        <v>691</v>
      </c>
      <c r="D302" s="31">
        <v>212239</v>
      </c>
      <c r="E302" s="30" t="s">
        <v>692</v>
      </c>
      <c r="F302" s="53" t="s">
        <v>22</v>
      </c>
      <c r="G302" s="32">
        <v>44321</v>
      </c>
      <c r="H302" s="33">
        <v>0.62353296778524814</v>
      </c>
      <c r="I302" s="30" t="s">
        <v>96</v>
      </c>
      <c r="J302" s="34">
        <v>328460</v>
      </c>
      <c r="K302" s="35" t="s">
        <v>17</v>
      </c>
      <c r="L302" s="36">
        <v>59122.799999999996</v>
      </c>
      <c r="M302" s="30" t="s">
        <v>61</v>
      </c>
      <c r="N302" s="30" t="s">
        <v>47</v>
      </c>
      <c r="O302" s="30" t="s">
        <v>1542</v>
      </c>
      <c r="P302" s="30" t="s">
        <v>1542</v>
      </c>
      <c r="Q302" s="30" t="str">
        <f>VLOOKUP(WEEKDAY(G302),Key!$B$3:$C$9,2,0)</f>
        <v>Wednesday</v>
      </c>
      <c r="R302" s="42" t="str">
        <f t="shared" si="12"/>
        <v>Within</v>
      </c>
      <c r="S302" s="41" t="str">
        <f t="shared" si="13"/>
        <v>Pass</v>
      </c>
      <c r="T302" s="30" t="str">
        <f t="shared" si="14"/>
        <v>FY 21-22</v>
      </c>
      <c r="U302" s="30" t="str">
        <f>VLOOKUP(MONTH(G302),Key!$F$3:$G$14,2,0)</f>
        <v>May</v>
      </c>
      <c r="V302" s="30" t="str">
        <f>IFERROR(IF(MATCH(F302,'Test 6'!C$5:C$9,0)&gt;0,"RP"),"NON-RP")</f>
        <v>NON-RP</v>
      </c>
    </row>
    <row r="303" spans="2:22" x14ac:dyDescent="0.5">
      <c r="B303" s="30">
        <v>299</v>
      </c>
      <c r="C303" s="30" t="s">
        <v>693</v>
      </c>
      <c r="D303" s="31">
        <v>212240</v>
      </c>
      <c r="E303" s="30" t="s">
        <v>694</v>
      </c>
      <c r="F303" s="53" t="s">
        <v>119</v>
      </c>
      <c r="G303" s="32">
        <v>44322</v>
      </c>
      <c r="H303" s="33">
        <v>0.49103598925341446</v>
      </c>
      <c r="I303" s="30" t="s">
        <v>96</v>
      </c>
      <c r="J303" s="34">
        <v>321090</v>
      </c>
      <c r="K303" s="35" t="s">
        <v>17</v>
      </c>
      <c r="L303" s="36">
        <v>57796.2</v>
      </c>
      <c r="M303" s="30" t="s">
        <v>32</v>
      </c>
      <c r="N303" s="30" t="s">
        <v>51</v>
      </c>
      <c r="O303" s="30" t="s">
        <v>1542</v>
      </c>
      <c r="P303" s="30" t="s">
        <v>1542</v>
      </c>
      <c r="Q303" s="30" t="str">
        <f>VLOOKUP(WEEKDAY(G303),Key!$B$3:$C$9,2,0)</f>
        <v>Thursday</v>
      </c>
      <c r="R303" s="42" t="str">
        <f t="shared" si="12"/>
        <v>Within</v>
      </c>
      <c r="S303" s="41" t="str">
        <f t="shared" si="13"/>
        <v>Pass</v>
      </c>
      <c r="T303" s="30" t="str">
        <f t="shared" si="14"/>
        <v>FY 21-22</v>
      </c>
      <c r="U303" s="30" t="str">
        <f>VLOOKUP(MONTH(G303),Key!$F$3:$G$14,2,0)</f>
        <v>May</v>
      </c>
      <c r="V303" s="30" t="str">
        <f>IFERROR(IF(MATCH(F303,'Test 6'!C$5:C$9,0)&gt;0,"RP"),"NON-RP")</f>
        <v>NON-RP</v>
      </c>
    </row>
    <row r="304" spans="2:22" x14ac:dyDescent="0.5">
      <c r="B304" s="30">
        <v>300</v>
      </c>
      <c r="C304" s="30" t="s">
        <v>695</v>
      </c>
      <c r="D304" s="31">
        <v>212241</v>
      </c>
      <c r="E304" s="30" t="s">
        <v>696</v>
      </c>
      <c r="F304" s="53" t="s">
        <v>187</v>
      </c>
      <c r="G304" s="32">
        <v>44322</v>
      </c>
      <c r="H304" s="33">
        <v>0.73512318840909796</v>
      </c>
      <c r="I304" s="30" t="s">
        <v>96</v>
      </c>
      <c r="J304" s="34">
        <v>27380</v>
      </c>
      <c r="K304" s="35" t="s">
        <v>17</v>
      </c>
      <c r="L304" s="36">
        <v>4928.3999999999996</v>
      </c>
      <c r="M304" s="30" t="s">
        <v>36</v>
      </c>
      <c r="N304" s="30" t="s">
        <v>28</v>
      </c>
      <c r="O304" s="30" t="s">
        <v>1542</v>
      </c>
      <c r="P304" s="30" t="s">
        <v>1542</v>
      </c>
      <c r="Q304" s="30" t="str">
        <f>VLOOKUP(WEEKDAY(G304),Key!$B$3:$C$9,2,0)</f>
        <v>Thursday</v>
      </c>
      <c r="R304" s="42" t="str">
        <f t="shared" si="12"/>
        <v>Within</v>
      </c>
      <c r="S304" s="41" t="str">
        <f t="shared" si="13"/>
        <v>Pass</v>
      </c>
      <c r="T304" s="30" t="str">
        <f t="shared" si="14"/>
        <v>FY 21-22</v>
      </c>
      <c r="U304" s="30" t="str">
        <f>VLOOKUP(MONTH(G304),Key!$F$3:$G$14,2,0)</f>
        <v>May</v>
      </c>
      <c r="V304" s="30" t="str">
        <f>IFERROR(IF(MATCH(F304,'Test 6'!C$5:C$9,0)&gt;0,"RP"),"NON-RP")</f>
        <v>NON-RP</v>
      </c>
    </row>
    <row r="305" spans="2:22" x14ac:dyDescent="0.5">
      <c r="B305" s="30">
        <v>301</v>
      </c>
      <c r="C305" s="30" t="s">
        <v>697</v>
      </c>
      <c r="D305" s="31">
        <v>212242</v>
      </c>
      <c r="E305" s="30" t="s">
        <v>698</v>
      </c>
      <c r="F305" s="53" t="s">
        <v>81</v>
      </c>
      <c r="G305" s="32">
        <v>44323</v>
      </c>
      <c r="H305" s="33">
        <v>0.58220384479593112</v>
      </c>
      <c r="I305" s="30" t="s">
        <v>96</v>
      </c>
      <c r="J305" s="34">
        <v>494080</v>
      </c>
      <c r="K305" s="35" t="s">
        <v>17</v>
      </c>
      <c r="L305" s="36">
        <v>88934.399999999994</v>
      </c>
      <c r="M305" s="30" t="s">
        <v>18</v>
      </c>
      <c r="N305" s="30" t="s">
        <v>51</v>
      </c>
      <c r="O305" s="30" t="s">
        <v>1542</v>
      </c>
      <c r="P305" s="30" t="s">
        <v>1542</v>
      </c>
      <c r="Q305" s="30" t="str">
        <f>VLOOKUP(WEEKDAY(G305),Key!$B$3:$C$9,2,0)</f>
        <v>Friday</v>
      </c>
      <c r="R305" s="42" t="str">
        <f t="shared" si="12"/>
        <v>Within</v>
      </c>
      <c r="S305" s="41" t="str">
        <f t="shared" si="13"/>
        <v>Pass</v>
      </c>
      <c r="T305" s="30" t="str">
        <f t="shared" si="14"/>
        <v>FY 21-22</v>
      </c>
      <c r="U305" s="30" t="str">
        <f>VLOOKUP(MONTH(G305),Key!$F$3:$G$14,2,0)</f>
        <v>May</v>
      </c>
      <c r="V305" s="30" t="str">
        <f>IFERROR(IF(MATCH(F305,'Test 6'!C$5:C$9,0)&gt;0,"RP"),"NON-RP")</f>
        <v>NON-RP</v>
      </c>
    </row>
    <row r="306" spans="2:22" x14ac:dyDescent="0.5">
      <c r="B306" s="30">
        <v>302</v>
      </c>
      <c r="C306" s="30" t="s">
        <v>699</v>
      </c>
      <c r="D306" s="31">
        <v>212243</v>
      </c>
      <c r="E306" s="30" t="s">
        <v>700</v>
      </c>
      <c r="F306" s="53" t="s">
        <v>111</v>
      </c>
      <c r="G306" s="32">
        <v>44325</v>
      </c>
      <c r="H306" s="33">
        <v>0.49611111111111111</v>
      </c>
      <c r="I306" s="30" t="s">
        <v>96</v>
      </c>
      <c r="J306" s="34">
        <v>4279450</v>
      </c>
      <c r="K306" s="35" t="s">
        <v>17</v>
      </c>
      <c r="L306" s="36">
        <v>770301</v>
      </c>
      <c r="M306" s="30" t="s">
        <v>701</v>
      </c>
      <c r="N306" s="30" t="s">
        <v>41</v>
      </c>
      <c r="O306" s="30" t="s">
        <v>1542</v>
      </c>
      <c r="P306" s="30" t="s">
        <v>1542</v>
      </c>
      <c r="Q306" s="30" t="str">
        <f>VLOOKUP(WEEKDAY(G306),Key!$B$3:$C$9,2,0)</f>
        <v>Sunday</v>
      </c>
      <c r="R306" s="42" t="str">
        <f t="shared" si="12"/>
        <v>Within</v>
      </c>
      <c r="S306" s="41" t="str">
        <f t="shared" si="13"/>
        <v>Red Flag</v>
      </c>
      <c r="T306" s="30" t="str">
        <f t="shared" si="14"/>
        <v>FY 21-22</v>
      </c>
      <c r="U306" s="30" t="str">
        <f>VLOOKUP(MONTH(G306),Key!$F$3:$G$14,2,0)</f>
        <v>May</v>
      </c>
      <c r="V306" s="30" t="str">
        <f>IFERROR(IF(MATCH(F306,'Test 6'!C$5:C$9,0)&gt;0,"RP"),"NON-RP")</f>
        <v>RP</v>
      </c>
    </row>
    <row r="307" spans="2:22" x14ac:dyDescent="0.5">
      <c r="B307" s="30">
        <v>303</v>
      </c>
      <c r="C307" s="30" t="s">
        <v>702</v>
      </c>
      <c r="D307" s="31">
        <v>212244</v>
      </c>
      <c r="E307" s="30" t="s">
        <v>703</v>
      </c>
      <c r="F307" s="53" t="s">
        <v>87</v>
      </c>
      <c r="G307" s="32">
        <v>44326</v>
      </c>
      <c r="H307" s="33">
        <v>0.48052444838468789</v>
      </c>
      <c r="I307" s="30" t="s">
        <v>96</v>
      </c>
      <c r="J307" s="34">
        <v>42630</v>
      </c>
      <c r="K307" s="35" t="s">
        <v>17</v>
      </c>
      <c r="L307" s="36">
        <v>7673.4</v>
      </c>
      <c r="M307" s="30" t="s">
        <v>704</v>
      </c>
      <c r="N307" s="30" t="s">
        <v>32</v>
      </c>
      <c r="O307" s="30" t="s">
        <v>1542</v>
      </c>
      <c r="P307" s="30" t="s">
        <v>1542</v>
      </c>
      <c r="Q307" s="30" t="str">
        <f>VLOOKUP(WEEKDAY(G307),Key!$B$3:$C$9,2,0)</f>
        <v>Monday</v>
      </c>
      <c r="R307" s="42" t="str">
        <f t="shared" si="12"/>
        <v>Within</v>
      </c>
      <c r="S307" s="41" t="str">
        <f t="shared" si="13"/>
        <v>Pass</v>
      </c>
      <c r="T307" s="30" t="str">
        <f t="shared" si="14"/>
        <v>FY 21-22</v>
      </c>
      <c r="U307" s="30" t="str">
        <f>VLOOKUP(MONTH(G307),Key!$F$3:$G$14,2,0)</f>
        <v>May</v>
      </c>
      <c r="V307" s="30" t="str">
        <f>IFERROR(IF(MATCH(F307,'Test 6'!C$5:C$9,0)&gt;0,"RP"),"NON-RP")</f>
        <v>NON-RP</v>
      </c>
    </row>
    <row r="308" spans="2:22" x14ac:dyDescent="0.5">
      <c r="B308" s="30">
        <v>304</v>
      </c>
      <c r="C308" s="30" t="s">
        <v>705</v>
      </c>
      <c r="D308" s="31">
        <v>212245</v>
      </c>
      <c r="E308" s="30" t="s">
        <v>706</v>
      </c>
      <c r="F308" s="53" t="s">
        <v>195</v>
      </c>
      <c r="G308" s="32">
        <v>44326</v>
      </c>
      <c r="H308" s="33">
        <v>0.45450634985373517</v>
      </c>
      <c r="I308" s="30" t="s">
        <v>96</v>
      </c>
      <c r="J308" s="34">
        <v>491380</v>
      </c>
      <c r="K308" s="35" t="s">
        <v>17</v>
      </c>
      <c r="L308" s="36">
        <v>88448.4</v>
      </c>
      <c r="M308" s="30" t="s">
        <v>23</v>
      </c>
      <c r="N308" s="30" t="s">
        <v>51</v>
      </c>
      <c r="O308" s="30" t="s">
        <v>1542</v>
      </c>
      <c r="P308" s="30" t="s">
        <v>1542</v>
      </c>
      <c r="Q308" s="30" t="str">
        <f>VLOOKUP(WEEKDAY(G308),Key!$B$3:$C$9,2,0)</f>
        <v>Monday</v>
      </c>
      <c r="R308" s="42" t="str">
        <f t="shared" si="12"/>
        <v>Within</v>
      </c>
      <c r="S308" s="41" t="str">
        <f t="shared" si="13"/>
        <v>Pass</v>
      </c>
      <c r="T308" s="30" t="str">
        <f t="shared" si="14"/>
        <v>FY 21-22</v>
      </c>
      <c r="U308" s="30" t="str">
        <f>VLOOKUP(MONTH(G308),Key!$F$3:$G$14,2,0)</f>
        <v>May</v>
      </c>
      <c r="V308" s="30" t="str">
        <f>IFERROR(IF(MATCH(F308,'Test 6'!C$5:C$9,0)&gt;0,"RP"),"NON-RP")</f>
        <v>NON-RP</v>
      </c>
    </row>
    <row r="309" spans="2:22" x14ac:dyDescent="0.5">
      <c r="B309" s="30">
        <v>305</v>
      </c>
      <c r="C309" s="30" t="s">
        <v>707</v>
      </c>
      <c r="D309" s="31">
        <v>212246</v>
      </c>
      <c r="E309" s="30" t="s">
        <v>708</v>
      </c>
      <c r="F309" s="53" t="s">
        <v>84</v>
      </c>
      <c r="G309" s="32">
        <v>44327</v>
      </c>
      <c r="H309" s="33">
        <v>0.43314370447698225</v>
      </c>
      <c r="I309" s="30" t="s">
        <v>96</v>
      </c>
      <c r="J309" s="34">
        <v>35080</v>
      </c>
      <c r="K309" s="35" t="s">
        <v>17</v>
      </c>
      <c r="L309" s="36">
        <v>6314.4</v>
      </c>
      <c r="M309" s="30" t="s">
        <v>78</v>
      </c>
      <c r="N309" s="30" t="s">
        <v>32</v>
      </c>
      <c r="O309" s="30" t="s">
        <v>1542</v>
      </c>
      <c r="P309" s="30" t="s">
        <v>1542</v>
      </c>
      <c r="Q309" s="30" t="str">
        <f>VLOOKUP(WEEKDAY(G309),Key!$B$3:$C$9,2,0)</f>
        <v>Tuesday</v>
      </c>
      <c r="R309" s="42" t="str">
        <f t="shared" si="12"/>
        <v>Within</v>
      </c>
      <c r="S309" s="41" t="str">
        <f t="shared" si="13"/>
        <v>Pass</v>
      </c>
      <c r="T309" s="30" t="str">
        <f t="shared" si="14"/>
        <v>FY 21-22</v>
      </c>
      <c r="U309" s="30" t="str">
        <f>VLOOKUP(MONTH(G309),Key!$F$3:$G$14,2,0)</f>
        <v>May</v>
      </c>
      <c r="V309" s="30" t="str">
        <f>IFERROR(IF(MATCH(F309,'Test 6'!C$5:C$9,0)&gt;0,"RP"),"NON-RP")</f>
        <v>NON-RP</v>
      </c>
    </row>
    <row r="310" spans="2:22" x14ac:dyDescent="0.5">
      <c r="B310" s="30">
        <v>306</v>
      </c>
      <c r="C310" s="30" t="s">
        <v>709</v>
      </c>
      <c r="D310" s="31">
        <v>212247</v>
      </c>
      <c r="E310" s="30" t="s">
        <v>710</v>
      </c>
      <c r="F310" s="53" t="s">
        <v>175</v>
      </c>
      <c r="G310" s="32">
        <v>44328</v>
      </c>
      <c r="H310" s="33">
        <v>0.69250942315234199</v>
      </c>
      <c r="I310" s="30" t="s">
        <v>96</v>
      </c>
      <c r="J310" s="34">
        <v>33330</v>
      </c>
      <c r="K310" s="35" t="s">
        <v>17</v>
      </c>
      <c r="L310" s="36">
        <v>5999.4</v>
      </c>
      <c r="M310" s="30" t="s">
        <v>106</v>
      </c>
      <c r="N310" s="30" t="s">
        <v>18</v>
      </c>
      <c r="O310" s="30" t="s">
        <v>1542</v>
      </c>
      <c r="P310" s="30" t="s">
        <v>1542</v>
      </c>
      <c r="Q310" s="30" t="str">
        <f>VLOOKUP(WEEKDAY(G310),Key!$B$3:$C$9,2,0)</f>
        <v>Wednesday</v>
      </c>
      <c r="R310" s="42" t="str">
        <f t="shared" si="12"/>
        <v>Within</v>
      </c>
      <c r="S310" s="41" t="str">
        <f t="shared" si="13"/>
        <v>Pass</v>
      </c>
      <c r="T310" s="30" t="str">
        <f t="shared" si="14"/>
        <v>FY 21-22</v>
      </c>
      <c r="U310" s="30" t="str">
        <f>VLOOKUP(MONTH(G310),Key!$F$3:$G$14,2,0)</f>
        <v>May</v>
      </c>
      <c r="V310" s="30" t="str">
        <f>IFERROR(IF(MATCH(F310,'Test 6'!C$5:C$9,0)&gt;0,"RP"),"NON-RP")</f>
        <v>NON-RP</v>
      </c>
    </row>
    <row r="311" spans="2:22" x14ac:dyDescent="0.5">
      <c r="B311" s="30">
        <v>307</v>
      </c>
      <c r="C311" s="30" t="s">
        <v>711</v>
      </c>
      <c r="D311" s="31">
        <v>212248</v>
      </c>
      <c r="E311" s="30" t="s">
        <v>712</v>
      </c>
      <c r="F311" s="53" t="s">
        <v>608</v>
      </c>
      <c r="G311" s="32">
        <v>44329</v>
      </c>
      <c r="H311" s="33">
        <v>0.49913156435872602</v>
      </c>
      <c r="I311" s="30" t="s">
        <v>96</v>
      </c>
      <c r="J311" s="34">
        <v>29410</v>
      </c>
      <c r="K311" s="35" t="s">
        <v>17</v>
      </c>
      <c r="L311" s="36">
        <v>5293.8</v>
      </c>
      <c r="M311" s="30" t="s">
        <v>200</v>
      </c>
      <c r="N311" s="30" t="s">
        <v>46</v>
      </c>
      <c r="O311" s="30" t="s">
        <v>1542</v>
      </c>
      <c r="P311" s="30" t="s">
        <v>1542</v>
      </c>
      <c r="Q311" s="30" t="str">
        <f>VLOOKUP(WEEKDAY(G311),Key!$B$3:$C$9,2,0)</f>
        <v>Thursday</v>
      </c>
      <c r="R311" s="42" t="str">
        <f t="shared" si="12"/>
        <v>Within</v>
      </c>
      <c r="S311" s="41" t="str">
        <f t="shared" si="13"/>
        <v>Pass</v>
      </c>
      <c r="T311" s="30" t="str">
        <f t="shared" si="14"/>
        <v>FY 21-22</v>
      </c>
      <c r="U311" s="30" t="str">
        <f>VLOOKUP(MONTH(G311),Key!$F$3:$G$14,2,0)</f>
        <v>May</v>
      </c>
      <c r="V311" s="30" t="str">
        <f>IFERROR(IF(MATCH(F311,'Test 6'!C$5:C$9,0)&gt;0,"RP"),"NON-RP")</f>
        <v>NON-RP</v>
      </c>
    </row>
    <row r="312" spans="2:22" x14ac:dyDescent="0.5">
      <c r="B312" s="30">
        <v>308</v>
      </c>
      <c r="C312" s="30" t="s">
        <v>713</v>
      </c>
      <c r="D312" s="31">
        <v>212249</v>
      </c>
      <c r="E312" s="30" t="s">
        <v>714</v>
      </c>
      <c r="F312" s="53" t="s">
        <v>175</v>
      </c>
      <c r="G312" s="32">
        <v>44329</v>
      </c>
      <c r="H312" s="33">
        <v>0.71824159011779587</v>
      </c>
      <c r="I312" s="30" t="s">
        <v>96</v>
      </c>
      <c r="J312" s="34">
        <v>488580</v>
      </c>
      <c r="K312" s="35" t="s">
        <v>17</v>
      </c>
      <c r="L312" s="36">
        <v>87944.4</v>
      </c>
      <c r="M312" s="30" t="s">
        <v>23</v>
      </c>
      <c r="N312" s="30" t="s">
        <v>68</v>
      </c>
      <c r="O312" s="30" t="s">
        <v>1542</v>
      </c>
      <c r="P312" s="30" t="s">
        <v>1542</v>
      </c>
      <c r="Q312" s="30" t="str">
        <f>VLOOKUP(WEEKDAY(G312),Key!$B$3:$C$9,2,0)</f>
        <v>Thursday</v>
      </c>
      <c r="R312" s="42" t="str">
        <f t="shared" si="12"/>
        <v>Within</v>
      </c>
      <c r="S312" s="41" t="str">
        <f t="shared" si="13"/>
        <v>Pass</v>
      </c>
      <c r="T312" s="30" t="str">
        <f t="shared" si="14"/>
        <v>FY 21-22</v>
      </c>
      <c r="U312" s="30" t="str">
        <f>VLOOKUP(MONTH(G312),Key!$F$3:$G$14,2,0)</f>
        <v>May</v>
      </c>
      <c r="V312" s="30" t="str">
        <f>IFERROR(IF(MATCH(F312,'Test 6'!C$5:C$9,0)&gt;0,"RP"),"NON-RP")</f>
        <v>NON-RP</v>
      </c>
    </row>
    <row r="313" spans="2:22" x14ac:dyDescent="0.5">
      <c r="B313" s="30">
        <v>309</v>
      </c>
      <c r="C313" s="30" t="s">
        <v>715</v>
      </c>
      <c r="D313" s="31">
        <v>212250</v>
      </c>
      <c r="E313" s="30" t="s">
        <v>716</v>
      </c>
      <c r="F313" s="53" t="s">
        <v>57</v>
      </c>
      <c r="G313" s="32">
        <v>44331</v>
      </c>
      <c r="H313" s="33">
        <v>0.61620488960837916</v>
      </c>
      <c r="I313" s="30" t="s">
        <v>96</v>
      </c>
      <c r="J313" s="34">
        <v>458040</v>
      </c>
      <c r="K313" s="35" t="s">
        <v>17</v>
      </c>
      <c r="L313" s="36">
        <v>82447.199999999997</v>
      </c>
      <c r="M313" s="30" t="s">
        <v>18</v>
      </c>
      <c r="N313" s="30" t="s">
        <v>68</v>
      </c>
      <c r="O313" s="30" t="s">
        <v>1542</v>
      </c>
      <c r="P313" s="30" t="s">
        <v>1542</v>
      </c>
      <c r="Q313" s="30" t="str">
        <f>VLOOKUP(WEEKDAY(G313),Key!$B$3:$C$9,2,0)</f>
        <v>Saturday</v>
      </c>
      <c r="R313" s="42" t="str">
        <f t="shared" si="12"/>
        <v>Within</v>
      </c>
      <c r="S313" s="41" t="str">
        <f t="shared" si="13"/>
        <v>Pass</v>
      </c>
      <c r="T313" s="30" t="str">
        <f t="shared" si="14"/>
        <v>FY 21-22</v>
      </c>
      <c r="U313" s="30" t="str">
        <f>VLOOKUP(MONTH(G313),Key!$F$3:$G$14,2,0)</f>
        <v>May</v>
      </c>
      <c r="V313" s="30" t="str">
        <f>IFERROR(IF(MATCH(F313,'Test 6'!C$5:C$9,0)&gt;0,"RP"),"NON-RP")</f>
        <v>NON-RP</v>
      </c>
    </row>
    <row r="314" spans="2:22" x14ac:dyDescent="0.5">
      <c r="B314" s="30">
        <v>310</v>
      </c>
      <c r="C314" s="30" t="s">
        <v>717</v>
      </c>
      <c r="D314" s="31">
        <v>212251</v>
      </c>
      <c r="E314" s="30" t="s">
        <v>718</v>
      </c>
      <c r="F314" s="53" t="s">
        <v>57</v>
      </c>
      <c r="G314" s="32">
        <v>44333</v>
      </c>
      <c r="H314" s="33">
        <v>0.63338678679002869</v>
      </c>
      <c r="I314" s="30" t="s">
        <v>96</v>
      </c>
      <c r="J314" s="34">
        <v>31230</v>
      </c>
      <c r="K314" s="35" t="s">
        <v>17</v>
      </c>
      <c r="L314" s="36">
        <v>5621.4</v>
      </c>
      <c r="M314" s="30" t="s">
        <v>168</v>
      </c>
      <c r="N314" s="30" t="s">
        <v>46</v>
      </c>
      <c r="O314" s="30" t="s">
        <v>1542</v>
      </c>
      <c r="P314" s="30" t="s">
        <v>1542</v>
      </c>
      <c r="Q314" s="30" t="str">
        <f>VLOOKUP(WEEKDAY(G314),Key!$B$3:$C$9,2,0)</f>
        <v>Monday</v>
      </c>
      <c r="R314" s="42" t="str">
        <f t="shared" si="12"/>
        <v>Within</v>
      </c>
      <c r="S314" s="41" t="str">
        <f t="shared" si="13"/>
        <v>Pass</v>
      </c>
      <c r="T314" s="30" t="str">
        <f t="shared" si="14"/>
        <v>FY 21-22</v>
      </c>
      <c r="U314" s="30" t="str">
        <f>VLOOKUP(MONTH(G314),Key!$F$3:$G$14,2,0)</f>
        <v>May</v>
      </c>
      <c r="V314" s="30" t="str">
        <f>IFERROR(IF(MATCH(F314,'Test 6'!C$5:C$9,0)&gt;0,"RP"),"NON-RP")</f>
        <v>NON-RP</v>
      </c>
    </row>
    <row r="315" spans="2:22" x14ac:dyDescent="0.5">
      <c r="B315" s="30">
        <v>311</v>
      </c>
      <c r="C315" s="30" t="s">
        <v>719</v>
      </c>
      <c r="D315" s="31">
        <v>212252</v>
      </c>
      <c r="E315" s="30" t="s">
        <v>720</v>
      </c>
      <c r="F315" s="53" t="s">
        <v>87</v>
      </c>
      <c r="G315" s="32">
        <v>44333</v>
      </c>
      <c r="H315" s="33">
        <v>0.42436063535991109</v>
      </c>
      <c r="I315" s="30" t="s">
        <v>96</v>
      </c>
      <c r="J315" s="34">
        <v>492890</v>
      </c>
      <c r="K315" s="35" t="s">
        <v>17</v>
      </c>
      <c r="L315" s="36">
        <v>88720.2</v>
      </c>
      <c r="M315" s="30" t="s">
        <v>23</v>
      </c>
      <c r="N315" s="30" t="s">
        <v>24</v>
      </c>
      <c r="O315" s="30" t="s">
        <v>1542</v>
      </c>
      <c r="P315" s="30" t="s">
        <v>1542</v>
      </c>
      <c r="Q315" s="30" t="str">
        <f>VLOOKUP(WEEKDAY(G315),Key!$B$3:$C$9,2,0)</f>
        <v>Monday</v>
      </c>
      <c r="R315" s="42" t="str">
        <f t="shared" si="12"/>
        <v>Within</v>
      </c>
      <c r="S315" s="41" t="str">
        <f t="shared" si="13"/>
        <v>Pass</v>
      </c>
      <c r="T315" s="30" t="str">
        <f t="shared" si="14"/>
        <v>FY 21-22</v>
      </c>
      <c r="U315" s="30" t="str">
        <f>VLOOKUP(MONTH(G315),Key!$F$3:$G$14,2,0)</f>
        <v>May</v>
      </c>
      <c r="V315" s="30" t="str">
        <f>IFERROR(IF(MATCH(F315,'Test 6'!C$5:C$9,0)&gt;0,"RP"),"NON-RP")</f>
        <v>NON-RP</v>
      </c>
    </row>
    <row r="316" spans="2:22" x14ac:dyDescent="0.5">
      <c r="B316" s="30">
        <v>312</v>
      </c>
      <c r="C316" s="30" t="s">
        <v>721</v>
      </c>
      <c r="D316" s="31">
        <v>212253</v>
      </c>
      <c r="E316" s="30" t="s">
        <v>722</v>
      </c>
      <c r="F316" s="53" t="s">
        <v>111</v>
      </c>
      <c r="G316" s="32">
        <v>44332</v>
      </c>
      <c r="H316" s="33">
        <v>0.52202546296296293</v>
      </c>
      <c r="I316" s="30" t="s">
        <v>96</v>
      </c>
      <c r="J316" s="34">
        <v>4951880</v>
      </c>
      <c r="K316" s="35" t="s">
        <v>17</v>
      </c>
      <c r="L316" s="36">
        <v>891338.4</v>
      </c>
      <c r="M316" s="30" t="s">
        <v>41</v>
      </c>
      <c r="N316" s="30" t="s">
        <v>42</v>
      </c>
      <c r="O316" s="30" t="s">
        <v>1542</v>
      </c>
      <c r="P316" s="30" t="s">
        <v>1542</v>
      </c>
      <c r="Q316" s="30" t="str">
        <f>VLOOKUP(WEEKDAY(G316),Key!$B$3:$C$9,2,0)</f>
        <v>Sunday</v>
      </c>
      <c r="R316" s="42" t="str">
        <f t="shared" si="12"/>
        <v>Within</v>
      </c>
      <c r="S316" s="41" t="str">
        <f t="shared" si="13"/>
        <v>Red Flag</v>
      </c>
      <c r="T316" s="30" t="str">
        <f t="shared" si="14"/>
        <v>FY 21-22</v>
      </c>
      <c r="U316" s="30" t="str">
        <f>VLOOKUP(MONTH(G316),Key!$F$3:$G$14,2,0)</f>
        <v>May</v>
      </c>
      <c r="V316" s="30" t="str">
        <f>IFERROR(IF(MATCH(F316,'Test 6'!C$5:C$9,0)&gt;0,"RP"),"NON-RP")</f>
        <v>RP</v>
      </c>
    </row>
    <row r="317" spans="2:22" x14ac:dyDescent="0.5">
      <c r="B317" s="30">
        <v>313</v>
      </c>
      <c r="C317" s="30" t="s">
        <v>723</v>
      </c>
      <c r="D317" s="31">
        <v>212254</v>
      </c>
      <c r="E317" s="30" t="s">
        <v>724</v>
      </c>
      <c r="F317" s="53" t="s">
        <v>195</v>
      </c>
      <c r="G317" s="32">
        <v>44334</v>
      </c>
      <c r="H317" s="33">
        <v>0.72546932169024148</v>
      </c>
      <c r="I317" s="30" t="s">
        <v>96</v>
      </c>
      <c r="J317" s="34">
        <v>422770</v>
      </c>
      <c r="K317" s="35" t="s">
        <v>17</v>
      </c>
      <c r="L317" s="36">
        <v>76098.599999999991</v>
      </c>
      <c r="M317" s="30" t="s">
        <v>28</v>
      </c>
      <c r="N317" s="30" t="s">
        <v>19</v>
      </c>
      <c r="O317" s="30" t="s">
        <v>1542</v>
      </c>
      <c r="P317" s="30" t="s">
        <v>1542</v>
      </c>
      <c r="Q317" s="30" t="str">
        <f>VLOOKUP(WEEKDAY(G317),Key!$B$3:$C$9,2,0)</f>
        <v>Tuesday</v>
      </c>
      <c r="R317" s="42" t="str">
        <f t="shared" si="12"/>
        <v>Within</v>
      </c>
      <c r="S317" s="41" t="str">
        <f t="shared" si="13"/>
        <v>Pass</v>
      </c>
      <c r="T317" s="30" t="str">
        <f t="shared" si="14"/>
        <v>FY 21-22</v>
      </c>
      <c r="U317" s="30" t="str">
        <f>VLOOKUP(MONTH(G317),Key!$F$3:$G$14,2,0)</f>
        <v>May</v>
      </c>
      <c r="V317" s="30" t="str">
        <f>IFERROR(IF(MATCH(F317,'Test 6'!C$5:C$9,0)&gt;0,"RP"),"NON-RP")</f>
        <v>NON-RP</v>
      </c>
    </row>
    <row r="318" spans="2:22" x14ac:dyDescent="0.5">
      <c r="B318" s="30">
        <v>314</v>
      </c>
      <c r="C318" s="30" t="s">
        <v>725</v>
      </c>
      <c r="D318" s="31">
        <v>212255</v>
      </c>
      <c r="E318" s="30" t="s">
        <v>726</v>
      </c>
      <c r="F318" s="53" t="s">
        <v>195</v>
      </c>
      <c r="G318" s="32">
        <v>44334</v>
      </c>
      <c r="H318" s="33">
        <v>0.57637117044145048</v>
      </c>
      <c r="I318" s="30" t="s">
        <v>96</v>
      </c>
      <c r="J318" s="34">
        <v>471550</v>
      </c>
      <c r="K318" s="35" t="s">
        <v>17</v>
      </c>
      <c r="L318" s="36">
        <v>84879</v>
      </c>
      <c r="M318" s="30" t="s">
        <v>28</v>
      </c>
      <c r="N318" s="30" t="s">
        <v>51</v>
      </c>
      <c r="O318" s="30" t="s">
        <v>1542</v>
      </c>
      <c r="P318" s="30" t="s">
        <v>1542</v>
      </c>
      <c r="Q318" s="30" t="str">
        <f>VLOOKUP(WEEKDAY(G318),Key!$B$3:$C$9,2,0)</f>
        <v>Tuesday</v>
      </c>
      <c r="R318" s="42" t="str">
        <f t="shared" si="12"/>
        <v>Within</v>
      </c>
      <c r="S318" s="41" t="str">
        <f t="shared" si="13"/>
        <v>Pass</v>
      </c>
      <c r="T318" s="30" t="str">
        <f t="shared" si="14"/>
        <v>FY 21-22</v>
      </c>
      <c r="U318" s="30" t="str">
        <f>VLOOKUP(MONTH(G318),Key!$F$3:$G$14,2,0)</f>
        <v>May</v>
      </c>
      <c r="V318" s="30" t="str">
        <f>IFERROR(IF(MATCH(F318,'Test 6'!C$5:C$9,0)&gt;0,"RP"),"NON-RP")</f>
        <v>NON-RP</v>
      </c>
    </row>
    <row r="319" spans="2:22" x14ac:dyDescent="0.5">
      <c r="B319" s="30">
        <v>315</v>
      </c>
      <c r="C319" s="30" t="s">
        <v>727</v>
      </c>
      <c r="D319" s="31">
        <v>212256</v>
      </c>
      <c r="E319" s="30" t="s">
        <v>728</v>
      </c>
      <c r="F319" s="53" t="s">
        <v>60</v>
      </c>
      <c r="G319" s="32">
        <v>44335</v>
      </c>
      <c r="H319" s="33">
        <v>0.46757277345035508</v>
      </c>
      <c r="I319" s="30" t="s">
        <v>16</v>
      </c>
      <c r="J319" s="34">
        <v>493100</v>
      </c>
      <c r="K319" s="35" t="s">
        <v>17</v>
      </c>
      <c r="L319" s="36">
        <v>88758</v>
      </c>
      <c r="M319" s="30" t="s">
        <v>61</v>
      </c>
      <c r="N319" s="30" t="s">
        <v>24</v>
      </c>
      <c r="O319" s="30" t="s">
        <v>1542</v>
      </c>
      <c r="P319" s="30" t="s">
        <v>1542</v>
      </c>
      <c r="Q319" s="30" t="str">
        <f>VLOOKUP(WEEKDAY(G319),Key!$B$3:$C$9,2,0)</f>
        <v>Wednesday</v>
      </c>
      <c r="R319" s="42" t="str">
        <f t="shared" si="12"/>
        <v>Within</v>
      </c>
      <c r="S319" s="41" t="str">
        <f t="shared" si="13"/>
        <v>Pass</v>
      </c>
      <c r="T319" s="30" t="str">
        <f t="shared" si="14"/>
        <v>FY 21-22</v>
      </c>
      <c r="U319" s="30" t="str">
        <f>VLOOKUP(MONTH(G319),Key!$F$3:$G$14,2,0)</f>
        <v>May</v>
      </c>
      <c r="V319" s="30" t="str">
        <f>IFERROR(IF(MATCH(F319,'Test 6'!C$5:C$9,0)&gt;0,"RP"),"NON-RP")</f>
        <v>NON-RP</v>
      </c>
    </row>
    <row r="320" spans="2:22" x14ac:dyDescent="0.5">
      <c r="B320" s="30">
        <v>316</v>
      </c>
      <c r="C320" s="30" t="s">
        <v>729</v>
      </c>
      <c r="D320" s="31">
        <v>212257</v>
      </c>
      <c r="E320" s="30" t="s">
        <v>730</v>
      </c>
      <c r="F320" s="53" t="s">
        <v>190</v>
      </c>
      <c r="G320" s="32">
        <v>44335</v>
      </c>
      <c r="H320" s="33">
        <v>0.70826716474561879</v>
      </c>
      <c r="I320" s="30" t="s">
        <v>96</v>
      </c>
      <c r="J320" s="34">
        <v>32770</v>
      </c>
      <c r="K320" s="35" t="s">
        <v>17</v>
      </c>
      <c r="L320" s="36">
        <v>5898.5999999999995</v>
      </c>
      <c r="M320" s="30" t="s">
        <v>200</v>
      </c>
      <c r="N320" s="30" t="s">
        <v>37</v>
      </c>
      <c r="O320" s="30" t="s">
        <v>1542</v>
      </c>
      <c r="P320" s="30" t="s">
        <v>1542</v>
      </c>
      <c r="Q320" s="30" t="str">
        <f>VLOOKUP(WEEKDAY(G320),Key!$B$3:$C$9,2,0)</f>
        <v>Wednesday</v>
      </c>
      <c r="R320" s="42" t="str">
        <f t="shared" si="12"/>
        <v>Within</v>
      </c>
      <c r="S320" s="41" t="str">
        <f t="shared" si="13"/>
        <v>Pass</v>
      </c>
      <c r="T320" s="30" t="str">
        <f t="shared" si="14"/>
        <v>FY 21-22</v>
      </c>
      <c r="U320" s="30" t="str">
        <f>VLOOKUP(MONTH(G320),Key!$F$3:$G$14,2,0)</f>
        <v>May</v>
      </c>
      <c r="V320" s="30" t="str">
        <f>IFERROR(IF(MATCH(F320,'Test 6'!C$5:C$9,0)&gt;0,"RP"),"NON-RP")</f>
        <v>NON-RP</v>
      </c>
    </row>
    <row r="321" spans="2:22" x14ac:dyDescent="0.5">
      <c r="B321" s="30">
        <v>317</v>
      </c>
      <c r="C321" s="30" t="s">
        <v>731</v>
      </c>
      <c r="D321" s="31">
        <v>212258</v>
      </c>
      <c r="E321" s="30" t="s">
        <v>732</v>
      </c>
      <c r="F321" s="53" t="s">
        <v>290</v>
      </c>
      <c r="G321" s="32">
        <v>44337</v>
      </c>
      <c r="H321" s="33">
        <v>0.46377472884033621</v>
      </c>
      <c r="I321" s="30" t="s">
        <v>96</v>
      </c>
      <c r="J321" s="34">
        <v>33370</v>
      </c>
      <c r="K321" s="35" t="s">
        <v>17</v>
      </c>
      <c r="L321" s="36">
        <v>6006.5999999999995</v>
      </c>
      <c r="M321" s="30" t="s">
        <v>200</v>
      </c>
      <c r="N321" s="30" t="s">
        <v>28</v>
      </c>
      <c r="O321" s="30" t="s">
        <v>1542</v>
      </c>
      <c r="P321" s="30" t="s">
        <v>1542</v>
      </c>
      <c r="Q321" s="30" t="str">
        <f>VLOOKUP(WEEKDAY(G321),Key!$B$3:$C$9,2,0)</f>
        <v>Friday</v>
      </c>
      <c r="R321" s="42" t="str">
        <f t="shared" si="12"/>
        <v>Within</v>
      </c>
      <c r="S321" s="41" t="str">
        <f t="shared" si="13"/>
        <v>Pass</v>
      </c>
      <c r="T321" s="30" t="str">
        <f t="shared" si="14"/>
        <v>FY 21-22</v>
      </c>
      <c r="U321" s="30" t="str">
        <f>VLOOKUP(MONTH(G321),Key!$F$3:$G$14,2,0)</f>
        <v>May</v>
      </c>
      <c r="V321" s="30" t="str">
        <f>IFERROR(IF(MATCH(F321,'Test 6'!C$5:C$9,0)&gt;0,"RP"),"NON-RP")</f>
        <v>NON-RP</v>
      </c>
    </row>
    <row r="322" spans="2:22" x14ac:dyDescent="0.5">
      <c r="B322" s="30">
        <v>318</v>
      </c>
      <c r="C322" s="30" t="s">
        <v>733</v>
      </c>
      <c r="D322" s="31">
        <v>212259</v>
      </c>
      <c r="E322" s="30" t="s">
        <v>734</v>
      </c>
      <c r="F322" s="53" t="s">
        <v>72</v>
      </c>
      <c r="G322" s="32">
        <v>44337</v>
      </c>
      <c r="H322" s="33">
        <v>0.55455940339021581</v>
      </c>
      <c r="I322" s="30" t="s">
        <v>96</v>
      </c>
      <c r="J322" s="34">
        <v>33290</v>
      </c>
      <c r="K322" s="35" t="s">
        <v>17</v>
      </c>
      <c r="L322" s="36">
        <v>5992.2</v>
      </c>
      <c r="M322" s="30" t="s">
        <v>168</v>
      </c>
      <c r="N322" s="30" t="s">
        <v>61</v>
      </c>
      <c r="O322" s="30" t="s">
        <v>1542</v>
      </c>
      <c r="P322" s="30" t="s">
        <v>1542</v>
      </c>
      <c r="Q322" s="30" t="str">
        <f>VLOOKUP(WEEKDAY(G322),Key!$B$3:$C$9,2,0)</f>
        <v>Friday</v>
      </c>
      <c r="R322" s="42" t="str">
        <f t="shared" si="12"/>
        <v>Within</v>
      </c>
      <c r="S322" s="41" t="str">
        <f t="shared" si="13"/>
        <v>Pass</v>
      </c>
      <c r="T322" s="30" t="str">
        <f t="shared" si="14"/>
        <v>FY 21-22</v>
      </c>
      <c r="U322" s="30" t="str">
        <f>VLOOKUP(MONTH(G322),Key!$F$3:$G$14,2,0)</f>
        <v>May</v>
      </c>
      <c r="V322" s="30" t="str">
        <f>IFERROR(IF(MATCH(F322,'Test 6'!C$5:C$9,0)&gt;0,"RP"),"NON-RP")</f>
        <v>NON-RP</v>
      </c>
    </row>
    <row r="323" spans="2:22" x14ac:dyDescent="0.5">
      <c r="B323" s="30">
        <v>319</v>
      </c>
      <c r="C323" s="30" t="s">
        <v>735</v>
      </c>
      <c r="D323" s="31">
        <v>212260</v>
      </c>
      <c r="E323" s="30" t="s">
        <v>736</v>
      </c>
      <c r="F323" s="53" t="s">
        <v>54</v>
      </c>
      <c r="G323" s="32">
        <v>44337</v>
      </c>
      <c r="H323" s="33">
        <v>0.54141026936575443</v>
      </c>
      <c r="I323" s="30" t="s">
        <v>96</v>
      </c>
      <c r="J323" s="34">
        <v>31350</v>
      </c>
      <c r="K323" s="35" t="s">
        <v>17</v>
      </c>
      <c r="L323" s="36">
        <v>5643</v>
      </c>
      <c r="M323" s="30" t="s">
        <v>737</v>
      </c>
      <c r="N323" s="30" t="s">
        <v>37</v>
      </c>
      <c r="O323" s="30" t="s">
        <v>1542</v>
      </c>
      <c r="P323" s="30" t="s">
        <v>1542</v>
      </c>
      <c r="Q323" s="30" t="str">
        <f>VLOOKUP(WEEKDAY(G323),Key!$B$3:$C$9,2,0)</f>
        <v>Friday</v>
      </c>
      <c r="R323" s="42" t="str">
        <f t="shared" si="12"/>
        <v>Within</v>
      </c>
      <c r="S323" s="41" t="str">
        <f t="shared" si="13"/>
        <v>Pass</v>
      </c>
      <c r="T323" s="30" t="str">
        <f t="shared" si="14"/>
        <v>FY 21-22</v>
      </c>
      <c r="U323" s="30" t="str">
        <f>VLOOKUP(MONTH(G323),Key!$F$3:$G$14,2,0)</f>
        <v>May</v>
      </c>
      <c r="V323" s="30" t="str">
        <f>IFERROR(IF(MATCH(F323,'Test 6'!C$5:C$9,0)&gt;0,"RP"),"NON-RP")</f>
        <v>NON-RP</v>
      </c>
    </row>
    <row r="324" spans="2:22" x14ac:dyDescent="0.5">
      <c r="B324" s="30">
        <v>320</v>
      </c>
      <c r="C324" s="30" t="s">
        <v>738</v>
      </c>
      <c r="D324" s="31">
        <v>212261</v>
      </c>
      <c r="E324" s="30" t="s">
        <v>739</v>
      </c>
      <c r="F324" s="53" t="s">
        <v>308</v>
      </c>
      <c r="G324" s="32">
        <v>44339</v>
      </c>
      <c r="H324" s="33">
        <v>0.44253472222222223</v>
      </c>
      <c r="I324" s="30" t="s">
        <v>96</v>
      </c>
      <c r="J324" s="34">
        <v>4062620</v>
      </c>
      <c r="K324" s="35" t="s">
        <v>17</v>
      </c>
      <c r="L324" s="36">
        <v>731271.6</v>
      </c>
      <c r="M324" s="30" t="s">
        <v>701</v>
      </c>
      <c r="N324" s="30" t="s">
        <v>41</v>
      </c>
      <c r="O324" s="30" t="s">
        <v>1542</v>
      </c>
      <c r="P324" s="30" t="s">
        <v>1542</v>
      </c>
      <c r="Q324" s="30" t="str">
        <f>VLOOKUP(WEEKDAY(G324),Key!$B$3:$C$9,2,0)</f>
        <v>Sunday</v>
      </c>
      <c r="R324" s="42" t="str">
        <f t="shared" si="12"/>
        <v>Within</v>
      </c>
      <c r="S324" s="41" t="str">
        <f t="shared" si="13"/>
        <v>Red Flag</v>
      </c>
      <c r="T324" s="30" t="str">
        <f t="shared" si="14"/>
        <v>FY 21-22</v>
      </c>
      <c r="U324" s="30" t="str">
        <f>VLOOKUP(MONTH(G324),Key!$F$3:$G$14,2,0)</f>
        <v>May</v>
      </c>
      <c r="V324" s="30" t="str">
        <f>IFERROR(IF(MATCH(F324,'Test 6'!C$5:C$9,0)&gt;0,"RP"),"NON-RP")</f>
        <v>RP</v>
      </c>
    </row>
    <row r="325" spans="2:22" x14ac:dyDescent="0.5">
      <c r="B325" s="30">
        <v>321</v>
      </c>
      <c r="C325" s="30" t="s">
        <v>740</v>
      </c>
      <c r="D325" s="31">
        <v>212262</v>
      </c>
      <c r="E325" s="30" t="s">
        <v>741</v>
      </c>
      <c r="F325" s="53" t="s">
        <v>308</v>
      </c>
      <c r="G325" s="32">
        <v>44338</v>
      </c>
      <c r="H325" s="33">
        <v>0.81618055555555558</v>
      </c>
      <c r="I325" s="30" t="s">
        <v>96</v>
      </c>
      <c r="J325" s="34">
        <v>4672170</v>
      </c>
      <c r="K325" s="35" t="s">
        <v>17</v>
      </c>
      <c r="L325" s="36">
        <v>840990.6</v>
      </c>
      <c r="M325" s="30" t="s">
        <v>41</v>
      </c>
      <c r="N325" s="30" t="s">
        <v>42</v>
      </c>
      <c r="O325" s="30" t="s">
        <v>1542</v>
      </c>
      <c r="P325" s="30" t="s">
        <v>1542</v>
      </c>
      <c r="Q325" s="30" t="str">
        <f>VLOOKUP(WEEKDAY(G325),Key!$B$3:$C$9,2,0)</f>
        <v>Saturday</v>
      </c>
      <c r="R325" s="42" t="str">
        <f t="shared" ref="R325:R388" si="15">IF(AND(H325&lt;TIME(18,0,0),H325&gt;TIME(10,0,0)),"Within","Outside")</f>
        <v>Outside</v>
      </c>
      <c r="S325" s="41" t="str">
        <f t="shared" si="13"/>
        <v>Red Flag</v>
      </c>
      <c r="T325" s="30" t="str">
        <f t="shared" si="14"/>
        <v>FY 21-22</v>
      </c>
      <c r="U325" s="30" t="str">
        <f>VLOOKUP(MONTH(G325),Key!$F$3:$G$14,2,0)</f>
        <v>May</v>
      </c>
      <c r="V325" s="30" t="str">
        <f>IFERROR(IF(MATCH(F325,'Test 6'!C$5:C$9,0)&gt;0,"RP"),"NON-RP")</f>
        <v>RP</v>
      </c>
    </row>
    <row r="326" spans="2:22" x14ac:dyDescent="0.5">
      <c r="B326" s="30">
        <v>322</v>
      </c>
      <c r="C326" s="30" t="s">
        <v>742</v>
      </c>
      <c r="D326" s="31">
        <v>212263</v>
      </c>
      <c r="E326" s="30" t="s">
        <v>743</v>
      </c>
      <c r="F326" s="53" t="s">
        <v>35</v>
      </c>
      <c r="G326" s="32">
        <v>44338</v>
      </c>
      <c r="H326" s="33">
        <v>0.45474189685013222</v>
      </c>
      <c r="I326" s="30" t="s">
        <v>96</v>
      </c>
      <c r="J326" s="34">
        <v>33750</v>
      </c>
      <c r="K326" s="35" t="s">
        <v>17</v>
      </c>
      <c r="L326" s="36">
        <v>6075</v>
      </c>
      <c r="M326" s="30" t="s">
        <v>704</v>
      </c>
      <c r="N326" s="30" t="s">
        <v>28</v>
      </c>
      <c r="O326" s="30" t="s">
        <v>1542</v>
      </c>
      <c r="P326" s="30" t="s">
        <v>1542</v>
      </c>
      <c r="Q326" s="30" t="str">
        <f>VLOOKUP(WEEKDAY(G326),Key!$B$3:$C$9,2,0)</f>
        <v>Saturday</v>
      </c>
      <c r="R326" s="42" t="str">
        <f t="shared" si="15"/>
        <v>Within</v>
      </c>
      <c r="S326" s="41" t="str">
        <f t="shared" ref="S326:S389" si="16">IF(OR(Q326="Sunday",R326="outside"),"Red Flag","Pass")</f>
        <v>Pass</v>
      </c>
      <c r="T326" s="30" t="str">
        <f t="shared" ref="T326:T389" si="17">IF(AND(DATE(2021,4,1)&lt;=G326,G326&lt;=DATE(2022,3,31)),"FY 21-22","FY 20-21")</f>
        <v>FY 21-22</v>
      </c>
      <c r="U326" s="30" t="str">
        <f>VLOOKUP(MONTH(G326),Key!$F$3:$G$14,2,0)</f>
        <v>May</v>
      </c>
      <c r="V326" s="30" t="str">
        <f>IFERROR(IF(MATCH(F326,'Test 6'!C$5:C$9,0)&gt;0,"RP"),"NON-RP")</f>
        <v>NON-RP</v>
      </c>
    </row>
    <row r="327" spans="2:22" x14ac:dyDescent="0.5">
      <c r="B327" s="30">
        <v>323</v>
      </c>
      <c r="C327" s="30" t="s">
        <v>744</v>
      </c>
      <c r="D327" s="31">
        <v>212264</v>
      </c>
      <c r="E327" s="30" t="s">
        <v>745</v>
      </c>
      <c r="F327" s="53" t="s">
        <v>119</v>
      </c>
      <c r="G327" s="32">
        <v>44338</v>
      </c>
      <c r="H327" s="33">
        <v>0.43889485029752795</v>
      </c>
      <c r="I327" s="30" t="s">
        <v>96</v>
      </c>
      <c r="J327" s="34">
        <v>31040</v>
      </c>
      <c r="K327" s="35" t="s">
        <v>17</v>
      </c>
      <c r="L327" s="36">
        <v>5587.2</v>
      </c>
      <c r="M327" s="30" t="s">
        <v>134</v>
      </c>
      <c r="N327" s="30" t="s">
        <v>46</v>
      </c>
      <c r="O327" s="30" t="s">
        <v>1542</v>
      </c>
      <c r="P327" s="30" t="s">
        <v>1542</v>
      </c>
      <c r="Q327" s="30" t="str">
        <f>VLOOKUP(WEEKDAY(G327),Key!$B$3:$C$9,2,0)</f>
        <v>Saturday</v>
      </c>
      <c r="R327" s="42" t="str">
        <f t="shared" si="15"/>
        <v>Within</v>
      </c>
      <c r="S327" s="41" t="str">
        <f t="shared" si="16"/>
        <v>Pass</v>
      </c>
      <c r="T327" s="30" t="str">
        <f t="shared" si="17"/>
        <v>FY 21-22</v>
      </c>
      <c r="U327" s="30" t="str">
        <f>VLOOKUP(MONTH(G327),Key!$F$3:$G$14,2,0)</f>
        <v>May</v>
      </c>
      <c r="V327" s="30" t="str">
        <f>IFERROR(IF(MATCH(F327,'Test 6'!C$5:C$9,0)&gt;0,"RP"),"NON-RP")</f>
        <v>NON-RP</v>
      </c>
    </row>
    <row r="328" spans="2:22" x14ac:dyDescent="0.5">
      <c r="B328" s="30">
        <v>324</v>
      </c>
      <c r="C328" s="30" t="s">
        <v>746</v>
      </c>
      <c r="D328" s="31">
        <v>212265</v>
      </c>
      <c r="E328" s="30" t="s">
        <v>747</v>
      </c>
      <c r="F328" s="53" t="s">
        <v>67</v>
      </c>
      <c r="G328" s="32">
        <v>44340</v>
      </c>
      <c r="H328" s="33">
        <v>0.51103704191676269</v>
      </c>
      <c r="I328" s="30" t="s">
        <v>96</v>
      </c>
      <c r="J328" s="34">
        <v>36470</v>
      </c>
      <c r="K328" s="35" t="s">
        <v>17</v>
      </c>
      <c r="L328" s="36">
        <v>6564.5999999999995</v>
      </c>
      <c r="M328" s="30" t="s">
        <v>36</v>
      </c>
      <c r="N328" s="30" t="s">
        <v>28</v>
      </c>
      <c r="O328" s="30" t="s">
        <v>1542</v>
      </c>
      <c r="P328" s="30" t="s">
        <v>1542</v>
      </c>
      <c r="Q328" s="30" t="str">
        <f>VLOOKUP(WEEKDAY(G328),Key!$B$3:$C$9,2,0)</f>
        <v>Monday</v>
      </c>
      <c r="R328" s="42" t="str">
        <f t="shared" si="15"/>
        <v>Within</v>
      </c>
      <c r="S328" s="41" t="str">
        <f t="shared" si="16"/>
        <v>Pass</v>
      </c>
      <c r="T328" s="30" t="str">
        <f t="shared" si="17"/>
        <v>FY 21-22</v>
      </c>
      <c r="U328" s="30" t="str">
        <f>VLOOKUP(MONTH(G328),Key!$F$3:$G$14,2,0)</f>
        <v>May</v>
      </c>
      <c r="V328" s="30" t="str">
        <f>IFERROR(IF(MATCH(F328,'Test 6'!C$5:C$9,0)&gt;0,"RP"),"NON-RP")</f>
        <v>NON-RP</v>
      </c>
    </row>
    <row r="329" spans="2:22" x14ac:dyDescent="0.5">
      <c r="B329" s="30">
        <v>325</v>
      </c>
      <c r="C329" s="30" t="s">
        <v>748</v>
      </c>
      <c r="D329" s="31">
        <v>212266</v>
      </c>
      <c r="E329" s="30" t="s">
        <v>749</v>
      </c>
      <c r="F329" s="53" t="s">
        <v>195</v>
      </c>
      <c r="G329" s="32">
        <v>44340</v>
      </c>
      <c r="H329" s="33">
        <v>0.72362998086032926</v>
      </c>
      <c r="I329" s="30" t="s">
        <v>96</v>
      </c>
      <c r="J329" s="34">
        <v>31200</v>
      </c>
      <c r="K329" s="35" t="s">
        <v>17</v>
      </c>
      <c r="L329" s="36">
        <v>5616</v>
      </c>
      <c r="M329" s="30" t="s">
        <v>36</v>
      </c>
      <c r="N329" s="30" t="s">
        <v>18</v>
      </c>
      <c r="O329" s="30" t="s">
        <v>1542</v>
      </c>
      <c r="P329" s="30" t="s">
        <v>1542</v>
      </c>
      <c r="Q329" s="30" t="str">
        <f>VLOOKUP(WEEKDAY(G329),Key!$B$3:$C$9,2,0)</f>
        <v>Monday</v>
      </c>
      <c r="R329" s="42" t="str">
        <f t="shared" si="15"/>
        <v>Within</v>
      </c>
      <c r="S329" s="41" t="str">
        <f t="shared" si="16"/>
        <v>Pass</v>
      </c>
      <c r="T329" s="30" t="str">
        <f t="shared" si="17"/>
        <v>FY 21-22</v>
      </c>
      <c r="U329" s="30" t="str">
        <f>VLOOKUP(MONTH(G329),Key!$F$3:$G$14,2,0)</f>
        <v>May</v>
      </c>
      <c r="V329" s="30" t="str">
        <f>IFERROR(IF(MATCH(F329,'Test 6'!C$5:C$9,0)&gt;0,"RP"),"NON-RP")</f>
        <v>NON-RP</v>
      </c>
    </row>
    <row r="330" spans="2:22" x14ac:dyDescent="0.5">
      <c r="B330" s="30">
        <v>326</v>
      </c>
      <c r="C330" s="30" t="s">
        <v>750</v>
      </c>
      <c r="D330" s="31">
        <v>212267</v>
      </c>
      <c r="E330" s="30" t="s">
        <v>751</v>
      </c>
      <c r="F330" s="53" t="s">
        <v>262</v>
      </c>
      <c r="G330" s="32">
        <v>44344</v>
      </c>
      <c r="H330" s="33">
        <v>0.45750459106533525</v>
      </c>
      <c r="I330" s="30" t="s">
        <v>96</v>
      </c>
      <c r="J330" s="34">
        <v>384050</v>
      </c>
      <c r="K330" s="35" t="s">
        <v>17</v>
      </c>
      <c r="L330" s="36">
        <v>69129</v>
      </c>
      <c r="M330" s="30" t="s">
        <v>23</v>
      </c>
      <c r="N330" s="30" t="s">
        <v>68</v>
      </c>
      <c r="O330" s="30" t="s">
        <v>1542</v>
      </c>
      <c r="P330" s="30" t="s">
        <v>1542</v>
      </c>
      <c r="Q330" s="30" t="str">
        <f>VLOOKUP(WEEKDAY(G330),Key!$B$3:$C$9,2,0)</f>
        <v>Friday</v>
      </c>
      <c r="R330" s="42" t="str">
        <f t="shared" si="15"/>
        <v>Within</v>
      </c>
      <c r="S330" s="41" t="str">
        <f t="shared" si="16"/>
        <v>Pass</v>
      </c>
      <c r="T330" s="30" t="str">
        <f t="shared" si="17"/>
        <v>FY 21-22</v>
      </c>
      <c r="U330" s="30" t="str">
        <f>VLOOKUP(MONTH(G330),Key!$F$3:$G$14,2,0)</f>
        <v>May</v>
      </c>
      <c r="V330" s="30" t="str">
        <f>IFERROR(IF(MATCH(F330,'Test 6'!C$5:C$9,0)&gt;0,"RP"),"NON-RP")</f>
        <v>NON-RP</v>
      </c>
    </row>
    <row r="331" spans="2:22" x14ac:dyDescent="0.5">
      <c r="B331" s="30">
        <v>327</v>
      </c>
      <c r="C331" s="30" t="s">
        <v>752</v>
      </c>
      <c r="D331" s="31">
        <v>212268</v>
      </c>
      <c r="E331" s="30" t="s">
        <v>753</v>
      </c>
      <c r="F331" s="53" t="s">
        <v>229</v>
      </c>
      <c r="G331" s="32">
        <v>44344</v>
      </c>
      <c r="H331" s="33">
        <v>0.55347103736384562</v>
      </c>
      <c r="I331" s="30" t="s">
        <v>96</v>
      </c>
      <c r="J331" s="34">
        <v>487120</v>
      </c>
      <c r="K331" s="35" t="s">
        <v>17</v>
      </c>
      <c r="L331" s="36">
        <v>87681.599999999991</v>
      </c>
      <c r="M331" s="30" t="s">
        <v>32</v>
      </c>
      <c r="N331" s="30" t="s">
        <v>47</v>
      </c>
      <c r="O331" s="30" t="s">
        <v>1542</v>
      </c>
      <c r="P331" s="30" t="s">
        <v>1542</v>
      </c>
      <c r="Q331" s="30" t="str">
        <f>VLOOKUP(WEEKDAY(G331),Key!$B$3:$C$9,2,0)</f>
        <v>Friday</v>
      </c>
      <c r="R331" s="42" t="str">
        <f t="shared" si="15"/>
        <v>Within</v>
      </c>
      <c r="S331" s="41" t="str">
        <f t="shared" si="16"/>
        <v>Pass</v>
      </c>
      <c r="T331" s="30" t="str">
        <f t="shared" si="17"/>
        <v>FY 21-22</v>
      </c>
      <c r="U331" s="30" t="str">
        <f>VLOOKUP(MONTH(G331),Key!$F$3:$G$14,2,0)</f>
        <v>May</v>
      </c>
      <c r="V331" s="30" t="str">
        <f>IFERROR(IF(MATCH(F331,'Test 6'!C$5:C$9,0)&gt;0,"RP"),"NON-RP")</f>
        <v>NON-RP</v>
      </c>
    </row>
    <row r="332" spans="2:22" x14ac:dyDescent="0.5">
      <c r="B332" s="30">
        <v>328</v>
      </c>
      <c r="C332" s="30" t="s">
        <v>754</v>
      </c>
      <c r="D332" s="31">
        <v>212269</v>
      </c>
      <c r="E332" s="30" t="s">
        <v>755</v>
      </c>
      <c r="F332" s="53" t="s">
        <v>577</v>
      </c>
      <c r="G332" s="32">
        <v>44345</v>
      </c>
      <c r="H332" s="33">
        <v>0.82333333333333336</v>
      </c>
      <c r="I332" s="30" t="s">
        <v>96</v>
      </c>
      <c r="J332" s="34">
        <v>4611710</v>
      </c>
      <c r="K332" s="35" t="s">
        <v>17</v>
      </c>
      <c r="L332" s="36">
        <v>830107.79999999993</v>
      </c>
      <c r="M332" s="30" t="s">
        <v>41</v>
      </c>
      <c r="N332" s="30" t="s">
        <v>42</v>
      </c>
      <c r="O332" s="30" t="s">
        <v>1542</v>
      </c>
      <c r="P332" s="30" t="s">
        <v>1542</v>
      </c>
      <c r="Q332" s="30" t="str">
        <f>VLOOKUP(WEEKDAY(G332),Key!$B$3:$C$9,2,0)</f>
        <v>Saturday</v>
      </c>
      <c r="R332" s="42" t="str">
        <f t="shared" si="15"/>
        <v>Outside</v>
      </c>
      <c r="S332" s="41" t="str">
        <f t="shared" si="16"/>
        <v>Red Flag</v>
      </c>
      <c r="T332" s="30" t="str">
        <f t="shared" si="17"/>
        <v>FY 21-22</v>
      </c>
      <c r="U332" s="30" t="str">
        <f>VLOOKUP(MONTH(G332),Key!$F$3:$G$14,2,0)</f>
        <v>May</v>
      </c>
      <c r="V332" s="30" t="str">
        <f>IFERROR(IF(MATCH(F332,'Test 6'!C$5:C$9,0)&gt;0,"RP"),"NON-RP")</f>
        <v>RP</v>
      </c>
    </row>
    <row r="333" spans="2:22" x14ac:dyDescent="0.5">
      <c r="B333" s="30">
        <v>329</v>
      </c>
      <c r="C333" s="30" t="s">
        <v>756</v>
      </c>
      <c r="D333" s="31">
        <v>212270</v>
      </c>
      <c r="E333" s="30" t="s">
        <v>757</v>
      </c>
      <c r="F333" s="53" t="s">
        <v>114</v>
      </c>
      <c r="G333" s="32">
        <v>44347</v>
      </c>
      <c r="H333" s="33">
        <v>0.55449804565254512</v>
      </c>
      <c r="I333" s="30" t="s">
        <v>96</v>
      </c>
      <c r="J333" s="34">
        <v>302270</v>
      </c>
      <c r="K333" s="35" t="s">
        <v>17</v>
      </c>
      <c r="L333" s="36">
        <v>54408.6</v>
      </c>
      <c r="M333" s="30" t="s">
        <v>61</v>
      </c>
      <c r="N333" s="30" t="s">
        <v>47</v>
      </c>
      <c r="O333" s="30" t="s">
        <v>1542</v>
      </c>
      <c r="P333" s="30" t="s">
        <v>1542</v>
      </c>
      <c r="Q333" s="30" t="str">
        <f>VLOOKUP(WEEKDAY(G333),Key!$B$3:$C$9,2,0)</f>
        <v>Monday</v>
      </c>
      <c r="R333" s="42" t="str">
        <f t="shared" si="15"/>
        <v>Within</v>
      </c>
      <c r="S333" s="41" t="str">
        <f t="shared" si="16"/>
        <v>Pass</v>
      </c>
      <c r="T333" s="30" t="str">
        <f t="shared" si="17"/>
        <v>FY 21-22</v>
      </c>
      <c r="U333" s="30" t="str">
        <f>VLOOKUP(MONTH(G333),Key!$F$3:$G$14,2,0)</f>
        <v>May</v>
      </c>
      <c r="V333" s="30" t="str">
        <f>IFERROR(IF(MATCH(F333,'Test 6'!C$5:C$9,0)&gt;0,"RP"),"NON-RP")</f>
        <v>NON-RP</v>
      </c>
    </row>
    <row r="334" spans="2:22" x14ac:dyDescent="0.5">
      <c r="B334" s="30">
        <v>330</v>
      </c>
      <c r="C334" s="30" t="s">
        <v>758</v>
      </c>
      <c r="D334" s="31">
        <v>212271</v>
      </c>
      <c r="E334" s="30" t="s">
        <v>759</v>
      </c>
      <c r="F334" s="53" t="s">
        <v>81</v>
      </c>
      <c r="G334" s="32">
        <v>44347</v>
      </c>
      <c r="H334" s="33">
        <v>0.44251818561374939</v>
      </c>
      <c r="I334" s="30" t="s">
        <v>96</v>
      </c>
      <c r="J334" s="34">
        <v>255750</v>
      </c>
      <c r="K334" s="35" t="s">
        <v>17</v>
      </c>
      <c r="L334" s="36">
        <v>46035</v>
      </c>
      <c r="M334" s="30" t="s">
        <v>46</v>
      </c>
      <c r="N334" s="30" t="s">
        <v>24</v>
      </c>
      <c r="O334" s="30" t="s">
        <v>1542</v>
      </c>
      <c r="P334" s="30" t="s">
        <v>1542</v>
      </c>
      <c r="Q334" s="30" t="str">
        <f>VLOOKUP(WEEKDAY(G334),Key!$B$3:$C$9,2,0)</f>
        <v>Monday</v>
      </c>
      <c r="R334" s="42" t="str">
        <f t="shared" si="15"/>
        <v>Within</v>
      </c>
      <c r="S334" s="41" t="str">
        <f t="shared" si="16"/>
        <v>Pass</v>
      </c>
      <c r="T334" s="30" t="str">
        <f t="shared" si="17"/>
        <v>FY 21-22</v>
      </c>
      <c r="U334" s="30" t="str">
        <f>VLOOKUP(MONTH(G334),Key!$F$3:$G$14,2,0)</f>
        <v>May</v>
      </c>
      <c r="V334" s="30" t="str">
        <f>IFERROR(IF(MATCH(F334,'Test 6'!C$5:C$9,0)&gt;0,"RP"),"NON-RP")</f>
        <v>NON-RP</v>
      </c>
    </row>
    <row r="335" spans="2:22" x14ac:dyDescent="0.5">
      <c r="B335" s="30">
        <v>331</v>
      </c>
      <c r="C335" s="30" t="s">
        <v>760</v>
      </c>
      <c r="D335" s="31">
        <v>212272</v>
      </c>
      <c r="E335" s="30" t="s">
        <v>761</v>
      </c>
      <c r="F335" s="53" t="s">
        <v>272</v>
      </c>
      <c r="G335" s="32">
        <v>44348</v>
      </c>
      <c r="H335" s="33">
        <v>0.48597316105184163</v>
      </c>
      <c r="I335" s="30" t="s">
        <v>163</v>
      </c>
      <c r="J335" s="34">
        <v>371830</v>
      </c>
      <c r="K335" s="35" t="s">
        <v>17</v>
      </c>
      <c r="L335" s="36">
        <v>66929.399999999994</v>
      </c>
      <c r="M335" s="30" t="s">
        <v>28</v>
      </c>
      <c r="N335" s="30" t="s">
        <v>24</v>
      </c>
      <c r="O335" s="30" t="s">
        <v>1542</v>
      </c>
      <c r="P335" s="30" t="s">
        <v>1542</v>
      </c>
      <c r="Q335" s="30" t="str">
        <f>VLOOKUP(WEEKDAY(G335),Key!$B$3:$C$9,2,0)</f>
        <v>Tuesday</v>
      </c>
      <c r="R335" s="42" t="str">
        <f t="shared" si="15"/>
        <v>Within</v>
      </c>
      <c r="S335" s="41" t="str">
        <f t="shared" si="16"/>
        <v>Pass</v>
      </c>
      <c r="T335" s="30" t="str">
        <f t="shared" si="17"/>
        <v>FY 21-22</v>
      </c>
      <c r="U335" s="30" t="str">
        <f>VLOOKUP(MONTH(G335),Key!$F$3:$G$14,2,0)</f>
        <v>Jun</v>
      </c>
      <c r="V335" s="30" t="str">
        <f>IFERROR(IF(MATCH(F335,'Test 6'!C$5:C$9,0)&gt;0,"RP"),"NON-RP")</f>
        <v>NON-RP</v>
      </c>
    </row>
    <row r="336" spans="2:22" x14ac:dyDescent="0.5">
      <c r="B336" s="30">
        <v>332</v>
      </c>
      <c r="C336" s="30" t="s">
        <v>762</v>
      </c>
      <c r="D336" s="31">
        <v>212273</v>
      </c>
      <c r="E336" s="30" t="s">
        <v>763</v>
      </c>
      <c r="F336" s="53" t="s">
        <v>125</v>
      </c>
      <c r="G336" s="32">
        <v>44348</v>
      </c>
      <c r="H336" s="33">
        <v>0.61491673644933065</v>
      </c>
      <c r="I336" s="30" t="s">
        <v>163</v>
      </c>
      <c r="J336" s="34">
        <v>493750</v>
      </c>
      <c r="K336" s="35" t="s">
        <v>17</v>
      </c>
      <c r="L336" s="36">
        <v>88875</v>
      </c>
      <c r="M336" s="30" t="s">
        <v>23</v>
      </c>
      <c r="N336" s="30" t="s">
        <v>24</v>
      </c>
      <c r="O336" s="30" t="s">
        <v>1542</v>
      </c>
      <c r="P336" s="30" t="s">
        <v>1542</v>
      </c>
      <c r="Q336" s="30" t="str">
        <f>VLOOKUP(WEEKDAY(G336),Key!$B$3:$C$9,2,0)</f>
        <v>Tuesday</v>
      </c>
      <c r="R336" s="42" t="str">
        <f t="shared" si="15"/>
        <v>Within</v>
      </c>
      <c r="S336" s="41" t="str">
        <f t="shared" si="16"/>
        <v>Pass</v>
      </c>
      <c r="T336" s="30" t="str">
        <f t="shared" si="17"/>
        <v>FY 21-22</v>
      </c>
      <c r="U336" s="30" t="str">
        <f>VLOOKUP(MONTH(G336),Key!$F$3:$G$14,2,0)</f>
        <v>Jun</v>
      </c>
      <c r="V336" s="30" t="str">
        <f>IFERROR(IF(MATCH(F336,'Test 6'!C$5:C$9,0)&gt;0,"RP"),"NON-RP")</f>
        <v>NON-RP</v>
      </c>
    </row>
    <row r="337" spans="2:22" x14ac:dyDescent="0.5">
      <c r="B337" s="30">
        <v>333</v>
      </c>
      <c r="C337" s="30" t="s">
        <v>764</v>
      </c>
      <c r="D337" s="31">
        <v>212274</v>
      </c>
      <c r="E337" s="30" t="s">
        <v>765</v>
      </c>
      <c r="F337" s="53" t="s">
        <v>203</v>
      </c>
      <c r="G337" s="32">
        <v>44350</v>
      </c>
      <c r="H337" s="33">
        <v>0.66233493035262181</v>
      </c>
      <c r="I337" s="30" t="s">
        <v>163</v>
      </c>
      <c r="J337" s="34">
        <v>407360</v>
      </c>
      <c r="K337" s="35" t="s">
        <v>17</v>
      </c>
      <c r="L337" s="36">
        <v>73324.800000000003</v>
      </c>
      <c r="M337" s="30" t="s">
        <v>28</v>
      </c>
      <c r="N337" s="30" t="s">
        <v>47</v>
      </c>
      <c r="O337" s="30" t="s">
        <v>1542</v>
      </c>
      <c r="P337" s="30" t="s">
        <v>1542</v>
      </c>
      <c r="Q337" s="30" t="str">
        <f>VLOOKUP(WEEKDAY(G337),Key!$B$3:$C$9,2,0)</f>
        <v>Thursday</v>
      </c>
      <c r="R337" s="42" t="str">
        <f t="shared" si="15"/>
        <v>Within</v>
      </c>
      <c r="S337" s="41" t="str">
        <f t="shared" si="16"/>
        <v>Pass</v>
      </c>
      <c r="T337" s="30" t="str">
        <f t="shared" si="17"/>
        <v>FY 21-22</v>
      </c>
      <c r="U337" s="30" t="str">
        <f>VLOOKUP(MONTH(G337),Key!$F$3:$G$14,2,0)</f>
        <v>Jun</v>
      </c>
      <c r="V337" s="30" t="str">
        <f>IFERROR(IF(MATCH(F337,'Test 6'!C$5:C$9,0)&gt;0,"RP"),"NON-RP")</f>
        <v>NON-RP</v>
      </c>
    </row>
    <row r="338" spans="2:22" x14ac:dyDescent="0.5">
      <c r="B338" s="30">
        <v>334</v>
      </c>
      <c r="C338" s="30" t="s">
        <v>766</v>
      </c>
      <c r="D338" s="31">
        <v>212275</v>
      </c>
      <c r="E338" s="30" t="s">
        <v>767</v>
      </c>
      <c r="F338" s="53" t="s">
        <v>15</v>
      </c>
      <c r="G338" s="32">
        <v>44350</v>
      </c>
      <c r="H338" s="33">
        <v>0.4365042252290452</v>
      </c>
      <c r="I338" s="30" t="s">
        <v>163</v>
      </c>
      <c r="J338" s="34">
        <v>262680</v>
      </c>
      <c r="K338" s="35" t="s">
        <v>17</v>
      </c>
      <c r="L338" s="36">
        <v>47282.400000000001</v>
      </c>
      <c r="M338" s="30" t="s">
        <v>28</v>
      </c>
      <c r="N338" s="30" t="s">
        <v>68</v>
      </c>
      <c r="O338" s="30" t="s">
        <v>1542</v>
      </c>
      <c r="P338" s="30" t="s">
        <v>1542</v>
      </c>
      <c r="Q338" s="30" t="str">
        <f>VLOOKUP(WEEKDAY(G338),Key!$B$3:$C$9,2,0)</f>
        <v>Thursday</v>
      </c>
      <c r="R338" s="42" t="str">
        <f t="shared" si="15"/>
        <v>Within</v>
      </c>
      <c r="S338" s="41" t="str">
        <f t="shared" si="16"/>
        <v>Pass</v>
      </c>
      <c r="T338" s="30" t="str">
        <f t="shared" si="17"/>
        <v>FY 21-22</v>
      </c>
      <c r="U338" s="30" t="str">
        <f>VLOOKUP(MONTH(G338),Key!$F$3:$G$14,2,0)</f>
        <v>Jun</v>
      </c>
      <c r="V338" s="30" t="str">
        <f>IFERROR(IF(MATCH(F338,'Test 6'!C$5:C$9,0)&gt;0,"RP"),"NON-RP")</f>
        <v>NON-RP</v>
      </c>
    </row>
    <row r="339" spans="2:22" x14ac:dyDescent="0.5">
      <c r="B339" s="30">
        <v>335</v>
      </c>
      <c r="C339" s="30" t="s">
        <v>768</v>
      </c>
      <c r="D339" s="31">
        <v>212276</v>
      </c>
      <c r="E339" s="30" t="s">
        <v>769</v>
      </c>
      <c r="F339" s="53" t="s">
        <v>577</v>
      </c>
      <c r="G339" s="32">
        <v>44353</v>
      </c>
      <c r="H339" s="33">
        <v>0.57105324074074071</v>
      </c>
      <c r="I339" s="30" t="s">
        <v>163</v>
      </c>
      <c r="J339" s="34">
        <v>4080130</v>
      </c>
      <c r="K339" s="35" t="s">
        <v>17</v>
      </c>
      <c r="L339" s="36">
        <v>734423.4</v>
      </c>
      <c r="M339" s="30" t="s">
        <v>69</v>
      </c>
      <c r="N339" s="30" t="s">
        <v>41</v>
      </c>
      <c r="O339" s="30" t="s">
        <v>1542</v>
      </c>
      <c r="P339" s="30" t="s">
        <v>1542</v>
      </c>
      <c r="Q339" s="30" t="str">
        <f>VLOOKUP(WEEKDAY(G339),Key!$B$3:$C$9,2,0)</f>
        <v>Sunday</v>
      </c>
      <c r="R339" s="42" t="str">
        <f t="shared" si="15"/>
        <v>Within</v>
      </c>
      <c r="S339" s="41" t="str">
        <f t="shared" si="16"/>
        <v>Red Flag</v>
      </c>
      <c r="T339" s="30" t="str">
        <f t="shared" si="17"/>
        <v>FY 21-22</v>
      </c>
      <c r="U339" s="30" t="str">
        <f>VLOOKUP(MONTH(G339),Key!$F$3:$G$14,2,0)</f>
        <v>Jun</v>
      </c>
      <c r="V339" s="30" t="str">
        <f>IFERROR(IF(MATCH(F339,'Test 6'!C$5:C$9,0)&gt;0,"RP"),"NON-RP")</f>
        <v>RP</v>
      </c>
    </row>
    <row r="340" spans="2:22" x14ac:dyDescent="0.5">
      <c r="B340" s="30">
        <v>336</v>
      </c>
      <c r="C340" s="30" t="s">
        <v>770</v>
      </c>
      <c r="D340" s="31">
        <v>212277</v>
      </c>
      <c r="E340" s="30" t="s">
        <v>771</v>
      </c>
      <c r="F340" s="53" t="s">
        <v>119</v>
      </c>
      <c r="G340" s="32">
        <v>44351</v>
      </c>
      <c r="H340" s="33">
        <v>0.5210493310786567</v>
      </c>
      <c r="I340" s="30" t="s">
        <v>163</v>
      </c>
      <c r="J340" s="34">
        <v>490650</v>
      </c>
      <c r="K340" s="35" t="s">
        <v>17</v>
      </c>
      <c r="L340" s="36">
        <v>88317</v>
      </c>
      <c r="M340" s="30" t="s">
        <v>28</v>
      </c>
      <c r="N340" s="30" t="s">
        <v>47</v>
      </c>
      <c r="O340" s="30" t="s">
        <v>1542</v>
      </c>
      <c r="P340" s="30" t="s">
        <v>1542</v>
      </c>
      <c r="Q340" s="30" t="str">
        <f>VLOOKUP(WEEKDAY(G340),Key!$B$3:$C$9,2,0)</f>
        <v>Friday</v>
      </c>
      <c r="R340" s="42" t="str">
        <f t="shared" si="15"/>
        <v>Within</v>
      </c>
      <c r="S340" s="41" t="str">
        <f t="shared" si="16"/>
        <v>Pass</v>
      </c>
      <c r="T340" s="30" t="str">
        <f t="shared" si="17"/>
        <v>FY 21-22</v>
      </c>
      <c r="U340" s="30" t="str">
        <f>VLOOKUP(MONTH(G340),Key!$F$3:$G$14,2,0)</f>
        <v>Jun</v>
      </c>
      <c r="V340" s="30" t="str">
        <f>IFERROR(IF(MATCH(F340,'Test 6'!C$5:C$9,0)&gt;0,"RP"),"NON-RP")</f>
        <v>NON-RP</v>
      </c>
    </row>
    <row r="341" spans="2:22" x14ac:dyDescent="0.5">
      <c r="B341" s="30">
        <v>337</v>
      </c>
      <c r="C341" s="30" t="s">
        <v>772</v>
      </c>
      <c r="D341" s="31">
        <v>212278</v>
      </c>
      <c r="E341" s="30" t="s">
        <v>773</v>
      </c>
      <c r="F341" s="53" t="s">
        <v>81</v>
      </c>
      <c r="G341" s="32">
        <v>44352</v>
      </c>
      <c r="H341" s="33">
        <v>0.54049173247638782</v>
      </c>
      <c r="I341" s="30" t="s">
        <v>163</v>
      </c>
      <c r="J341" s="34">
        <v>262560</v>
      </c>
      <c r="K341" s="35" t="s">
        <v>17</v>
      </c>
      <c r="L341" s="36">
        <v>47260.799999999996</v>
      </c>
      <c r="M341" s="30" t="s">
        <v>18</v>
      </c>
      <c r="N341" s="30" t="s">
        <v>47</v>
      </c>
      <c r="O341" s="30" t="s">
        <v>1542</v>
      </c>
      <c r="P341" s="30" t="s">
        <v>1542</v>
      </c>
      <c r="Q341" s="30" t="str">
        <f>VLOOKUP(WEEKDAY(G341),Key!$B$3:$C$9,2,0)</f>
        <v>Saturday</v>
      </c>
      <c r="R341" s="42" t="str">
        <f t="shared" si="15"/>
        <v>Within</v>
      </c>
      <c r="S341" s="41" t="str">
        <f t="shared" si="16"/>
        <v>Pass</v>
      </c>
      <c r="T341" s="30" t="str">
        <f t="shared" si="17"/>
        <v>FY 21-22</v>
      </c>
      <c r="U341" s="30" t="str">
        <f>VLOOKUP(MONTH(G341),Key!$F$3:$G$14,2,0)</f>
        <v>Jun</v>
      </c>
      <c r="V341" s="30" t="str">
        <f>IFERROR(IF(MATCH(F341,'Test 6'!C$5:C$9,0)&gt;0,"RP"),"NON-RP")</f>
        <v>NON-RP</v>
      </c>
    </row>
    <row r="342" spans="2:22" x14ac:dyDescent="0.5">
      <c r="B342" s="30">
        <v>338</v>
      </c>
      <c r="C342" s="30" t="s">
        <v>774</v>
      </c>
      <c r="D342" s="31">
        <v>212279</v>
      </c>
      <c r="E342" s="30" t="s">
        <v>775</v>
      </c>
      <c r="F342" s="53" t="s">
        <v>122</v>
      </c>
      <c r="G342" s="32">
        <v>44356</v>
      </c>
      <c r="H342" s="33">
        <v>0.70194214694817392</v>
      </c>
      <c r="I342" s="30" t="s">
        <v>163</v>
      </c>
      <c r="J342" s="34">
        <v>2262240</v>
      </c>
      <c r="K342" s="35" t="s">
        <v>17</v>
      </c>
      <c r="L342" s="36">
        <v>407203.2</v>
      </c>
      <c r="M342" s="30" t="s">
        <v>69</v>
      </c>
      <c r="N342" s="30" t="s">
        <v>41</v>
      </c>
      <c r="O342" s="30" t="s">
        <v>1542</v>
      </c>
      <c r="P342" s="30" t="s">
        <v>1542</v>
      </c>
      <c r="Q342" s="30" t="str">
        <f>VLOOKUP(WEEKDAY(G342),Key!$B$3:$C$9,2,0)</f>
        <v>Wednesday</v>
      </c>
      <c r="R342" s="42" t="str">
        <f t="shared" si="15"/>
        <v>Within</v>
      </c>
      <c r="S342" s="41" t="str">
        <f t="shared" si="16"/>
        <v>Pass</v>
      </c>
      <c r="T342" s="30" t="str">
        <f t="shared" si="17"/>
        <v>FY 21-22</v>
      </c>
      <c r="U342" s="30" t="str">
        <f>VLOOKUP(MONTH(G342),Key!$F$3:$G$14,2,0)</f>
        <v>Jun</v>
      </c>
      <c r="V342" s="30" t="str">
        <f>IFERROR(IF(MATCH(F342,'Test 6'!C$5:C$9,0)&gt;0,"RP"),"NON-RP")</f>
        <v>NON-RP</v>
      </c>
    </row>
    <row r="343" spans="2:22" x14ac:dyDescent="0.5">
      <c r="B343" s="30">
        <v>339</v>
      </c>
      <c r="C343" s="30" t="s">
        <v>776</v>
      </c>
      <c r="D343" s="31">
        <v>212280</v>
      </c>
      <c r="E343" s="30" t="s">
        <v>777</v>
      </c>
      <c r="F343" s="53" t="s">
        <v>67</v>
      </c>
      <c r="G343" s="32">
        <v>44357</v>
      </c>
      <c r="H343" s="33">
        <v>0.49756776665813546</v>
      </c>
      <c r="I343" s="30" t="s">
        <v>163</v>
      </c>
      <c r="J343" s="34">
        <v>354620</v>
      </c>
      <c r="K343" s="35" t="s">
        <v>17</v>
      </c>
      <c r="L343" s="36">
        <v>63831.6</v>
      </c>
      <c r="M343" s="30" t="s">
        <v>46</v>
      </c>
      <c r="N343" s="30" t="s">
        <v>24</v>
      </c>
      <c r="O343" s="30" t="s">
        <v>1542</v>
      </c>
      <c r="P343" s="30" t="s">
        <v>1542</v>
      </c>
      <c r="Q343" s="30" t="str">
        <f>VLOOKUP(WEEKDAY(G343),Key!$B$3:$C$9,2,0)</f>
        <v>Thursday</v>
      </c>
      <c r="R343" s="42" t="str">
        <f t="shared" si="15"/>
        <v>Within</v>
      </c>
      <c r="S343" s="41" t="str">
        <f t="shared" si="16"/>
        <v>Pass</v>
      </c>
      <c r="T343" s="30" t="str">
        <f t="shared" si="17"/>
        <v>FY 21-22</v>
      </c>
      <c r="U343" s="30" t="str">
        <f>VLOOKUP(MONTH(G343),Key!$F$3:$G$14,2,0)</f>
        <v>Jun</v>
      </c>
      <c r="V343" s="30" t="str">
        <f>IFERROR(IF(MATCH(F343,'Test 6'!C$5:C$9,0)&gt;0,"RP"),"NON-RP")</f>
        <v>NON-RP</v>
      </c>
    </row>
    <row r="344" spans="2:22" x14ac:dyDescent="0.5">
      <c r="B344" s="30">
        <v>340</v>
      </c>
      <c r="C344" s="30" t="s">
        <v>778</v>
      </c>
      <c r="D344" s="31">
        <v>212281</v>
      </c>
      <c r="E344" s="30" t="s">
        <v>779</v>
      </c>
      <c r="F344" s="53" t="s">
        <v>195</v>
      </c>
      <c r="G344" s="32">
        <v>44361</v>
      </c>
      <c r="H344" s="33">
        <v>0.44025277070406188</v>
      </c>
      <c r="I344" s="30" t="s">
        <v>96</v>
      </c>
      <c r="J344" s="34">
        <v>346810</v>
      </c>
      <c r="K344" s="35" t="s">
        <v>17</v>
      </c>
      <c r="L344" s="36">
        <v>62425.799999999996</v>
      </c>
      <c r="M344" s="30" t="s">
        <v>32</v>
      </c>
      <c r="N344" s="30" t="s">
        <v>47</v>
      </c>
      <c r="O344" s="30" t="s">
        <v>1542</v>
      </c>
      <c r="P344" s="30" t="s">
        <v>1542</v>
      </c>
      <c r="Q344" s="30" t="str">
        <f>VLOOKUP(WEEKDAY(G344),Key!$B$3:$C$9,2,0)</f>
        <v>Monday</v>
      </c>
      <c r="R344" s="42" t="str">
        <f t="shared" si="15"/>
        <v>Within</v>
      </c>
      <c r="S344" s="41" t="str">
        <f t="shared" si="16"/>
        <v>Pass</v>
      </c>
      <c r="T344" s="30" t="str">
        <f t="shared" si="17"/>
        <v>FY 21-22</v>
      </c>
      <c r="U344" s="30" t="str">
        <f>VLOOKUP(MONTH(G344),Key!$F$3:$G$14,2,0)</f>
        <v>Jun</v>
      </c>
      <c r="V344" s="30" t="str">
        <f>IFERROR(IF(MATCH(F344,'Test 6'!C$5:C$9,0)&gt;0,"RP"),"NON-RP")</f>
        <v>NON-RP</v>
      </c>
    </row>
    <row r="345" spans="2:22" x14ac:dyDescent="0.5">
      <c r="B345" s="30">
        <v>341</v>
      </c>
      <c r="C345" s="30" t="s">
        <v>780</v>
      </c>
      <c r="D345" s="31">
        <v>212282</v>
      </c>
      <c r="E345" s="30" t="s">
        <v>781</v>
      </c>
      <c r="F345" s="53" t="s">
        <v>293</v>
      </c>
      <c r="G345" s="32">
        <v>44361</v>
      </c>
      <c r="H345" s="33">
        <v>0.48483593380754564</v>
      </c>
      <c r="I345" s="30" t="s">
        <v>163</v>
      </c>
      <c r="J345" s="34">
        <v>268040</v>
      </c>
      <c r="K345" s="35" t="s">
        <v>17</v>
      </c>
      <c r="L345" s="36">
        <v>48247.199999999997</v>
      </c>
      <c r="M345" s="30" t="s">
        <v>61</v>
      </c>
      <c r="N345" s="30" t="s">
        <v>68</v>
      </c>
      <c r="O345" s="30" t="s">
        <v>1542</v>
      </c>
      <c r="P345" s="30" t="s">
        <v>1542</v>
      </c>
      <c r="Q345" s="30" t="str">
        <f>VLOOKUP(WEEKDAY(G345),Key!$B$3:$C$9,2,0)</f>
        <v>Monday</v>
      </c>
      <c r="R345" s="42" t="str">
        <f t="shared" si="15"/>
        <v>Within</v>
      </c>
      <c r="S345" s="41" t="str">
        <f t="shared" si="16"/>
        <v>Pass</v>
      </c>
      <c r="T345" s="30" t="str">
        <f t="shared" si="17"/>
        <v>FY 21-22</v>
      </c>
      <c r="U345" s="30" t="str">
        <f>VLOOKUP(MONTH(G345),Key!$F$3:$G$14,2,0)</f>
        <v>Jun</v>
      </c>
      <c r="V345" s="30" t="str">
        <f>IFERROR(IF(MATCH(F345,'Test 6'!C$5:C$9,0)&gt;0,"RP"),"NON-RP")</f>
        <v>NON-RP</v>
      </c>
    </row>
    <row r="346" spans="2:22" x14ac:dyDescent="0.5">
      <c r="B346" s="30">
        <v>342</v>
      </c>
      <c r="C346" s="30" t="s">
        <v>782</v>
      </c>
      <c r="D346" s="31">
        <v>212283</v>
      </c>
      <c r="E346" s="30" t="s">
        <v>783</v>
      </c>
      <c r="F346" s="53" t="s">
        <v>238</v>
      </c>
      <c r="G346" s="32">
        <v>44364</v>
      </c>
      <c r="H346" s="33">
        <v>0.49951112980050433</v>
      </c>
      <c r="I346" s="30" t="s">
        <v>163</v>
      </c>
      <c r="J346" s="34">
        <v>447580</v>
      </c>
      <c r="K346" s="35" t="s">
        <v>17</v>
      </c>
      <c r="L346" s="36">
        <v>80564.399999999994</v>
      </c>
      <c r="M346" s="30" t="s">
        <v>28</v>
      </c>
      <c r="N346" s="30" t="s">
        <v>24</v>
      </c>
      <c r="O346" s="30" t="s">
        <v>1542</v>
      </c>
      <c r="P346" s="30" t="s">
        <v>1542</v>
      </c>
      <c r="Q346" s="30" t="str">
        <f>VLOOKUP(WEEKDAY(G346),Key!$B$3:$C$9,2,0)</f>
        <v>Thursday</v>
      </c>
      <c r="R346" s="42" t="str">
        <f t="shared" si="15"/>
        <v>Within</v>
      </c>
      <c r="S346" s="41" t="str">
        <f t="shared" si="16"/>
        <v>Pass</v>
      </c>
      <c r="T346" s="30" t="str">
        <f t="shared" si="17"/>
        <v>FY 21-22</v>
      </c>
      <c r="U346" s="30" t="str">
        <f>VLOOKUP(MONTH(G346),Key!$F$3:$G$14,2,0)</f>
        <v>Jun</v>
      </c>
      <c r="V346" s="30" t="str">
        <f>IFERROR(IF(MATCH(F346,'Test 6'!C$5:C$9,0)&gt;0,"RP"),"NON-RP")</f>
        <v>NON-RP</v>
      </c>
    </row>
    <row r="347" spans="2:22" x14ac:dyDescent="0.5">
      <c r="B347" s="30">
        <v>343</v>
      </c>
      <c r="C347" s="30" t="s">
        <v>784</v>
      </c>
      <c r="D347" s="31">
        <v>212284</v>
      </c>
      <c r="E347" s="30" t="s">
        <v>785</v>
      </c>
      <c r="F347" s="53" t="s">
        <v>67</v>
      </c>
      <c r="G347" s="32">
        <v>44365</v>
      </c>
      <c r="H347" s="33">
        <v>0.70940659203923717</v>
      </c>
      <c r="I347" s="30" t="s">
        <v>96</v>
      </c>
      <c r="J347" s="34">
        <v>293240</v>
      </c>
      <c r="K347" s="35" t="s">
        <v>17</v>
      </c>
      <c r="L347" s="36">
        <v>52783.199999999997</v>
      </c>
      <c r="M347" s="30" t="s">
        <v>61</v>
      </c>
      <c r="N347" s="30" t="s">
        <v>24</v>
      </c>
      <c r="O347" s="30" t="s">
        <v>1542</v>
      </c>
      <c r="P347" s="30" t="s">
        <v>1542</v>
      </c>
      <c r="Q347" s="30" t="str">
        <f>VLOOKUP(WEEKDAY(G347),Key!$B$3:$C$9,2,0)</f>
        <v>Friday</v>
      </c>
      <c r="R347" s="42" t="str">
        <f t="shared" si="15"/>
        <v>Within</v>
      </c>
      <c r="S347" s="41" t="str">
        <f t="shared" si="16"/>
        <v>Pass</v>
      </c>
      <c r="T347" s="30" t="str">
        <f t="shared" si="17"/>
        <v>FY 21-22</v>
      </c>
      <c r="U347" s="30" t="str">
        <f>VLOOKUP(MONTH(G347),Key!$F$3:$G$14,2,0)</f>
        <v>Jun</v>
      </c>
      <c r="V347" s="30" t="str">
        <f>IFERROR(IF(MATCH(F347,'Test 6'!C$5:C$9,0)&gt;0,"RP"),"NON-RP")</f>
        <v>NON-RP</v>
      </c>
    </row>
    <row r="348" spans="2:22" x14ac:dyDescent="0.5">
      <c r="B348" s="30">
        <v>344</v>
      </c>
      <c r="C348" s="30" t="s">
        <v>786</v>
      </c>
      <c r="D348" s="31">
        <v>212285</v>
      </c>
      <c r="E348" s="30" t="s">
        <v>787</v>
      </c>
      <c r="F348" s="53" t="s">
        <v>153</v>
      </c>
      <c r="G348" s="32">
        <v>44366</v>
      </c>
      <c r="H348" s="33">
        <v>0.4834701849959554</v>
      </c>
      <c r="I348" s="30" t="s">
        <v>163</v>
      </c>
      <c r="J348" s="34">
        <v>455400</v>
      </c>
      <c r="K348" s="35" t="s">
        <v>17</v>
      </c>
      <c r="L348" s="36">
        <v>81972</v>
      </c>
      <c r="M348" s="30" t="s">
        <v>61</v>
      </c>
      <c r="N348" s="30" t="s">
        <v>24</v>
      </c>
      <c r="O348" s="30" t="s">
        <v>1542</v>
      </c>
      <c r="P348" s="30" t="s">
        <v>1542</v>
      </c>
      <c r="Q348" s="30" t="str">
        <f>VLOOKUP(WEEKDAY(G348),Key!$B$3:$C$9,2,0)</f>
        <v>Saturday</v>
      </c>
      <c r="R348" s="42" t="str">
        <f t="shared" si="15"/>
        <v>Within</v>
      </c>
      <c r="S348" s="41" t="str">
        <f t="shared" si="16"/>
        <v>Pass</v>
      </c>
      <c r="T348" s="30" t="str">
        <f t="shared" si="17"/>
        <v>FY 21-22</v>
      </c>
      <c r="U348" s="30" t="str">
        <f>VLOOKUP(MONTH(G348),Key!$F$3:$G$14,2,0)</f>
        <v>Jun</v>
      </c>
      <c r="V348" s="30" t="str">
        <f>IFERROR(IF(MATCH(F348,'Test 6'!C$5:C$9,0)&gt;0,"RP"),"NON-RP")</f>
        <v>NON-RP</v>
      </c>
    </row>
    <row r="349" spans="2:22" x14ac:dyDescent="0.5">
      <c r="B349" s="30">
        <v>345</v>
      </c>
      <c r="C349" s="30" t="s">
        <v>788</v>
      </c>
      <c r="D349" s="31">
        <v>212286</v>
      </c>
      <c r="E349" s="30" t="s">
        <v>789</v>
      </c>
      <c r="F349" s="53" t="s">
        <v>238</v>
      </c>
      <c r="G349" s="32">
        <v>44368</v>
      </c>
      <c r="H349" s="33">
        <v>0.45173671102791874</v>
      </c>
      <c r="I349" s="30" t="s">
        <v>163</v>
      </c>
      <c r="J349" s="34">
        <v>451620</v>
      </c>
      <c r="K349" s="35" t="s">
        <v>17</v>
      </c>
      <c r="L349" s="36">
        <v>81291.599999999991</v>
      </c>
      <c r="M349" s="30" t="s">
        <v>32</v>
      </c>
      <c r="N349" s="30" t="s">
        <v>51</v>
      </c>
      <c r="O349" s="30" t="s">
        <v>1542</v>
      </c>
      <c r="P349" s="30" t="s">
        <v>1542</v>
      </c>
      <c r="Q349" s="30" t="str">
        <f>VLOOKUP(WEEKDAY(G349),Key!$B$3:$C$9,2,0)</f>
        <v>Monday</v>
      </c>
      <c r="R349" s="42" t="str">
        <f t="shared" si="15"/>
        <v>Within</v>
      </c>
      <c r="S349" s="41" t="str">
        <f t="shared" si="16"/>
        <v>Pass</v>
      </c>
      <c r="T349" s="30" t="str">
        <f t="shared" si="17"/>
        <v>FY 21-22</v>
      </c>
      <c r="U349" s="30" t="str">
        <f>VLOOKUP(MONTH(G349),Key!$F$3:$G$14,2,0)</f>
        <v>Jun</v>
      </c>
      <c r="V349" s="30" t="str">
        <f>IFERROR(IF(MATCH(F349,'Test 6'!C$5:C$9,0)&gt;0,"RP"),"NON-RP")</f>
        <v>NON-RP</v>
      </c>
    </row>
    <row r="350" spans="2:22" x14ac:dyDescent="0.5">
      <c r="B350" s="30">
        <v>346</v>
      </c>
      <c r="C350" s="30" t="s">
        <v>790</v>
      </c>
      <c r="D350" s="31">
        <v>212287</v>
      </c>
      <c r="E350" s="30" t="s">
        <v>791</v>
      </c>
      <c r="F350" s="53" t="s">
        <v>184</v>
      </c>
      <c r="G350" s="32">
        <v>44368</v>
      </c>
      <c r="H350" s="33">
        <v>0.48209958783855333</v>
      </c>
      <c r="I350" s="30" t="s">
        <v>163</v>
      </c>
      <c r="J350" s="34">
        <v>253470</v>
      </c>
      <c r="K350" s="35" t="s">
        <v>17</v>
      </c>
      <c r="L350" s="36">
        <v>45624.6</v>
      </c>
      <c r="M350" s="30" t="s">
        <v>23</v>
      </c>
      <c r="N350" s="30" t="s">
        <v>19</v>
      </c>
      <c r="O350" s="30" t="s">
        <v>1542</v>
      </c>
      <c r="P350" s="30" t="s">
        <v>1542</v>
      </c>
      <c r="Q350" s="30" t="str">
        <f>VLOOKUP(WEEKDAY(G350),Key!$B$3:$C$9,2,0)</f>
        <v>Monday</v>
      </c>
      <c r="R350" s="42" t="str">
        <f t="shared" si="15"/>
        <v>Within</v>
      </c>
      <c r="S350" s="41" t="str">
        <f t="shared" si="16"/>
        <v>Pass</v>
      </c>
      <c r="T350" s="30" t="str">
        <f t="shared" si="17"/>
        <v>FY 21-22</v>
      </c>
      <c r="U350" s="30" t="str">
        <f>VLOOKUP(MONTH(G350),Key!$F$3:$G$14,2,0)</f>
        <v>Jun</v>
      </c>
      <c r="V350" s="30" t="str">
        <f>IFERROR(IF(MATCH(F350,'Test 6'!C$5:C$9,0)&gt;0,"RP"),"NON-RP")</f>
        <v>NON-RP</v>
      </c>
    </row>
    <row r="351" spans="2:22" x14ac:dyDescent="0.5">
      <c r="B351" s="30">
        <v>347</v>
      </c>
      <c r="C351" s="30" t="s">
        <v>792</v>
      </c>
      <c r="D351" s="31">
        <v>212288</v>
      </c>
      <c r="E351" s="30" t="s">
        <v>793</v>
      </c>
      <c r="F351" s="53" t="s">
        <v>125</v>
      </c>
      <c r="G351" s="32">
        <v>44371</v>
      </c>
      <c r="H351" s="33">
        <v>0.64953734887877435</v>
      </c>
      <c r="I351" s="30" t="s">
        <v>163</v>
      </c>
      <c r="J351" s="34">
        <v>459760</v>
      </c>
      <c r="K351" s="35" t="s">
        <v>17</v>
      </c>
      <c r="L351" s="36">
        <v>82756.800000000003</v>
      </c>
      <c r="M351" s="30" t="s">
        <v>61</v>
      </c>
      <c r="N351" s="30" t="s">
        <v>24</v>
      </c>
      <c r="O351" s="30" t="s">
        <v>1542</v>
      </c>
      <c r="P351" s="30" t="s">
        <v>1542</v>
      </c>
      <c r="Q351" s="30" t="str">
        <f>VLOOKUP(WEEKDAY(G351),Key!$B$3:$C$9,2,0)</f>
        <v>Thursday</v>
      </c>
      <c r="R351" s="42" t="str">
        <f t="shared" si="15"/>
        <v>Within</v>
      </c>
      <c r="S351" s="41" t="str">
        <f t="shared" si="16"/>
        <v>Pass</v>
      </c>
      <c r="T351" s="30" t="str">
        <f t="shared" si="17"/>
        <v>FY 21-22</v>
      </c>
      <c r="U351" s="30" t="str">
        <f>VLOOKUP(MONTH(G351),Key!$F$3:$G$14,2,0)</f>
        <v>Jun</v>
      </c>
      <c r="V351" s="30" t="str">
        <f>IFERROR(IF(MATCH(F351,'Test 6'!C$5:C$9,0)&gt;0,"RP"),"NON-RP")</f>
        <v>NON-RP</v>
      </c>
    </row>
    <row r="352" spans="2:22" x14ac:dyDescent="0.5">
      <c r="B352" s="30">
        <v>348</v>
      </c>
      <c r="C352" s="30" t="s">
        <v>794</v>
      </c>
      <c r="D352" s="31">
        <v>212289</v>
      </c>
      <c r="E352" s="30" t="s">
        <v>795</v>
      </c>
      <c r="F352" s="53" t="s">
        <v>119</v>
      </c>
      <c r="G352" s="32">
        <v>44371</v>
      </c>
      <c r="H352" s="33">
        <v>0.74503817164996899</v>
      </c>
      <c r="I352" s="30" t="s">
        <v>163</v>
      </c>
      <c r="J352" s="34">
        <v>334490</v>
      </c>
      <c r="K352" s="35" t="s">
        <v>17</v>
      </c>
      <c r="L352" s="36">
        <v>60208.2</v>
      </c>
      <c r="M352" s="30" t="s">
        <v>61</v>
      </c>
      <c r="N352" s="30" t="s">
        <v>24</v>
      </c>
      <c r="O352" s="30" t="s">
        <v>1542</v>
      </c>
      <c r="P352" s="30" t="s">
        <v>1542</v>
      </c>
      <c r="Q352" s="30" t="str">
        <f>VLOOKUP(WEEKDAY(G352),Key!$B$3:$C$9,2,0)</f>
        <v>Thursday</v>
      </c>
      <c r="R352" s="42" t="str">
        <f t="shared" si="15"/>
        <v>Within</v>
      </c>
      <c r="S352" s="41" t="str">
        <f t="shared" si="16"/>
        <v>Pass</v>
      </c>
      <c r="T352" s="30" t="str">
        <f t="shared" si="17"/>
        <v>FY 21-22</v>
      </c>
      <c r="U352" s="30" t="str">
        <f>VLOOKUP(MONTH(G352),Key!$F$3:$G$14,2,0)</f>
        <v>Jun</v>
      </c>
      <c r="V352" s="30" t="str">
        <f>IFERROR(IF(MATCH(F352,'Test 6'!C$5:C$9,0)&gt;0,"RP"),"NON-RP")</f>
        <v>NON-RP</v>
      </c>
    </row>
    <row r="353" spans="2:22" x14ac:dyDescent="0.5">
      <c r="B353" s="30">
        <v>349</v>
      </c>
      <c r="C353" s="30" t="s">
        <v>796</v>
      </c>
      <c r="D353" s="31">
        <v>212290</v>
      </c>
      <c r="E353" s="30" t="s">
        <v>797</v>
      </c>
      <c r="F353" s="53" t="s">
        <v>308</v>
      </c>
      <c r="G353" s="32">
        <v>44373</v>
      </c>
      <c r="H353" s="33">
        <v>0.81437500000000007</v>
      </c>
      <c r="I353" s="30" t="s">
        <v>163</v>
      </c>
      <c r="J353" s="34">
        <v>4330520</v>
      </c>
      <c r="K353" s="35" t="s">
        <v>17</v>
      </c>
      <c r="L353" s="36">
        <v>779493.6</v>
      </c>
      <c r="M353" s="30" t="s">
        <v>701</v>
      </c>
      <c r="N353" s="30" t="s">
        <v>41</v>
      </c>
      <c r="O353" s="30" t="s">
        <v>1542</v>
      </c>
      <c r="P353" s="30" t="s">
        <v>1542</v>
      </c>
      <c r="Q353" s="30" t="str">
        <f>VLOOKUP(WEEKDAY(G353),Key!$B$3:$C$9,2,0)</f>
        <v>Saturday</v>
      </c>
      <c r="R353" s="42" t="str">
        <f t="shared" si="15"/>
        <v>Outside</v>
      </c>
      <c r="S353" s="41" t="str">
        <f t="shared" si="16"/>
        <v>Red Flag</v>
      </c>
      <c r="T353" s="30" t="str">
        <f t="shared" si="17"/>
        <v>FY 21-22</v>
      </c>
      <c r="U353" s="30" t="str">
        <f>VLOOKUP(MONTH(G353),Key!$F$3:$G$14,2,0)</f>
        <v>Jun</v>
      </c>
      <c r="V353" s="30" t="str">
        <f>IFERROR(IF(MATCH(F353,'Test 6'!C$5:C$9,0)&gt;0,"RP"),"NON-RP")</f>
        <v>RP</v>
      </c>
    </row>
    <row r="354" spans="2:22" x14ac:dyDescent="0.5">
      <c r="B354" s="30">
        <v>350</v>
      </c>
      <c r="C354" s="30" t="s">
        <v>798</v>
      </c>
      <c r="D354" s="31">
        <v>212291</v>
      </c>
      <c r="E354" s="30" t="s">
        <v>799</v>
      </c>
      <c r="F354" s="53" t="s">
        <v>125</v>
      </c>
      <c r="G354" s="32">
        <v>44376</v>
      </c>
      <c r="H354" s="33">
        <v>0.52253607546192837</v>
      </c>
      <c r="I354" s="30" t="s">
        <v>163</v>
      </c>
      <c r="J354" s="34">
        <v>372550</v>
      </c>
      <c r="K354" s="35" t="s">
        <v>17</v>
      </c>
      <c r="L354" s="36">
        <v>67059</v>
      </c>
      <c r="M354" s="30" t="s">
        <v>61</v>
      </c>
      <c r="N354" s="30" t="s">
        <v>24</v>
      </c>
      <c r="O354" s="30" t="s">
        <v>1542</v>
      </c>
      <c r="P354" s="30" t="s">
        <v>1542</v>
      </c>
      <c r="Q354" s="30" t="str">
        <f>VLOOKUP(WEEKDAY(G354),Key!$B$3:$C$9,2,0)</f>
        <v>Tuesday</v>
      </c>
      <c r="R354" s="42" t="str">
        <f t="shared" si="15"/>
        <v>Within</v>
      </c>
      <c r="S354" s="41" t="str">
        <f t="shared" si="16"/>
        <v>Pass</v>
      </c>
      <c r="T354" s="30" t="str">
        <f t="shared" si="17"/>
        <v>FY 21-22</v>
      </c>
      <c r="U354" s="30" t="str">
        <f>VLOOKUP(MONTH(G354),Key!$F$3:$G$14,2,0)</f>
        <v>Jun</v>
      </c>
      <c r="V354" s="30" t="str">
        <f>IFERROR(IF(MATCH(F354,'Test 6'!C$5:C$9,0)&gt;0,"RP"),"NON-RP")</f>
        <v>NON-RP</v>
      </c>
    </row>
    <row r="355" spans="2:22" x14ac:dyDescent="0.5">
      <c r="B355" s="30">
        <v>351</v>
      </c>
      <c r="C355" s="30" t="s">
        <v>800</v>
      </c>
      <c r="D355" s="31">
        <v>212292</v>
      </c>
      <c r="E355" s="30" t="s">
        <v>801</v>
      </c>
      <c r="F355" s="53" t="s">
        <v>81</v>
      </c>
      <c r="G355" s="32">
        <v>44377</v>
      </c>
      <c r="H355" s="33">
        <v>0.42570724882577099</v>
      </c>
      <c r="I355" s="30" t="s">
        <v>163</v>
      </c>
      <c r="J355" s="34">
        <v>218040</v>
      </c>
      <c r="K355" s="35" t="s">
        <v>17</v>
      </c>
      <c r="L355" s="36">
        <v>39247.199999999997</v>
      </c>
      <c r="M355" s="30" t="s">
        <v>32</v>
      </c>
      <c r="N355" s="30" t="s">
        <v>51</v>
      </c>
      <c r="O355" s="30" t="s">
        <v>1542</v>
      </c>
      <c r="P355" s="30" t="s">
        <v>1542</v>
      </c>
      <c r="Q355" s="30" t="str">
        <f>VLOOKUP(WEEKDAY(G355),Key!$B$3:$C$9,2,0)</f>
        <v>Wednesday</v>
      </c>
      <c r="R355" s="42" t="str">
        <f t="shared" si="15"/>
        <v>Within</v>
      </c>
      <c r="S355" s="41" t="str">
        <f t="shared" si="16"/>
        <v>Pass</v>
      </c>
      <c r="T355" s="30" t="str">
        <f t="shared" si="17"/>
        <v>FY 21-22</v>
      </c>
      <c r="U355" s="30" t="str">
        <f>VLOOKUP(MONTH(G355),Key!$F$3:$G$14,2,0)</f>
        <v>Jun</v>
      </c>
      <c r="V355" s="30" t="str">
        <f>IFERROR(IF(MATCH(F355,'Test 6'!C$5:C$9,0)&gt;0,"RP"),"NON-RP")</f>
        <v>NON-RP</v>
      </c>
    </row>
    <row r="356" spans="2:22" x14ac:dyDescent="0.5">
      <c r="B356" s="30">
        <v>352</v>
      </c>
      <c r="C356" s="30" t="s">
        <v>802</v>
      </c>
      <c r="D356" s="31">
        <v>212293</v>
      </c>
      <c r="E356" s="30" t="s">
        <v>803</v>
      </c>
      <c r="F356" s="53" t="s">
        <v>156</v>
      </c>
      <c r="G356" s="32">
        <v>44377</v>
      </c>
      <c r="H356" s="33">
        <v>0.55702226420141199</v>
      </c>
      <c r="I356" s="30" t="s">
        <v>163</v>
      </c>
      <c r="J356" s="34">
        <v>304750</v>
      </c>
      <c r="K356" s="35" t="s">
        <v>17</v>
      </c>
      <c r="L356" s="36">
        <v>54855</v>
      </c>
      <c r="M356" s="30" t="s">
        <v>32</v>
      </c>
      <c r="N356" s="30" t="s">
        <v>68</v>
      </c>
      <c r="O356" s="30" t="s">
        <v>1542</v>
      </c>
      <c r="P356" s="30" t="s">
        <v>1542</v>
      </c>
      <c r="Q356" s="30" t="str">
        <f>VLOOKUP(WEEKDAY(G356),Key!$B$3:$C$9,2,0)</f>
        <v>Wednesday</v>
      </c>
      <c r="R356" s="42" t="str">
        <f t="shared" si="15"/>
        <v>Within</v>
      </c>
      <c r="S356" s="41" t="str">
        <f t="shared" si="16"/>
        <v>Pass</v>
      </c>
      <c r="T356" s="30" t="str">
        <f t="shared" si="17"/>
        <v>FY 21-22</v>
      </c>
      <c r="U356" s="30" t="str">
        <f>VLOOKUP(MONTH(G356),Key!$F$3:$G$14,2,0)</f>
        <v>Jun</v>
      </c>
      <c r="V356" s="30" t="str">
        <f>IFERROR(IF(MATCH(F356,'Test 6'!C$5:C$9,0)&gt;0,"RP"),"NON-RP")</f>
        <v>NON-RP</v>
      </c>
    </row>
    <row r="357" spans="2:22" x14ac:dyDescent="0.5">
      <c r="B357" s="30">
        <v>353</v>
      </c>
      <c r="C357" s="30" t="s">
        <v>804</v>
      </c>
      <c r="D357" s="31">
        <v>212294</v>
      </c>
      <c r="E357" s="30" t="s">
        <v>805</v>
      </c>
      <c r="F357" s="53" t="s">
        <v>577</v>
      </c>
      <c r="G357" s="32">
        <v>44381</v>
      </c>
      <c r="H357" s="33">
        <v>0.49063657407407407</v>
      </c>
      <c r="I357" s="30" t="s">
        <v>216</v>
      </c>
      <c r="J357" s="34">
        <v>4673740</v>
      </c>
      <c r="K357" s="35" t="s">
        <v>17</v>
      </c>
      <c r="L357" s="36">
        <v>841273.2</v>
      </c>
      <c r="M357" s="30" t="s">
        <v>41</v>
      </c>
      <c r="N357" s="30" t="s">
        <v>42</v>
      </c>
      <c r="O357" s="30" t="s">
        <v>1542</v>
      </c>
      <c r="P357" s="30" t="s">
        <v>1542</v>
      </c>
      <c r="Q357" s="30" t="str">
        <f>VLOOKUP(WEEKDAY(G357),Key!$B$3:$C$9,2,0)</f>
        <v>Sunday</v>
      </c>
      <c r="R357" s="42" t="str">
        <f t="shared" si="15"/>
        <v>Within</v>
      </c>
      <c r="S357" s="41" t="str">
        <f t="shared" si="16"/>
        <v>Red Flag</v>
      </c>
      <c r="T357" s="30" t="str">
        <f t="shared" si="17"/>
        <v>FY 21-22</v>
      </c>
      <c r="U357" s="30" t="str">
        <f>VLOOKUP(MONTH(G357),Key!$F$3:$G$14,2,0)</f>
        <v>Jul</v>
      </c>
      <c r="V357" s="30" t="str">
        <f>IFERROR(IF(MATCH(F357,'Test 6'!C$5:C$9,0)&gt;0,"RP"),"NON-RP")</f>
        <v>RP</v>
      </c>
    </row>
    <row r="358" spans="2:22" x14ac:dyDescent="0.5">
      <c r="B358" s="30">
        <v>354</v>
      </c>
      <c r="C358" s="30" t="s">
        <v>806</v>
      </c>
      <c r="D358" s="31">
        <v>212295</v>
      </c>
      <c r="E358" s="30" t="s">
        <v>807</v>
      </c>
      <c r="F358" s="53" t="s">
        <v>608</v>
      </c>
      <c r="G358" s="32">
        <v>44379</v>
      </c>
      <c r="H358" s="33">
        <v>0.69433060140548242</v>
      </c>
      <c r="I358" s="30" t="s">
        <v>216</v>
      </c>
      <c r="J358" s="34">
        <v>223240</v>
      </c>
      <c r="K358" s="35" t="s">
        <v>17</v>
      </c>
      <c r="L358" s="36">
        <v>40183.199999999997</v>
      </c>
      <c r="M358" s="30" t="s">
        <v>23</v>
      </c>
      <c r="N358" s="30" t="s">
        <v>47</v>
      </c>
      <c r="O358" s="30" t="s">
        <v>1542</v>
      </c>
      <c r="P358" s="30" t="s">
        <v>1542</v>
      </c>
      <c r="Q358" s="30" t="str">
        <f>VLOOKUP(WEEKDAY(G358),Key!$B$3:$C$9,2,0)</f>
        <v>Friday</v>
      </c>
      <c r="R358" s="42" t="str">
        <f t="shared" si="15"/>
        <v>Within</v>
      </c>
      <c r="S358" s="41" t="str">
        <f t="shared" si="16"/>
        <v>Pass</v>
      </c>
      <c r="T358" s="30" t="str">
        <f t="shared" si="17"/>
        <v>FY 21-22</v>
      </c>
      <c r="U358" s="30" t="str">
        <f>VLOOKUP(MONTH(G358),Key!$F$3:$G$14,2,0)</f>
        <v>Jul</v>
      </c>
      <c r="V358" s="30" t="str">
        <f>IFERROR(IF(MATCH(F358,'Test 6'!C$5:C$9,0)&gt;0,"RP"),"NON-RP")</f>
        <v>NON-RP</v>
      </c>
    </row>
    <row r="359" spans="2:22" x14ac:dyDescent="0.5">
      <c r="B359" s="30">
        <v>355</v>
      </c>
      <c r="C359" s="30" t="s">
        <v>808</v>
      </c>
      <c r="D359" s="31">
        <v>212296</v>
      </c>
      <c r="E359" s="30" t="s">
        <v>809</v>
      </c>
      <c r="F359" s="53" t="s">
        <v>125</v>
      </c>
      <c r="G359" s="32">
        <v>44380</v>
      </c>
      <c r="H359" s="33">
        <v>0.47675528842103754</v>
      </c>
      <c r="I359" s="30" t="s">
        <v>216</v>
      </c>
      <c r="J359" s="34">
        <v>4880550</v>
      </c>
      <c r="K359" s="35" t="s">
        <v>17</v>
      </c>
      <c r="L359" s="36">
        <v>878499</v>
      </c>
      <c r="M359" s="30" t="s">
        <v>41</v>
      </c>
      <c r="N359" s="30" t="s">
        <v>42</v>
      </c>
      <c r="O359" s="30" t="s">
        <v>1542</v>
      </c>
      <c r="P359" s="30" t="s">
        <v>1542</v>
      </c>
      <c r="Q359" s="30" t="str">
        <f>VLOOKUP(WEEKDAY(G359),Key!$B$3:$C$9,2,0)</f>
        <v>Saturday</v>
      </c>
      <c r="R359" s="42" t="str">
        <f t="shared" si="15"/>
        <v>Within</v>
      </c>
      <c r="S359" s="41" t="str">
        <f t="shared" si="16"/>
        <v>Pass</v>
      </c>
      <c r="T359" s="30" t="str">
        <f t="shared" si="17"/>
        <v>FY 21-22</v>
      </c>
      <c r="U359" s="30" t="str">
        <f>VLOOKUP(MONTH(G359),Key!$F$3:$G$14,2,0)</f>
        <v>Jul</v>
      </c>
      <c r="V359" s="30" t="str">
        <f>IFERROR(IF(MATCH(F359,'Test 6'!C$5:C$9,0)&gt;0,"RP"),"NON-RP")</f>
        <v>NON-RP</v>
      </c>
    </row>
    <row r="360" spans="2:22" x14ac:dyDescent="0.5">
      <c r="B360" s="30">
        <v>356</v>
      </c>
      <c r="C360" s="30" t="s">
        <v>810</v>
      </c>
      <c r="D360" s="31">
        <v>212297</v>
      </c>
      <c r="E360" s="30" t="s">
        <v>811</v>
      </c>
      <c r="F360" s="53" t="s">
        <v>175</v>
      </c>
      <c r="G360" s="32">
        <v>44380</v>
      </c>
      <c r="H360" s="33">
        <v>0.51969200022081075</v>
      </c>
      <c r="I360" s="30" t="s">
        <v>216</v>
      </c>
      <c r="J360" s="34">
        <v>4982880</v>
      </c>
      <c r="K360" s="35" t="s">
        <v>17</v>
      </c>
      <c r="L360" s="36">
        <v>896918.4</v>
      </c>
      <c r="M360" s="30" t="s">
        <v>41</v>
      </c>
      <c r="N360" s="30" t="s">
        <v>42</v>
      </c>
      <c r="O360" s="30" t="s">
        <v>1542</v>
      </c>
      <c r="P360" s="30" t="s">
        <v>1542</v>
      </c>
      <c r="Q360" s="30" t="str">
        <f>VLOOKUP(WEEKDAY(G360),Key!$B$3:$C$9,2,0)</f>
        <v>Saturday</v>
      </c>
      <c r="R360" s="42" t="str">
        <f t="shared" si="15"/>
        <v>Within</v>
      </c>
      <c r="S360" s="41" t="str">
        <f t="shared" si="16"/>
        <v>Pass</v>
      </c>
      <c r="T360" s="30" t="str">
        <f t="shared" si="17"/>
        <v>FY 21-22</v>
      </c>
      <c r="U360" s="30" t="str">
        <f>VLOOKUP(MONTH(G360),Key!$F$3:$G$14,2,0)</f>
        <v>Jul</v>
      </c>
      <c r="V360" s="30" t="str">
        <f>IFERROR(IF(MATCH(F360,'Test 6'!C$5:C$9,0)&gt;0,"RP"),"NON-RP")</f>
        <v>NON-RP</v>
      </c>
    </row>
    <row r="361" spans="2:22" x14ac:dyDescent="0.5">
      <c r="B361" s="30">
        <v>357</v>
      </c>
      <c r="C361" s="30" t="s">
        <v>812</v>
      </c>
      <c r="D361" s="31">
        <v>212298</v>
      </c>
      <c r="E361" s="30" t="s">
        <v>813</v>
      </c>
      <c r="F361" s="53" t="s">
        <v>608</v>
      </c>
      <c r="G361" s="32">
        <v>44380</v>
      </c>
      <c r="H361" s="33">
        <v>0.63551066302046799</v>
      </c>
      <c r="I361" s="30" t="s">
        <v>216</v>
      </c>
      <c r="J361" s="34">
        <v>335690</v>
      </c>
      <c r="K361" s="35" t="s">
        <v>17</v>
      </c>
      <c r="L361" s="36">
        <v>60424.2</v>
      </c>
      <c r="M361" s="30" t="s">
        <v>46</v>
      </c>
      <c r="N361" s="30" t="s">
        <v>51</v>
      </c>
      <c r="O361" s="30" t="s">
        <v>1542</v>
      </c>
      <c r="P361" s="30" t="s">
        <v>1542</v>
      </c>
      <c r="Q361" s="30" t="str">
        <f>VLOOKUP(WEEKDAY(G361),Key!$B$3:$C$9,2,0)</f>
        <v>Saturday</v>
      </c>
      <c r="R361" s="42" t="str">
        <f t="shared" si="15"/>
        <v>Within</v>
      </c>
      <c r="S361" s="41" t="str">
        <f t="shared" si="16"/>
        <v>Pass</v>
      </c>
      <c r="T361" s="30" t="str">
        <f t="shared" si="17"/>
        <v>FY 21-22</v>
      </c>
      <c r="U361" s="30" t="str">
        <f>VLOOKUP(MONTH(G361),Key!$F$3:$G$14,2,0)</f>
        <v>Jul</v>
      </c>
      <c r="V361" s="30" t="str">
        <f>IFERROR(IF(MATCH(F361,'Test 6'!C$5:C$9,0)&gt;0,"RP"),"NON-RP")</f>
        <v>NON-RP</v>
      </c>
    </row>
    <row r="362" spans="2:22" x14ac:dyDescent="0.5">
      <c r="B362" s="30">
        <v>358</v>
      </c>
      <c r="C362" s="30" t="s">
        <v>814</v>
      </c>
      <c r="D362" s="31">
        <v>212299</v>
      </c>
      <c r="E362" s="30" t="s">
        <v>815</v>
      </c>
      <c r="F362" s="53" t="s">
        <v>81</v>
      </c>
      <c r="G362" s="32">
        <v>44382</v>
      </c>
      <c r="H362" s="33">
        <v>0.57744145355212617</v>
      </c>
      <c r="I362" s="30" t="s">
        <v>216</v>
      </c>
      <c r="J362" s="34">
        <v>337610</v>
      </c>
      <c r="K362" s="35" t="s">
        <v>17</v>
      </c>
      <c r="L362" s="36">
        <v>60769.799999999996</v>
      </c>
      <c r="M362" s="30" t="s">
        <v>32</v>
      </c>
      <c r="N362" s="30" t="s">
        <v>24</v>
      </c>
      <c r="O362" s="30" t="s">
        <v>1542</v>
      </c>
      <c r="P362" s="30" t="s">
        <v>1542</v>
      </c>
      <c r="Q362" s="30" t="str">
        <f>VLOOKUP(WEEKDAY(G362),Key!$B$3:$C$9,2,0)</f>
        <v>Monday</v>
      </c>
      <c r="R362" s="42" t="str">
        <f t="shared" si="15"/>
        <v>Within</v>
      </c>
      <c r="S362" s="41" t="str">
        <f t="shared" si="16"/>
        <v>Pass</v>
      </c>
      <c r="T362" s="30" t="str">
        <f t="shared" si="17"/>
        <v>FY 21-22</v>
      </c>
      <c r="U362" s="30" t="str">
        <f>VLOOKUP(MONTH(G362),Key!$F$3:$G$14,2,0)</f>
        <v>Jul</v>
      </c>
      <c r="V362" s="30" t="str">
        <f>IFERROR(IF(MATCH(F362,'Test 6'!C$5:C$9,0)&gt;0,"RP"),"NON-RP")</f>
        <v>NON-RP</v>
      </c>
    </row>
    <row r="363" spans="2:22" x14ac:dyDescent="0.5">
      <c r="B363" s="30">
        <v>359</v>
      </c>
      <c r="C363" s="30" t="s">
        <v>816</v>
      </c>
      <c r="D363" s="31">
        <v>2122100</v>
      </c>
      <c r="E363" s="30" t="s">
        <v>817</v>
      </c>
      <c r="F363" s="53" t="s">
        <v>128</v>
      </c>
      <c r="G363" s="32">
        <v>44382</v>
      </c>
      <c r="H363" s="33">
        <v>0.45647106567443441</v>
      </c>
      <c r="I363" s="30" t="s">
        <v>216</v>
      </c>
      <c r="J363" s="34">
        <v>315160</v>
      </c>
      <c r="K363" s="35" t="s">
        <v>17</v>
      </c>
      <c r="L363" s="36">
        <v>56728.799999999996</v>
      </c>
      <c r="M363" s="30" t="s">
        <v>23</v>
      </c>
      <c r="N363" s="30" t="s">
        <v>47</v>
      </c>
      <c r="O363" s="30" t="s">
        <v>1542</v>
      </c>
      <c r="P363" s="30" t="s">
        <v>1542</v>
      </c>
      <c r="Q363" s="30" t="str">
        <f>VLOOKUP(WEEKDAY(G363),Key!$B$3:$C$9,2,0)</f>
        <v>Monday</v>
      </c>
      <c r="R363" s="42" t="str">
        <f t="shared" si="15"/>
        <v>Within</v>
      </c>
      <c r="S363" s="41" t="str">
        <f t="shared" si="16"/>
        <v>Pass</v>
      </c>
      <c r="T363" s="30" t="str">
        <f t="shared" si="17"/>
        <v>FY 21-22</v>
      </c>
      <c r="U363" s="30" t="str">
        <f>VLOOKUP(MONTH(G363),Key!$F$3:$G$14,2,0)</f>
        <v>Jul</v>
      </c>
      <c r="V363" s="30" t="str">
        <f>IFERROR(IF(MATCH(F363,'Test 6'!C$5:C$9,0)&gt;0,"RP"),"NON-RP")</f>
        <v>NON-RP</v>
      </c>
    </row>
    <row r="364" spans="2:22" x14ac:dyDescent="0.5">
      <c r="B364" s="30">
        <v>360</v>
      </c>
      <c r="C364" s="30" t="s">
        <v>818</v>
      </c>
      <c r="D364" s="31">
        <v>2122101</v>
      </c>
      <c r="E364" s="30" t="s">
        <v>819</v>
      </c>
      <c r="F364" s="53" t="s">
        <v>114</v>
      </c>
      <c r="G364" s="32">
        <v>44383</v>
      </c>
      <c r="H364" s="33">
        <v>0.74030993727103733</v>
      </c>
      <c r="I364" s="30" t="s">
        <v>216</v>
      </c>
      <c r="J364" s="34">
        <v>258880</v>
      </c>
      <c r="K364" s="35" t="s">
        <v>17</v>
      </c>
      <c r="L364" s="36">
        <v>46598.400000000001</v>
      </c>
      <c r="M364" s="30" t="s">
        <v>28</v>
      </c>
      <c r="N364" s="30" t="s">
        <v>68</v>
      </c>
      <c r="O364" s="30" t="s">
        <v>1542</v>
      </c>
      <c r="P364" s="30" t="s">
        <v>1542</v>
      </c>
      <c r="Q364" s="30" t="str">
        <f>VLOOKUP(WEEKDAY(G364),Key!$B$3:$C$9,2,0)</f>
        <v>Tuesday</v>
      </c>
      <c r="R364" s="42" t="str">
        <f t="shared" si="15"/>
        <v>Within</v>
      </c>
      <c r="S364" s="41" t="str">
        <f t="shared" si="16"/>
        <v>Pass</v>
      </c>
      <c r="T364" s="30" t="str">
        <f t="shared" si="17"/>
        <v>FY 21-22</v>
      </c>
      <c r="U364" s="30" t="str">
        <f>VLOOKUP(MONTH(G364),Key!$F$3:$G$14,2,0)</f>
        <v>Jul</v>
      </c>
      <c r="V364" s="30" t="str">
        <f>IFERROR(IF(MATCH(F364,'Test 6'!C$5:C$9,0)&gt;0,"RP"),"NON-RP")</f>
        <v>NON-RP</v>
      </c>
    </row>
    <row r="365" spans="2:22" x14ac:dyDescent="0.5">
      <c r="B365" s="30">
        <v>361</v>
      </c>
      <c r="C365" s="30" t="s">
        <v>820</v>
      </c>
      <c r="D365" s="31">
        <v>2122102</v>
      </c>
      <c r="E365" s="30" t="s">
        <v>821</v>
      </c>
      <c r="F365" s="53" t="s">
        <v>92</v>
      </c>
      <c r="G365" s="32">
        <v>44384</v>
      </c>
      <c r="H365" s="33">
        <v>0.53493979083922072</v>
      </c>
      <c r="I365" s="30" t="s">
        <v>216</v>
      </c>
      <c r="J365" s="34">
        <v>4879050</v>
      </c>
      <c r="K365" s="35" t="s">
        <v>17</v>
      </c>
      <c r="L365" s="36">
        <v>878229</v>
      </c>
      <c r="M365" s="30" t="s">
        <v>41</v>
      </c>
      <c r="N365" s="30" t="s">
        <v>42</v>
      </c>
      <c r="O365" s="30" t="s">
        <v>1542</v>
      </c>
      <c r="P365" s="30" t="s">
        <v>1542</v>
      </c>
      <c r="Q365" s="30" t="str">
        <f>VLOOKUP(WEEKDAY(G365),Key!$B$3:$C$9,2,0)</f>
        <v>Wednesday</v>
      </c>
      <c r="R365" s="42" t="str">
        <f t="shared" si="15"/>
        <v>Within</v>
      </c>
      <c r="S365" s="41" t="str">
        <f t="shared" si="16"/>
        <v>Pass</v>
      </c>
      <c r="T365" s="30" t="str">
        <f t="shared" si="17"/>
        <v>FY 21-22</v>
      </c>
      <c r="U365" s="30" t="str">
        <f>VLOOKUP(MONTH(G365),Key!$F$3:$G$14,2,0)</f>
        <v>Jul</v>
      </c>
      <c r="V365" s="30" t="str">
        <f>IFERROR(IF(MATCH(F365,'Test 6'!C$5:C$9,0)&gt;0,"RP"),"NON-RP")</f>
        <v>NON-RP</v>
      </c>
    </row>
    <row r="366" spans="2:22" x14ac:dyDescent="0.5">
      <c r="B366" s="30">
        <v>362</v>
      </c>
      <c r="C366" s="30" t="s">
        <v>822</v>
      </c>
      <c r="D366" s="31">
        <v>2122103</v>
      </c>
      <c r="E366" s="30" t="s">
        <v>823</v>
      </c>
      <c r="F366" s="53" t="s">
        <v>332</v>
      </c>
      <c r="G366" s="32">
        <v>44384</v>
      </c>
      <c r="H366" s="33">
        <v>0.68598651138173161</v>
      </c>
      <c r="I366" s="30" t="s">
        <v>216</v>
      </c>
      <c r="J366" s="34">
        <v>4517900</v>
      </c>
      <c r="K366" s="35" t="s">
        <v>17</v>
      </c>
      <c r="L366" s="36">
        <v>813222</v>
      </c>
      <c r="M366" s="30" t="s">
        <v>41</v>
      </c>
      <c r="N366" s="30" t="s">
        <v>42</v>
      </c>
      <c r="O366" s="30" t="s">
        <v>1542</v>
      </c>
      <c r="P366" s="30" t="s">
        <v>1542</v>
      </c>
      <c r="Q366" s="30" t="str">
        <f>VLOOKUP(WEEKDAY(G366),Key!$B$3:$C$9,2,0)</f>
        <v>Wednesday</v>
      </c>
      <c r="R366" s="42" t="str">
        <f t="shared" si="15"/>
        <v>Within</v>
      </c>
      <c r="S366" s="41" t="str">
        <f t="shared" si="16"/>
        <v>Pass</v>
      </c>
      <c r="T366" s="30" t="str">
        <f t="shared" si="17"/>
        <v>FY 21-22</v>
      </c>
      <c r="U366" s="30" t="str">
        <f>VLOOKUP(MONTH(G366),Key!$F$3:$G$14,2,0)</f>
        <v>Jul</v>
      </c>
      <c r="V366" s="30" t="str">
        <f>IFERROR(IF(MATCH(F366,'Test 6'!C$5:C$9,0)&gt;0,"RP"),"NON-RP")</f>
        <v>NON-RP</v>
      </c>
    </row>
    <row r="367" spans="2:22" x14ac:dyDescent="0.5">
      <c r="B367" s="30">
        <v>363</v>
      </c>
      <c r="C367" s="30" t="s">
        <v>824</v>
      </c>
      <c r="D367" s="31">
        <v>2122104</v>
      </c>
      <c r="E367" s="30" t="s">
        <v>825</v>
      </c>
      <c r="F367" s="53" t="s">
        <v>308</v>
      </c>
      <c r="G367" s="32">
        <v>44388</v>
      </c>
      <c r="H367" s="33">
        <v>0.50436342592592587</v>
      </c>
      <c r="I367" s="30" t="s">
        <v>216</v>
      </c>
      <c r="J367" s="34">
        <v>4059510</v>
      </c>
      <c r="K367" s="35" t="s">
        <v>17</v>
      </c>
      <c r="L367" s="36">
        <v>730711.79999999993</v>
      </c>
      <c r="M367" s="30" t="s">
        <v>701</v>
      </c>
      <c r="N367" s="30" t="s">
        <v>41</v>
      </c>
      <c r="O367" s="30" t="s">
        <v>1542</v>
      </c>
      <c r="P367" s="30" t="s">
        <v>1542</v>
      </c>
      <c r="Q367" s="30" t="str">
        <f>VLOOKUP(WEEKDAY(G367),Key!$B$3:$C$9,2,0)</f>
        <v>Sunday</v>
      </c>
      <c r="R367" s="42" t="str">
        <f t="shared" si="15"/>
        <v>Within</v>
      </c>
      <c r="S367" s="41" t="str">
        <f t="shared" si="16"/>
        <v>Red Flag</v>
      </c>
      <c r="T367" s="30" t="str">
        <f t="shared" si="17"/>
        <v>FY 21-22</v>
      </c>
      <c r="U367" s="30" t="str">
        <f>VLOOKUP(MONTH(G367),Key!$F$3:$G$14,2,0)</f>
        <v>Jul</v>
      </c>
      <c r="V367" s="30" t="str">
        <f>IFERROR(IF(MATCH(F367,'Test 6'!C$5:C$9,0)&gt;0,"RP"),"NON-RP")</f>
        <v>RP</v>
      </c>
    </row>
    <row r="368" spans="2:22" x14ac:dyDescent="0.5">
      <c r="B368" s="30">
        <v>364</v>
      </c>
      <c r="C368" s="30" t="s">
        <v>826</v>
      </c>
      <c r="D368" s="31">
        <v>2122105</v>
      </c>
      <c r="E368" s="30" t="s">
        <v>827</v>
      </c>
      <c r="F368" s="53" t="s">
        <v>50</v>
      </c>
      <c r="G368" s="32">
        <v>44384</v>
      </c>
      <c r="H368" s="33">
        <v>0.42348339276709984</v>
      </c>
      <c r="I368" s="30" t="s">
        <v>216</v>
      </c>
      <c r="J368" s="34">
        <v>420600</v>
      </c>
      <c r="K368" s="35" t="s">
        <v>17</v>
      </c>
      <c r="L368" s="36">
        <v>75708</v>
      </c>
      <c r="M368" s="30" t="s">
        <v>46</v>
      </c>
      <c r="N368" s="30" t="s">
        <v>24</v>
      </c>
      <c r="O368" s="30" t="s">
        <v>1542</v>
      </c>
      <c r="P368" s="30" t="s">
        <v>1542</v>
      </c>
      <c r="Q368" s="30" t="str">
        <f>VLOOKUP(WEEKDAY(G368),Key!$B$3:$C$9,2,0)</f>
        <v>Wednesday</v>
      </c>
      <c r="R368" s="42" t="str">
        <f t="shared" si="15"/>
        <v>Within</v>
      </c>
      <c r="S368" s="41" t="str">
        <f t="shared" si="16"/>
        <v>Pass</v>
      </c>
      <c r="T368" s="30" t="str">
        <f t="shared" si="17"/>
        <v>FY 21-22</v>
      </c>
      <c r="U368" s="30" t="str">
        <f>VLOOKUP(MONTH(G368),Key!$F$3:$G$14,2,0)</f>
        <v>Jul</v>
      </c>
      <c r="V368" s="30" t="str">
        <f>IFERROR(IF(MATCH(F368,'Test 6'!C$5:C$9,0)&gt;0,"RP"),"NON-RP")</f>
        <v>NON-RP</v>
      </c>
    </row>
    <row r="369" spans="2:22" x14ac:dyDescent="0.5">
      <c r="B369" s="30">
        <v>365</v>
      </c>
      <c r="C369" s="30" t="s">
        <v>828</v>
      </c>
      <c r="D369" s="31">
        <v>2122106</v>
      </c>
      <c r="E369" s="30" t="s">
        <v>829</v>
      </c>
      <c r="F369" s="53" t="s">
        <v>128</v>
      </c>
      <c r="G369" s="32">
        <v>44385</v>
      </c>
      <c r="H369" s="33">
        <v>0.49732947161492858</v>
      </c>
      <c r="I369" s="30" t="s">
        <v>163</v>
      </c>
      <c r="J369" s="34">
        <v>247030</v>
      </c>
      <c r="K369" s="35" t="s">
        <v>17</v>
      </c>
      <c r="L369" s="36">
        <v>44465.4</v>
      </c>
      <c r="M369" s="30" t="s">
        <v>46</v>
      </c>
      <c r="N369" s="30" t="s">
        <v>68</v>
      </c>
      <c r="O369" s="30" t="s">
        <v>1542</v>
      </c>
      <c r="P369" s="30" t="s">
        <v>1542</v>
      </c>
      <c r="Q369" s="30" t="str">
        <f>VLOOKUP(WEEKDAY(G369),Key!$B$3:$C$9,2,0)</f>
        <v>Thursday</v>
      </c>
      <c r="R369" s="42" t="str">
        <f t="shared" si="15"/>
        <v>Within</v>
      </c>
      <c r="S369" s="41" t="str">
        <f t="shared" si="16"/>
        <v>Pass</v>
      </c>
      <c r="T369" s="30" t="str">
        <f t="shared" si="17"/>
        <v>FY 21-22</v>
      </c>
      <c r="U369" s="30" t="str">
        <f>VLOOKUP(MONTH(G369),Key!$F$3:$G$14,2,0)</f>
        <v>Jul</v>
      </c>
      <c r="V369" s="30" t="str">
        <f>IFERROR(IF(MATCH(F369,'Test 6'!C$5:C$9,0)&gt;0,"RP"),"NON-RP")</f>
        <v>NON-RP</v>
      </c>
    </row>
    <row r="370" spans="2:22" x14ac:dyDescent="0.5">
      <c r="B370" s="30">
        <v>366</v>
      </c>
      <c r="C370" s="30" t="s">
        <v>830</v>
      </c>
      <c r="D370" s="31">
        <v>2122107</v>
      </c>
      <c r="E370" s="30" t="s">
        <v>831</v>
      </c>
      <c r="F370" s="53" t="s">
        <v>54</v>
      </c>
      <c r="G370" s="32">
        <v>44385</v>
      </c>
      <c r="H370" s="33">
        <v>0.49278053064262967</v>
      </c>
      <c r="I370" s="30" t="s">
        <v>216</v>
      </c>
      <c r="J370" s="34">
        <v>254270</v>
      </c>
      <c r="K370" s="35" t="s">
        <v>17</v>
      </c>
      <c r="L370" s="36">
        <v>45768.6</v>
      </c>
      <c r="M370" s="30" t="s">
        <v>32</v>
      </c>
      <c r="N370" s="30" t="s">
        <v>24</v>
      </c>
      <c r="O370" s="30" t="s">
        <v>1542</v>
      </c>
      <c r="P370" s="30" t="s">
        <v>1542</v>
      </c>
      <c r="Q370" s="30" t="str">
        <f>VLOOKUP(WEEKDAY(G370),Key!$B$3:$C$9,2,0)</f>
        <v>Thursday</v>
      </c>
      <c r="R370" s="42" t="str">
        <f t="shared" si="15"/>
        <v>Within</v>
      </c>
      <c r="S370" s="41" t="str">
        <f t="shared" si="16"/>
        <v>Pass</v>
      </c>
      <c r="T370" s="30" t="str">
        <f t="shared" si="17"/>
        <v>FY 21-22</v>
      </c>
      <c r="U370" s="30" t="str">
        <f>VLOOKUP(MONTH(G370),Key!$F$3:$G$14,2,0)</f>
        <v>Jul</v>
      </c>
      <c r="V370" s="30" t="str">
        <f>IFERROR(IF(MATCH(F370,'Test 6'!C$5:C$9,0)&gt;0,"RP"),"NON-RP")</f>
        <v>NON-RP</v>
      </c>
    </row>
    <row r="371" spans="2:22" x14ac:dyDescent="0.5">
      <c r="B371" s="30">
        <v>367</v>
      </c>
      <c r="C371" s="30" t="s">
        <v>832</v>
      </c>
      <c r="D371" s="31">
        <v>2122108</v>
      </c>
      <c r="E371" s="30" t="s">
        <v>833</v>
      </c>
      <c r="F371" s="53" t="s">
        <v>45</v>
      </c>
      <c r="G371" s="32">
        <v>44385</v>
      </c>
      <c r="H371" s="33">
        <v>0.62381740363344584</v>
      </c>
      <c r="I371" s="30" t="s">
        <v>216</v>
      </c>
      <c r="J371" s="34">
        <v>344300</v>
      </c>
      <c r="K371" s="35" t="s">
        <v>17</v>
      </c>
      <c r="L371" s="36">
        <v>61974</v>
      </c>
      <c r="M371" s="30" t="s">
        <v>46</v>
      </c>
      <c r="N371" s="30" t="s">
        <v>51</v>
      </c>
      <c r="O371" s="30" t="s">
        <v>1542</v>
      </c>
      <c r="P371" s="30" t="s">
        <v>1542</v>
      </c>
      <c r="Q371" s="30" t="str">
        <f>VLOOKUP(WEEKDAY(G371),Key!$B$3:$C$9,2,0)</f>
        <v>Thursday</v>
      </c>
      <c r="R371" s="42" t="str">
        <f t="shared" si="15"/>
        <v>Within</v>
      </c>
      <c r="S371" s="41" t="str">
        <f t="shared" si="16"/>
        <v>Pass</v>
      </c>
      <c r="T371" s="30" t="str">
        <f t="shared" si="17"/>
        <v>FY 21-22</v>
      </c>
      <c r="U371" s="30" t="str">
        <f>VLOOKUP(MONTH(G371),Key!$F$3:$G$14,2,0)</f>
        <v>Jul</v>
      </c>
      <c r="V371" s="30" t="str">
        <f>IFERROR(IF(MATCH(F371,'Test 6'!C$5:C$9,0)&gt;0,"RP"),"NON-RP")</f>
        <v>NON-RP</v>
      </c>
    </row>
    <row r="372" spans="2:22" x14ac:dyDescent="0.5">
      <c r="B372" s="30">
        <v>368</v>
      </c>
      <c r="C372" s="30" t="s">
        <v>834</v>
      </c>
      <c r="D372" s="31">
        <v>2122109</v>
      </c>
      <c r="E372" s="30" t="s">
        <v>835</v>
      </c>
      <c r="F372" s="53" t="s">
        <v>122</v>
      </c>
      <c r="G372" s="32">
        <v>44385</v>
      </c>
      <c r="H372" s="33">
        <v>0.55073273145144186</v>
      </c>
      <c r="I372" s="30" t="s">
        <v>163</v>
      </c>
      <c r="J372" s="34">
        <v>457400</v>
      </c>
      <c r="K372" s="35" t="s">
        <v>17</v>
      </c>
      <c r="L372" s="36">
        <v>82332</v>
      </c>
      <c r="M372" s="30" t="s">
        <v>32</v>
      </c>
      <c r="N372" s="30" t="s">
        <v>19</v>
      </c>
      <c r="O372" s="30" t="s">
        <v>1542</v>
      </c>
      <c r="P372" s="30" t="s">
        <v>1542</v>
      </c>
      <c r="Q372" s="30" t="str">
        <f>VLOOKUP(WEEKDAY(G372),Key!$B$3:$C$9,2,0)</f>
        <v>Thursday</v>
      </c>
      <c r="R372" s="42" t="str">
        <f t="shared" si="15"/>
        <v>Within</v>
      </c>
      <c r="S372" s="41" t="str">
        <f t="shared" si="16"/>
        <v>Pass</v>
      </c>
      <c r="T372" s="30" t="str">
        <f t="shared" si="17"/>
        <v>FY 21-22</v>
      </c>
      <c r="U372" s="30" t="str">
        <f>VLOOKUP(MONTH(G372),Key!$F$3:$G$14,2,0)</f>
        <v>Jul</v>
      </c>
      <c r="V372" s="30" t="str">
        <f>IFERROR(IF(MATCH(F372,'Test 6'!C$5:C$9,0)&gt;0,"RP"),"NON-RP")</f>
        <v>NON-RP</v>
      </c>
    </row>
    <row r="373" spans="2:22" x14ac:dyDescent="0.5">
      <c r="B373" s="30">
        <v>369</v>
      </c>
      <c r="C373" s="30" t="s">
        <v>836</v>
      </c>
      <c r="D373" s="31">
        <v>2122110</v>
      </c>
      <c r="E373" s="30" t="s">
        <v>837</v>
      </c>
      <c r="F373" s="53" t="s">
        <v>81</v>
      </c>
      <c r="G373" s="32">
        <v>44386</v>
      </c>
      <c r="H373" s="33">
        <v>0.59141745604054941</v>
      </c>
      <c r="I373" s="30" t="s">
        <v>216</v>
      </c>
      <c r="J373" s="34">
        <v>314630</v>
      </c>
      <c r="K373" s="35" t="s">
        <v>17</v>
      </c>
      <c r="L373" s="36">
        <v>56633.4</v>
      </c>
      <c r="M373" s="30" t="s">
        <v>28</v>
      </c>
      <c r="N373" s="30" t="s">
        <v>51</v>
      </c>
      <c r="O373" s="30" t="s">
        <v>1542</v>
      </c>
      <c r="P373" s="30" t="s">
        <v>1542</v>
      </c>
      <c r="Q373" s="30" t="str">
        <f>VLOOKUP(WEEKDAY(G373),Key!$B$3:$C$9,2,0)</f>
        <v>Friday</v>
      </c>
      <c r="R373" s="42" t="str">
        <f t="shared" si="15"/>
        <v>Within</v>
      </c>
      <c r="S373" s="41" t="str">
        <f t="shared" si="16"/>
        <v>Pass</v>
      </c>
      <c r="T373" s="30" t="str">
        <f t="shared" si="17"/>
        <v>FY 21-22</v>
      </c>
      <c r="U373" s="30" t="str">
        <f>VLOOKUP(MONTH(G373),Key!$F$3:$G$14,2,0)</f>
        <v>Jul</v>
      </c>
      <c r="V373" s="30" t="str">
        <f>IFERROR(IF(MATCH(F373,'Test 6'!C$5:C$9,0)&gt;0,"RP"),"NON-RP")</f>
        <v>NON-RP</v>
      </c>
    </row>
    <row r="374" spans="2:22" x14ac:dyDescent="0.5">
      <c r="B374" s="30">
        <v>370</v>
      </c>
      <c r="C374" s="30" t="s">
        <v>838</v>
      </c>
      <c r="D374" s="31">
        <v>2122111</v>
      </c>
      <c r="E374" s="30" t="s">
        <v>839</v>
      </c>
      <c r="F374" s="53" t="s">
        <v>103</v>
      </c>
      <c r="G374" s="32">
        <v>44387</v>
      </c>
      <c r="H374" s="33">
        <v>0.62824245697541536</v>
      </c>
      <c r="I374" s="30" t="s">
        <v>216</v>
      </c>
      <c r="J374" s="34">
        <v>403900</v>
      </c>
      <c r="K374" s="35" t="s">
        <v>17</v>
      </c>
      <c r="L374" s="36">
        <v>72702</v>
      </c>
      <c r="M374" s="30" t="s">
        <v>23</v>
      </c>
      <c r="N374" s="30" t="s">
        <v>51</v>
      </c>
      <c r="O374" s="30" t="s">
        <v>1542</v>
      </c>
      <c r="P374" s="30" t="s">
        <v>1542</v>
      </c>
      <c r="Q374" s="30" t="str">
        <f>VLOOKUP(WEEKDAY(G374),Key!$B$3:$C$9,2,0)</f>
        <v>Saturday</v>
      </c>
      <c r="R374" s="42" t="str">
        <f t="shared" si="15"/>
        <v>Within</v>
      </c>
      <c r="S374" s="41" t="str">
        <f t="shared" si="16"/>
        <v>Pass</v>
      </c>
      <c r="T374" s="30" t="str">
        <f t="shared" si="17"/>
        <v>FY 21-22</v>
      </c>
      <c r="U374" s="30" t="str">
        <f>VLOOKUP(MONTH(G374),Key!$F$3:$G$14,2,0)</f>
        <v>Jul</v>
      </c>
      <c r="V374" s="30" t="str">
        <f>IFERROR(IF(MATCH(F374,'Test 6'!C$5:C$9,0)&gt;0,"RP"),"NON-RP")</f>
        <v>NON-RP</v>
      </c>
    </row>
    <row r="375" spans="2:22" x14ac:dyDescent="0.5">
      <c r="B375" s="30">
        <v>371</v>
      </c>
      <c r="C375" s="30" t="s">
        <v>840</v>
      </c>
      <c r="D375" s="31">
        <v>2122112</v>
      </c>
      <c r="E375" s="30" t="s">
        <v>841</v>
      </c>
      <c r="F375" s="53" t="s">
        <v>60</v>
      </c>
      <c r="G375" s="32">
        <v>44389</v>
      </c>
      <c r="H375" s="33">
        <v>0.5115321227729891</v>
      </c>
      <c r="I375" s="30" t="s">
        <v>216</v>
      </c>
      <c r="J375" s="34">
        <v>318940</v>
      </c>
      <c r="K375" s="35" t="s">
        <v>17</v>
      </c>
      <c r="L375" s="36">
        <v>57409.2</v>
      </c>
      <c r="M375" s="30" t="s">
        <v>23</v>
      </c>
      <c r="N375" s="30" t="s">
        <v>68</v>
      </c>
      <c r="O375" s="30" t="s">
        <v>1542</v>
      </c>
      <c r="P375" s="30" t="s">
        <v>1542</v>
      </c>
      <c r="Q375" s="30" t="str">
        <f>VLOOKUP(WEEKDAY(G375),Key!$B$3:$C$9,2,0)</f>
        <v>Monday</v>
      </c>
      <c r="R375" s="42" t="str">
        <f t="shared" si="15"/>
        <v>Within</v>
      </c>
      <c r="S375" s="41" t="str">
        <f t="shared" si="16"/>
        <v>Pass</v>
      </c>
      <c r="T375" s="30" t="str">
        <f t="shared" si="17"/>
        <v>FY 21-22</v>
      </c>
      <c r="U375" s="30" t="str">
        <f>VLOOKUP(MONTH(G375),Key!$F$3:$G$14,2,0)</f>
        <v>Jul</v>
      </c>
      <c r="V375" s="30" t="str">
        <f>IFERROR(IF(MATCH(F375,'Test 6'!C$5:C$9,0)&gt;0,"RP"),"NON-RP")</f>
        <v>NON-RP</v>
      </c>
    </row>
    <row r="376" spans="2:22" x14ac:dyDescent="0.5">
      <c r="B376" s="30">
        <v>372</v>
      </c>
      <c r="C376" s="30" t="s">
        <v>842</v>
      </c>
      <c r="D376" s="31">
        <v>2122113</v>
      </c>
      <c r="E376" s="30" t="s">
        <v>843</v>
      </c>
      <c r="F376" s="53" t="s">
        <v>203</v>
      </c>
      <c r="G376" s="32">
        <v>44389</v>
      </c>
      <c r="H376" s="33">
        <v>0.542612843305596</v>
      </c>
      <c r="I376" s="30" t="s">
        <v>216</v>
      </c>
      <c r="J376" s="34">
        <v>345820</v>
      </c>
      <c r="K376" s="35" t="s">
        <v>17</v>
      </c>
      <c r="L376" s="36">
        <v>62247.6</v>
      </c>
      <c r="M376" s="30" t="s">
        <v>37</v>
      </c>
      <c r="N376" s="30" t="s">
        <v>68</v>
      </c>
      <c r="O376" s="30" t="s">
        <v>1542</v>
      </c>
      <c r="P376" s="30" t="s">
        <v>1542</v>
      </c>
      <c r="Q376" s="30" t="str">
        <f>VLOOKUP(WEEKDAY(G376),Key!$B$3:$C$9,2,0)</f>
        <v>Monday</v>
      </c>
      <c r="R376" s="42" t="str">
        <f t="shared" si="15"/>
        <v>Within</v>
      </c>
      <c r="S376" s="41" t="str">
        <f t="shared" si="16"/>
        <v>Pass</v>
      </c>
      <c r="T376" s="30" t="str">
        <f t="shared" si="17"/>
        <v>FY 21-22</v>
      </c>
      <c r="U376" s="30" t="str">
        <f>VLOOKUP(MONTH(G376),Key!$F$3:$G$14,2,0)</f>
        <v>Jul</v>
      </c>
      <c r="V376" s="30" t="str">
        <f>IFERROR(IF(MATCH(F376,'Test 6'!C$5:C$9,0)&gt;0,"RP"),"NON-RP")</f>
        <v>NON-RP</v>
      </c>
    </row>
    <row r="377" spans="2:22" x14ac:dyDescent="0.5">
      <c r="B377" s="30">
        <v>373</v>
      </c>
      <c r="C377" s="30" t="s">
        <v>844</v>
      </c>
      <c r="D377" s="31">
        <v>2122114</v>
      </c>
      <c r="E377" s="30" t="s">
        <v>845</v>
      </c>
      <c r="F377" s="53" t="s">
        <v>119</v>
      </c>
      <c r="G377" s="32">
        <v>44389</v>
      </c>
      <c r="H377" s="33">
        <v>0.52241587750008434</v>
      </c>
      <c r="I377" s="30" t="s">
        <v>216</v>
      </c>
      <c r="J377" s="34">
        <v>475420</v>
      </c>
      <c r="K377" s="35" t="s">
        <v>17</v>
      </c>
      <c r="L377" s="36">
        <v>85575.599999999991</v>
      </c>
      <c r="M377" s="30" t="s">
        <v>18</v>
      </c>
      <c r="N377" s="30" t="s">
        <v>51</v>
      </c>
      <c r="O377" s="30" t="s">
        <v>1542</v>
      </c>
      <c r="P377" s="30" t="s">
        <v>1542</v>
      </c>
      <c r="Q377" s="30" t="str">
        <f>VLOOKUP(WEEKDAY(G377),Key!$B$3:$C$9,2,0)</f>
        <v>Monday</v>
      </c>
      <c r="R377" s="42" t="str">
        <f t="shared" si="15"/>
        <v>Within</v>
      </c>
      <c r="S377" s="41" t="str">
        <f t="shared" si="16"/>
        <v>Pass</v>
      </c>
      <c r="T377" s="30" t="str">
        <f t="shared" si="17"/>
        <v>FY 21-22</v>
      </c>
      <c r="U377" s="30" t="str">
        <f>VLOOKUP(MONTH(G377),Key!$F$3:$G$14,2,0)</f>
        <v>Jul</v>
      </c>
      <c r="V377" s="30" t="str">
        <f>IFERROR(IF(MATCH(F377,'Test 6'!C$5:C$9,0)&gt;0,"RP"),"NON-RP")</f>
        <v>NON-RP</v>
      </c>
    </row>
    <row r="378" spans="2:22" x14ac:dyDescent="0.5">
      <c r="B378" s="30">
        <v>374</v>
      </c>
      <c r="C378" s="30" t="s">
        <v>846</v>
      </c>
      <c r="D378" s="31">
        <v>2122115</v>
      </c>
      <c r="E378" s="30" t="s">
        <v>847</v>
      </c>
      <c r="F378" s="53" t="s">
        <v>81</v>
      </c>
      <c r="G378" s="32">
        <v>44389</v>
      </c>
      <c r="H378" s="33">
        <v>0.7069622264841009</v>
      </c>
      <c r="I378" s="30" t="s">
        <v>216</v>
      </c>
      <c r="J378" s="34">
        <v>307180</v>
      </c>
      <c r="K378" s="35" t="s">
        <v>17</v>
      </c>
      <c r="L378" s="36">
        <v>55292.4</v>
      </c>
      <c r="M378" s="30" t="s">
        <v>46</v>
      </c>
      <c r="N378" s="30" t="s">
        <v>24</v>
      </c>
      <c r="O378" s="30" t="s">
        <v>1542</v>
      </c>
      <c r="P378" s="30" t="s">
        <v>1542</v>
      </c>
      <c r="Q378" s="30" t="str">
        <f>VLOOKUP(WEEKDAY(G378),Key!$B$3:$C$9,2,0)</f>
        <v>Monday</v>
      </c>
      <c r="R378" s="42" t="str">
        <f t="shared" si="15"/>
        <v>Within</v>
      </c>
      <c r="S378" s="41" t="str">
        <f t="shared" si="16"/>
        <v>Pass</v>
      </c>
      <c r="T378" s="30" t="str">
        <f t="shared" si="17"/>
        <v>FY 21-22</v>
      </c>
      <c r="U378" s="30" t="str">
        <f>VLOOKUP(MONTH(G378),Key!$F$3:$G$14,2,0)</f>
        <v>Jul</v>
      </c>
      <c r="V378" s="30" t="str">
        <f>IFERROR(IF(MATCH(F378,'Test 6'!C$5:C$9,0)&gt;0,"RP"),"NON-RP")</f>
        <v>NON-RP</v>
      </c>
    </row>
    <row r="379" spans="2:22" x14ac:dyDescent="0.5">
      <c r="B379" s="30">
        <v>375</v>
      </c>
      <c r="C379" s="30" t="s">
        <v>848</v>
      </c>
      <c r="D379" s="31">
        <v>2122116</v>
      </c>
      <c r="E379" s="30" t="s">
        <v>849</v>
      </c>
      <c r="F379" s="53" t="s">
        <v>195</v>
      </c>
      <c r="G379" s="32">
        <v>44389</v>
      </c>
      <c r="H379" s="33">
        <v>0.64423916599651232</v>
      </c>
      <c r="I379" s="30" t="s">
        <v>216</v>
      </c>
      <c r="J379" s="34">
        <v>337680</v>
      </c>
      <c r="K379" s="35" t="s">
        <v>17</v>
      </c>
      <c r="L379" s="36">
        <v>60782.399999999994</v>
      </c>
      <c r="M379" s="30" t="s">
        <v>32</v>
      </c>
      <c r="N379" s="30" t="s">
        <v>24</v>
      </c>
      <c r="O379" s="30" t="s">
        <v>1542</v>
      </c>
      <c r="P379" s="30" t="s">
        <v>1542</v>
      </c>
      <c r="Q379" s="30" t="str">
        <f>VLOOKUP(WEEKDAY(G379),Key!$B$3:$C$9,2,0)</f>
        <v>Monday</v>
      </c>
      <c r="R379" s="42" t="str">
        <f t="shared" si="15"/>
        <v>Within</v>
      </c>
      <c r="S379" s="41" t="str">
        <f t="shared" si="16"/>
        <v>Pass</v>
      </c>
      <c r="T379" s="30" t="str">
        <f t="shared" si="17"/>
        <v>FY 21-22</v>
      </c>
      <c r="U379" s="30" t="str">
        <f>VLOOKUP(MONTH(G379),Key!$F$3:$G$14,2,0)</f>
        <v>Jul</v>
      </c>
      <c r="V379" s="30" t="str">
        <f>IFERROR(IF(MATCH(F379,'Test 6'!C$5:C$9,0)&gt;0,"RP"),"NON-RP")</f>
        <v>NON-RP</v>
      </c>
    </row>
    <row r="380" spans="2:22" x14ac:dyDescent="0.5">
      <c r="B380" s="30">
        <v>376</v>
      </c>
      <c r="C380" s="30" t="s">
        <v>850</v>
      </c>
      <c r="D380" s="31">
        <v>2122117</v>
      </c>
      <c r="E380" s="30" t="s">
        <v>851</v>
      </c>
      <c r="F380" s="53" t="s">
        <v>103</v>
      </c>
      <c r="G380" s="32">
        <v>44391</v>
      </c>
      <c r="H380" s="33">
        <v>0.68851545937339687</v>
      </c>
      <c r="I380" s="30" t="s">
        <v>216</v>
      </c>
      <c r="J380" s="34">
        <v>234720</v>
      </c>
      <c r="K380" s="35" t="s">
        <v>17</v>
      </c>
      <c r="L380" s="36">
        <v>42249.599999999999</v>
      </c>
      <c r="M380" s="30" t="s">
        <v>18</v>
      </c>
      <c r="N380" s="30" t="s">
        <v>47</v>
      </c>
      <c r="O380" s="30" t="s">
        <v>1542</v>
      </c>
      <c r="P380" s="30" t="s">
        <v>1542</v>
      </c>
      <c r="Q380" s="30" t="str">
        <f>VLOOKUP(WEEKDAY(G380),Key!$B$3:$C$9,2,0)</f>
        <v>Wednesday</v>
      </c>
      <c r="R380" s="42" t="str">
        <f t="shared" si="15"/>
        <v>Within</v>
      </c>
      <c r="S380" s="41" t="str">
        <f t="shared" si="16"/>
        <v>Pass</v>
      </c>
      <c r="T380" s="30" t="str">
        <f t="shared" si="17"/>
        <v>FY 21-22</v>
      </c>
      <c r="U380" s="30" t="str">
        <f>VLOOKUP(MONTH(G380),Key!$F$3:$G$14,2,0)</f>
        <v>Jul</v>
      </c>
      <c r="V380" s="30" t="str">
        <f>IFERROR(IF(MATCH(F380,'Test 6'!C$5:C$9,0)&gt;0,"RP"),"NON-RP")</f>
        <v>NON-RP</v>
      </c>
    </row>
    <row r="381" spans="2:22" x14ac:dyDescent="0.5">
      <c r="B381" s="30">
        <v>377</v>
      </c>
      <c r="C381" s="30" t="s">
        <v>852</v>
      </c>
      <c r="D381" s="31">
        <v>2122118</v>
      </c>
      <c r="E381" s="30" t="s">
        <v>853</v>
      </c>
      <c r="F381" s="53" t="s">
        <v>103</v>
      </c>
      <c r="G381" s="32">
        <v>44396</v>
      </c>
      <c r="H381" s="33">
        <v>0.62072566973662036</v>
      </c>
      <c r="I381" s="30" t="s">
        <v>216</v>
      </c>
      <c r="J381" s="34">
        <v>4996140</v>
      </c>
      <c r="K381" s="35" t="s">
        <v>17</v>
      </c>
      <c r="L381" s="36">
        <v>899305.2</v>
      </c>
      <c r="M381" s="30" t="s">
        <v>41</v>
      </c>
      <c r="N381" s="30" t="s">
        <v>42</v>
      </c>
      <c r="O381" s="30" t="s">
        <v>1542</v>
      </c>
      <c r="P381" s="30" t="s">
        <v>1542</v>
      </c>
      <c r="Q381" s="30" t="str">
        <f>VLOOKUP(WEEKDAY(G381),Key!$B$3:$C$9,2,0)</f>
        <v>Monday</v>
      </c>
      <c r="R381" s="42" t="str">
        <f t="shared" si="15"/>
        <v>Within</v>
      </c>
      <c r="S381" s="41" t="str">
        <f t="shared" si="16"/>
        <v>Pass</v>
      </c>
      <c r="T381" s="30" t="str">
        <f t="shared" si="17"/>
        <v>FY 21-22</v>
      </c>
      <c r="U381" s="30" t="str">
        <f>VLOOKUP(MONTH(G381),Key!$F$3:$G$14,2,0)</f>
        <v>Jul</v>
      </c>
      <c r="V381" s="30" t="str">
        <f>IFERROR(IF(MATCH(F381,'Test 6'!C$5:C$9,0)&gt;0,"RP"),"NON-RP")</f>
        <v>NON-RP</v>
      </c>
    </row>
    <row r="382" spans="2:22" x14ac:dyDescent="0.5">
      <c r="B382" s="30">
        <v>378</v>
      </c>
      <c r="C382" s="30" t="s">
        <v>854</v>
      </c>
      <c r="D382" s="31">
        <v>2122119</v>
      </c>
      <c r="E382" s="30" t="s">
        <v>855</v>
      </c>
      <c r="F382" s="53" t="s">
        <v>269</v>
      </c>
      <c r="G382" s="32">
        <v>44396</v>
      </c>
      <c r="H382" s="33">
        <v>0.63216311743623943</v>
      </c>
      <c r="I382" s="30" t="s">
        <v>216</v>
      </c>
      <c r="J382" s="34">
        <v>214640</v>
      </c>
      <c r="K382" s="35" t="s">
        <v>17</v>
      </c>
      <c r="L382" s="36">
        <v>38635.199999999997</v>
      </c>
      <c r="M382" s="30" t="s">
        <v>32</v>
      </c>
      <c r="N382" s="30" t="s">
        <v>19</v>
      </c>
      <c r="O382" s="30" t="s">
        <v>1542</v>
      </c>
      <c r="P382" s="30" t="s">
        <v>1542</v>
      </c>
      <c r="Q382" s="30" t="str">
        <f>VLOOKUP(WEEKDAY(G382),Key!$B$3:$C$9,2,0)</f>
        <v>Monday</v>
      </c>
      <c r="R382" s="42" t="str">
        <f t="shared" si="15"/>
        <v>Within</v>
      </c>
      <c r="S382" s="41" t="str">
        <f t="shared" si="16"/>
        <v>Pass</v>
      </c>
      <c r="T382" s="30" t="str">
        <f t="shared" si="17"/>
        <v>FY 21-22</v>
      </c>
      <c r="U382" s="30" t="str">
        <f>VLOOKUP(MONTH(G382),Key!$F$3:$G$14,2,0)</f>
        <v>Jul</v>
      </c>
      <c r="V382" s="30" t="str">
        <f>IFERROR(IF(MATCH(F382,'Test 6'!C$5:C$9,0)&gt;0,"RP"),"NON-RP")</f>
        <v>NON-RP</v>
      </c>
    </row>
    <row r="383" spans="2:22" x14ac:dyDescent="0.5">
      <c r="B383" s="30">
        <v>379</v>
      </c>
      <c r="C383" s="30" t="s">
        <v>856</v>
      </c>
      <c r="D383" s="31">
        <v>2122120</v>
      </c>
      <c r="E383" s="30" t="s">
        <v>857</v>
      </c>
      <c r="F383" s="53" t="s">
        <v>308</v>
      </c>
      <c r="G383" s="32">
        <v>44395</v>
      </c>
      <c r="H383" s="33">
        <v>0.50341664780436945</v>
      </c>
      <c r="I383" s="30" t="s">
        <v>216</v>
      </c>
      <c r="J383" s="34">
        <v>4211080</v>
      </c>
      <c r="K383" s="35" t="s">
        <v>17</v>
      </c>
      <c r="L383" s="36">
        <v>757994.4</v>
      </c>
      <c r="M383" s="30" t="s">
        <v>69</v>
      </c>
      <c r="N383" s="30" t="s">
        <v>41</v>
      </c>
      <c r="O383" s="30" t="s">
        <v>1542</v>
      </c>
      <c r="P383" s="30" t="s">
        <v>1542</v>
      </c>
      <c r="Q383" s="30" t="str">
        <f>VLOOKUP(WEEKDAY(G383),Key!$B$3:$C$9,2,0)</f>
        <v>Sunday</v>
      </c>
      <c r="R383" s="42" t="str">
        <f t="shared" si="15"/>
        <v>Within</v>
      </c>
      <c r="S383" s="41" t="str">
        <f t="shared" si="16"/>
        <v>Red Flag</v>
      </c>
      <c r="T383" s="30" t="str">
        <f t="shared" si="17"/>
        <v>FY 21-22</v>
      </c>
      <c r="U383" s="30" t="str">
        <f>VLOOKUP(MONTH(G383),Key!$F$3:$G$14,2,0)</f>
        <v>Jul</v>
      </c>
      <c r="V383" s="30" t="str">
        <f>IFERROR(IF(MATCH(F383,'Test 6'!C$5:C$9,0)&gt;0,"RP"),"NON-RP")</f>
        <v>RP</v>
      </c>
    </row>
    <row r="384" spans="2:22" x14ac:dyDescent="0.5">
      <c r="B384" s="30">
        <v>380</v>
      </c>
      <c r="C384" s="30" t="s">
        <v>858</v>
      </c>
      <c r="D384" s="31">
        <v>2122121</v>
      </c>
      <c r="E384" s="30" t="s">
        <v>859</v>
      </c>
      <c r="F384" s="53" t="s">
        <v>27</v>
      </c>
      <c r="G384" s="32">
        <v>44397</v>
      </c>
      <c r="H384" s="33">
        <v>0.56542378969175555</v>
      </c>
      <c r="I384" s="30" t="s">
        <v>216</v>
      </c>
      <c r="J384" s="34">
        <v>247860</v>
      </c>
      <c r="K384" s="35" t="s">
        <v>17</v>
      </c>
      <c r="L384" s="36">
        <v>44614.799999999996</v>
      </c>
      <c r="M384" s="30" t="s">
        <v>28</v>
      </c>
      <c r="N384" s="30" t="s">
        <v>19</v>
      </c>
      <c r="O384" s="30" t="s">
        <v>1542</v>
      </c>
      <c r="P384" s="30" t="s">
        <v>1542</v>
      </c>
      <c r="Q384" s="30" t="str">
        <f>VLOOKUP(WEEKDAY(G384),Key!$B$3:$C$9,2,0)</f>
        <v>Tuesday</v>
      </c>
      <c r="R384" s="42" t="str">
        <f t="shared" si="15"/>
        <v>Within</v>
      </c>
      <c r="S384" s="41" t="str">
        <f t="shared" si="16"/>
        <v>Pass</v>
      </c>
      <c r="T384" s="30" t="str">
        <f t="shared" si="17"/>
        <v>FY 21-22</v>
      </c>
      <c r="U384" s="30" t="str">
        <f>VLOOKUP(MONTH(G384),Key!$F$3:$G$14,2,0)</f>
        <v>Jul</v>
      </c>
      <c r="V384" s="30" t="str">
        <f>IFERROR(IF(MATCH(F384,'Test 6'!C$5:C$9,0)&gt;0,"RP"),"NON-RP")</f>
        <v>NON-RP</v>
      </c>
    </row>
    <row r="385" spans="2:22" x14ac:dyDescent="0.5">
      <c r="B385" s="30">
        <v>381</v>
      </c>
      <c r="C385" s="30" t="s">
        <v>860</v>
      </c>
      <c r="D385" s="31">
        <v>2122122</v>
      </c>
      <c r="E385" s="30" t="s">
        <v>861</v>
      </c>
      <c r="F385" s="53" t="s">
        <v>143</v>
      </c>
      <c r="G385" s="32">
        <v>44398</v>
      </c>
      <c r="H385" s="33">
        <v>0.66957677384603242</v>
      </c>
      <c r="I385" s="30" t="s">
        <v>216</v>
      </c>
      <c r="J385" s="34">
        <v>229830</v>
      </c>
      <c r="K385" s="35" t="s">
        <v>17</v>
      </c>
      <c r="L385" s="36">
        <v>41369.4</v>
      </c>
      <c r="M385" s="30" t="s">
        <v>32</v>
      </c>
      <c r="N385" s="30" t="s">
        <v>47</v>
      </c>
      <c r="O385" s="30" t="s">
        <v>1542</v>
      </c>
      <c r="P385" s="30" t="s">
        <v>1542</v>
      </c>
      <c r="Q385" s="30" t="str">
        <f>VLOOKUP(WEEKDAY(G385),Key!$B$3:$C$9,2,0)</f>
        <v>Wednesday</v>
      </c>
      <c r="R385" s="42" t="str">
        <f t="shared" si="15"/>
        <v>Within</v>
      </c>
      <c r="S385" s="41" t="str">
        <f t="shared" si="16"/>
        <v>Pass</v>
      </c>
      <c r="T385" s="30" t="str">
        <f t="shared" si="17"/>
        <v>FY 21-22</v>
      </c>
      <c r="U385" s="30" t="str">
        <f>VLOOKUP(MONTH(G385),Key!$F$3:$G$14,2,0)</f>
        <v>Jul</v>
      </c>
      <c r="V385" s="30" t="str">
        <f>IFERROR(IF(MATCH(F385,'Test 6'!C$5:C$9,0)&gt;0,"RP"),"NON-RP")</f>
        <v>NON-RP</v>
      </c>
    </row>
    <row r="386" spans="2:22" x14ac:dyDescent="0.5">
      <c r="B386" s="30">
        <v>382</v>
      </c>
      <c r="C386" s="30" t="s">
        <v>862</v>
      </c>
      <c r="D386" s="31">
        <v>2122123</v>
      </c>
      <c r="E386" s="30" t="s">
        <v>863</v>
      </c>
      <c r="F386" s="53" t="s">
        <v>114</v>
      </c>
      <c r="G386" s="32">
        <v>44398</v>
      </c>
      <c r="H386" s="33">
        <v>0.65242682398839091</v>
      </c>
      <c r="I386" s="30" t="s">
        <v>216</v>
      </c>
      <c r="J386" s="34">
        <v>399460</v>
      </c>
      <c r="K386" s="35" t="s">
        <v>17</v>
      </c>
      <c r="L386" s="36">
        <v>71902.8</v>
      </c>
      <c r="M386" s="30" t="s">
        <v>46</v>
      </c>
      <c r="N386" s="30" t="s">
        <v>47</v>
      </c>
      <c r="O386" s="30" t="s">
        <v>1542</v>
      </c>
      <c r="P386" s="30" t="s">
        <v>1542</v>
      </c>
      <c r="Q386" s="30" t="str">
        <f>VLOOKUP(WEEKDAY(G386),Key!$B$3:$C$9,2,0)</f>
        <v>Wednesday</v>
      </c>
      <c r="R386" s="42" t="str">
        <f t="shared" si="15"/>
        <v>Within</v>
      </c>
      <c r="S386" s="41" t="str">
        <f t="shared" si="16"/>
        <v>Pass</v>
      </c>
      <c r="T386" s="30" t="str">
        <f t="shared" si="17"/>
        <v>FY 21-22</v>
      </c>
      <c r="U386" s="30" t="str">
        <f>VLOOKUP(MONTH(G386),Key!$F$3:$G$14,2,0)</f>
        <v>Jul</v>
      </c>
      <c r="V386" s="30" t="str">
        <f>IFERROR(IF(MATCH(F386,'Test 6'!C$5:C$9,0)&gt;0,"RP"),"NON-RP")</f>
        <v>NON-RP</v>
      </c>
    </row>
    <row r="387" spans="2:22" x14ac:dyDescent="0.5">
      <c r="B387" s="30">
        <v>383</v>
      </c>
      <c r="C387" s="30" t="s">
        <v>864</v>
      </c>
      <c r="D387" s="31">
        <v>2122124</v>
      </c>
      <c r="E387" s="30" t="s">
        <v>865</v>
      </c>
      <c r="F387" s="53" t="s">
        <v>87</v>
      </c>
      <c r="G387" s="32">
        <v>44399</v>
      </c>
      <c r="H387" s="33">
        <v>0.62657514825006222</v>
      </c>
      <c r="I387" s="30" t="s">
        <v>216</v>
      </c>
      <c r="J387" s="34">
        <v>352720</v>
      </c>
      <c r="K387" s="35" t="s">
        <v>17</v>
      </c>
      <c r="L387" s="36">
        <v>63489.599999999999</v>
      </c>
      <c r="M387" s="30" t="s">
        <v>32</v>
      </c>
      <c r="N387" s="30" t="s">
        <v>68</v>
      </c>
      <c r="O387" s="30" t="s">
        <v>1542</v>
      </c>
      <c r="P387" s="30" t="s">
        <v>1542</v>
      </c>
      <c r="Q387" s="30" t="str">
        <f>VLOOKUP(WEEKDAY(G387),Key!$B$3:$C$9,2,0)</f>
        <v>Thursday</v>
      </c>
      <c r="R387" s="42" t="str">
        <f t="shared" si="15"/>
        <v>Within</v>
      </c>
      <c r="S387" s="41" t="str">
        <f t="shared" si="16"/>
        <v>Pass</v>
      </c>
      <c r="T387" s="30" t="str">
        <f t="shared" si="17"/>
        <v>FY 21-22</v>
      </c>
      <c r="U387" s="30" t="str">
        <f>VLOOKUP(MONTH(G387),Key!$F$3:$G$14,2,0)</f>
        <v>Jul</v>
      </c>
      <c r="V387" s="30" t="str">
        <f>IFERROR(IF(MATCH(F387,'Test 6'!C$5:C$9,0)&gt;0,"RP"),"NON-RP")</f>
        <v>NON-RP</v>
      </c>
    </row>
    <row r="388" spans="2:22" x14ac:dyDescent="0.5">
      <c r="B388" s="30">
        <v>384</v>
      </c>
      <c r="C388" s="30" t="s">
        <v>866</v>
      </c>
      <c r="D388" s="31">
        <v>2122125</v>
      </c>
      <c r="E388" s="30" t="s">
        <v>867</v>
      </c>
      <c r="F388" s="53" t="s">
        <v>332</v>
      </c>
      <c r="G388" s="32">
        <v>44401</v>
      </c>
      <c r="H388" s="33">
        <v>0.69083812327640137</v>
      </c>
      <c r="I388" s="30" t="s">
        <v>216</v>
      </c>
      <c r="J388" s="34">
        <v>297520</v>
      </c>
      <c r="K388" s="35" t="s">
        <v>17</v>
      </c>
      <c r="L388" s="36">
        <v>53553.599999999999</v>
      </c>
      <c r="M388" s="30" t="s">
        <v>32</v>
      </c>
      <c r="N388" s="30" t="s">
        <v>24</v>
      </c>
      <c r="O388" s="30" t="s">
        <v>1542</v>
      </c>
      <c r="P388" s="30" t="s">
        <v>1542</v>
      </c>
      <c r="Q388" s="30" t="str">
        <f>VLOOKUP(WEEKDAY(G388),Key!$B$3:$C$9,2,0)</f>
        <v>Saturday</v>
      </c>
      <c r="R388" s="42" t="str">
        <f t="shared" si="15"/>
        <v>Within</v>
      </c>
      <c r="S388" s="41" t="str">
        <f t="shared" si="16"/>
        <v>Pass</v>
      </c>
      <c r="T388" s="30" t="str">
        <f t="shared" si="17"/>
        <v>FY 21-22</v>
      </c>
      <c r="U388" s="30" t="str">
        <f>VLOOKUP(MONTH(G388),Key!$F$3:$G$14,2,0)</f>
        <v>Jul</v>
      </c>
      <c r="V388" s="30" t="str">
        <f>IFERROR(IF(MATCH(F388,'Test 6'!C$5:C$9,0)&gt;0,"RP"),"NON-RP")</f>
        <v>NON-RP</v>
      </c>
    </row>
    <row r="389" spans="2:22" x14ac:dyDescent="0.5">
      <c r="B389" s="30">
        <v>385</v>
      </c>
      <c r="C389" s="30" t="s">
        <v>868</v>
      </c>
      <c r="D389" s="31">
        <v>2122126</v>
      </c>
      <c r="E389" s="30" t="s">
        <v>869</v>
      </c>
      <c r="F389" s="53" t="s">
        <v>35</v>
      </c>
      <c r="G389" s="32">
        <v>44401</v>
      </c>
      <c r="H389" s="33">
        <v>0.60169925106592359</v>
      </c>
      <c r="I389" s="30" t="s">
        <v>216</v>
      </c>
      <c r="J389" s="34">
        <v>4531660</v>
      </c>
      <c r="K389" s="35" t="s">
        <v>17</v>
      </c>
      <c r="L389" s="36">
        <v>815698.79999999993</v>
      </c>
      <c r="M389" s="30" t="s">
        <v>41</v>
      </c>
      <c r="N389" s="30" t="s">
        <v>42</v>
      </c>
      <c r="O389" s="30" t="s">
        <v>1542</v>
      </c>
      <c r="P389" s="30" t="s">
        <v>1542</v>
      </c>
      <c r="Q389" s="30" t="str">
        <f>VLOOKUP(WEEKDAY(G389),Key!$B$3:$C$9,2,0)</f>
        <v>Saturday</v>
      </c>
      <c r="R389" s="42" t="str">
        <f t="shared" ref="R389:R452" si="18">IF(AND(H389&lt;TIME(18,0,0),H389&gt;TIME(10,0,0)),"Within","Outside")</f>
        <v>Within</v>
      </c>
      <c r="S389" s="41" t="str">
        <f t="shared" si="16"/>
        <v>Pass</v>
      </c>
      <c r="T389" s="30" t="str">
        <f t="shared" si="17"/>
        <v>FY 21-22</v>
      </c>
      <c r="U389" s="30" t="str">
        <f>VLOOKUP(MONTH(G389),Key!$F$3:$G$14,2,0)</f>
        <v>Jul</v>
      </c>
      <c r="V389" s="30" t="str">
        <f>IFERROR(IF(MATCH(F389,'Test 6'!C$5:C$9,0)&gt;0,"RP"),"NON-RP")</f>
        <v>NON-RP</v>
      </c>
    </row>
    <row r="390" spans="2:22" x14ac:dyDescent="0.5">
      <c r="B390" s="30">
        <v>386</v>
      </c>
      <c r="C390" s="30" t="s">
        <v>870</v>
      </c>
      <c r="D390" s="31">
        <v>2122127</v>
      </c>
      <c r="E390" s="30" t="s">
        <v>871</v>
      </c>
      <c r="F390" s="53" t="s">
        <v>238</v>
      </c>
      <c r="G390" s="32">
        <v>44401</v>
      </c>
      <c r="H390" s="33">
        <v>0.49918909960313618</v>
      </c>
      <c r="I390" s="30" t="s">
        <v>216</v>
      </c>
      <c r="J390" s="34">
        <v>471240</v>
      </c>
      <c r="K390" s="35" t="s">
        <v>17</v>
      </c>
      <c r="L390" s="36">
        <v>84823.2</v>
      </c>
      <c r="M390" s="30" t="s">
        <v>61</v>
      </c>
      <c r="N390" s="30" t="s">
        <v>24</v>
      </c>
      <c r="O390" s="30" t="s">
        <v>1542</v>
      </c>
      <c r="P390" s="30" t="s">
        <v>1542</v>
      </c>
      <c r="Q390" s="30" t="str">
        <f>VLOOKUP(WEEKDAY(G390),Key!$B$3:$C$9,2,0)</f>
        <v>Saturday</v>
      </c>
      <c r="R390" s="42" t="str">
        <f t="shared" si="18"/>
        <v>Within</v>
      </c>
      <c r="S390" s="41" t="str">
        <f t="shared" ref="S390:S453" si="19">IF(OR(Q390="Sunday",R390="outside"),"Red Flag","Pass")</f>
        <v>Pass</v>
      </c>
      <c r="T390" s="30" t="str">
        <f t="shared" ref="T390:T453" si="20">IF(AND(DATE(2021,4,1)&lt;=G390,G390&lt;=DATE(2022,3,31)),"FY 21-22","FY 20-21")</f>
        <v>FY 21-22</v>
      </c>
      <c r="U390" s="30" t="str">
        <f>VLOOKUP(MONTH(G390),Key!$F$3:$G$14,2,0)</f>
        <v>Jul</v>
      </c>
      <c r="V390" s="30" t="str">
        <f>IFERROR(IF(MATCH(F390,'Test 6'!C$5:C$9,0)&gt;0,"RP"),"NON-RP")</f>
        <v>NON-RP</v>
      </c>
    </row>
    <row r="391" spans="2:22" x14ac:dyDescent="0.5">
      <c r="B391" s="30">
        <v>387</v>
      </c>
      <c r="C391" s="30" t="s">
        <v>872</v>
      </c>
      <c r="D391" s="31">
        <v>2122128</v>
      </c>
      <c r="E391" s="30" t="s">
        <v>873</v>
      </c>
      <c r="F391" s="53" t="s">
        <v>50</v>
      </c>
      <c r="G391" s="32">
        <v>44405</v>
      </c>
      <c r="H391" s="33">
        <v>0.45490602929387686</v>
      </c>
      <c r="I391" s="30" t="s">
        <v>216</v>
      </c>
      <c r="J391" s="34">
        <v>4229320</v>
      </c>
      <c r="K391" s="35" t="s">
        <v>17</v>
      </c>
      <c r="L391" s="36">
        <v>761277.6</v>
      </c>
      <c r="M391" s="30" t="s">
        <v>69</v>
      </c>
      <c r="N391" s="30" t="s">
        <v>41</v>
      </c>
      <c r="O391" s="30" t="s">
        <v>1542</v>
      </c>
      <c r="P391" s="30" t="s">
        <v>1542</v>
      </c>
      <c r="Q391" s="30" t="str">
        <f>VLOOKUP(WEEKDAY(G391),Key!$B$3:$C$9,2,0)</f>
        <v>Wednesday</v>
      </c>
      <c r="R391" s="42" t="str">
        <f t="shared" si="18"/>
        <v>Within</v>
      </c>
      <c r="S391" s="41" t="str">
        <f t="shared" si="19"/>
        <v>Pass</v>
      </c>
      <c r="T391" s="30" t="str">
        <f t="shared" si="20"/>
        <v>FY 21-22</v>
      </c>
      <c r="U391" s="30" t="str">
        <f>VLOOKUP(MONTH(G391),Key!$F$3:$G$14,2,0)</f>
        <v>Jul</v>
      </c>
      <c r="V391" s="30" t="str">
        <f>IFERROR(IF(MATCH(F391,'Test 6'!C$5:C$9,0)&gt;0,"RP"),"NON-RP")</f>
        <v>NON-RP</v>
      </c>
    </row>
    <row r="392" spans="2:22" x14ac:dyDescent="0.5">
      <c r="B392" s="30">
        <v>388</v>
      </c>
      <c r="C392" s="30" t="s">
        <v>1309</v>
      </c>
      <c r="D392" s="31">
        <v>2122129</v>
      </c>
      <c r="E392" s="30" t="s">
        <v>874</v>
      </c>
      <c r="F392" s="53" t="s">
        <v>290</v>
      </c>
      <c r="G392" s="32">
        <v>44406</v>
      </c>
      <c r="H392" s="33">
        <v>0.4362949742406248</v>
      </c>
      <c r="I392" s="30" t="s">
        <v>216</v>
      </c>
      <c r="J392" s="34">
        <v>4620700</v>
      </c>
      <c r="K392" s="35" t="s">
        <v>17</v>
      </c>
      <c r="L392" s="36">
        <v>831726</v>
      </c>
      <c r="M392" s="30" t="s">
        <v>41</v>
      </c>
      <c r="N392" s="30" t="s">
        <v>42</v>
      </c>
      <c r="O392" s="30" t="s">
        <v>1542</v>
      </c>
      <c r="P392" s="30" t="s">
        <v>1542</v>
      </c>
      <c r="Q392" s="30" t="str">
        <f>VLOOKUP(WEEKDAY(G392),Key!$B$3:$C$9,2,0)</f>
        <v>Thursday</v>
      </c>
      <c r="R392" s="42" t="str">
        <f t="shared" si="18"/>
        <v>Within</v>
      </c>
      <c r="S392" s="41" t="str">
        <f t="shared" si="19"/>
        <v>Pass</v>
      </c>
      <c r="T392" s="30" t="str">
        <f t="shared" si="20"/>
        <v>FY 21-22</v>
      </c>
      <c r="U392" s="30" t="str">
        <f>VLOOKUP(MONTH(G392),Key!$F$3:$G$14,2,0)</f>
        <v>Jul</v>
      </c>
      <c r="V392" s="30" t="str">
        <f>IFERROR(IF(MATCH(F392,'Test 6'!C$5:C$9,0)&gt;0,"RP"),"NON-RP")</f>
        <v>NON-RP</v>
      </c>
    </row>
    <row r="393" spans="2:22" x14ac:dyDescent="0.5">
      <c r="B393" s="30">
        <v>389</v>
      </c>
      <c r="C393" s="30" t="s">
        <v>875</v>
      </c>
      <c r="D393" s="31">
        <v>2122130</v>
      </c>
      <c r="E393" s="30" t="s">
        <v>876</v>
      </c>
      <c r="F393" s="53" t="s">
        <v>143</v>
      </c>
      <c r="G393" s="32">
        <v>44410</v>
      </c>
      <c r="H393" s="33">
        <v>0.68151610913510052</v>
      </c>
      <c r="I393" s="30" t="s">
        <v>277</v>
      </c>
      <c r="J393" s="34">
        <v>307480</v>
      </c>
      <c r="K393" s="35" t="s">
        <v>17</v>
      </c>
      <c r="L393" s="36">
        <v>55346.400000000001</v>
      </c>
      <c r="M393" s="30" t="s">
        <v>28</v>
      </c>
      <c r="N393" s="30" t="s">
        <v>51</v>
      </c>
      <c r="O393" s="30" t="s">
        <v>1542</v>
      </c>
      <c r="P393" s="30" t="s">
        <v>1542</v>
      </c>
      <c r="Q393" s="30" t="str">
        <f>VLOOKUP(WEEKDAY(G393),Key!$B$3:$C$9,2,0)</f>
        <v>Monday</v>
      </c>
      <c r="R393" s="42" t="str">
        <f t="shared" si="18"/>
        <v>Within</v>
      </c>
      <c r="S393" s="41" t="str">
        <f t="shared" si="19"/>
        <v>Pass</v>
      </c>
      <c r="T393" s="30" t="str">
        <f t="shared" si="20"/>
        <v>FY 21-22</v>
      </c>
      <c r="U393" s="30" t="str">
        <f>VLOOKUP(MONTH(G393),Key!$F$3:$G$14,2,0)</f>
        <v>Aug</v>
      </c>
      <c r="V393" s="30" t="str">
        <f>IFERROR(IF(MATCH(F393,'Test 6'!C$5:C$9,0)&gt;0,"RP"),"NON-RP")</f>
        <v>NON-RP</v>
      </c>
    </row>
    <row r="394" spans="2:22" x14ac:dyDescent="0.5">
      <c r="B394" s="30">
        <v>390</v>
      </c>
      <c r="C394" s="30" t="s">
        <v>877</v>
      </c>
      <c r="D394" s="31">
        <v>2122131</v>
      </c>
      <c r="E394" s="30" t="s">
        <v>878</v>
      </c>
      <c r="F394" s="53" t="s">
        <v>22</v>
      </c>
      <c r="G394" s="32">
        <v>44410</v>
      </c>
      <c r="H394" s="33">
        <v>0.48443643583036422</v>
      </c>
      <c r="I394" s="30" t="s">
        <v>277</v>
      </c>
      <c r="J394" s="34">
        <v>423590</v>
      </c>
      <c r="K394" s="35" t="s">
        <v>17</v>
      </c>
      <c r="L394" s="36">
        <v>76246.2</v>
      </c>
      <c r="M394" s="30" t="s">
        <v>23</v>
      </c>
      <c r="N394" s="30" t="s">
        <v>68</v>
      </c>
      <c r="O394" s="30" t="s">
        <v>1542</v>
      </c>
      <c r="P394" s="30" t="s">
        <v>1542</v>
      </c>
      <c r="Q394" s="30" t="str">
        <f>VLOOKUP(WEEKDAY(G394),Key!$B$3:$C$9,2,0)</f>
        <v>Monday</v>
      </c>
      <c r="R394" s="42" t="str">
        <f t="shared" si="18"/>
        <v>Within</v>
      </c>
      <c r="S394" s="41" t="str">
        <f t="shared" si="19"/>
        <v>Pass</v>
      </c>
      <c r="T394" s="30" t="str">
        <f t="shared" si="20"/>
        <v>FY 21-22</v>
      </c>
      <c r="U394" s="30" t="str">
        <f>VLOOKUP(MONTH(G394),Key!$F$3:$G$14,2,0)</f>
        <v>Aug</v>
      </c>
      <c r="V394" s="30" t="str">
        <f>IFERROR(IF(MATCH(F394,'Test 6'!C$5:C$9,0)&gt;0,"RP"),"NON-RP")</f>
        <v>NON-RP</v>
      </c>
    </row>
    <row r="395" spans="2:22" x14ac:dyDescent="0.5">
      <c r="B395" s="30">
        <v>391</v>
      </c>
      <c r="C395" s="30" t="s">
        <v>879</v>
      </c>
      <c r="D395" s="31">
        <v>2122132</v>
      </c>
      <c r="E395" s="30" t="s">
        <v>880</v>
      </c>
      <c r="F395" s="53" t="s">
        <v>229</v>
      </c>
      <c r="G395" s="32">
        <v>44410</v>
      </c>
      <c r="H395" s="33">
        <v>0.48620074084091236</v>
      </c>
      <c r="I395" s="30" t="s">
        <v>277</v>
      </c>
      <c r="J395" s="34">
        <v>276420</v>
      </c>
      <c r="K395" s="35" t="s">
        <v>17</v>
      </c>
      <c r="L395" s="36">
        <v>49755.6</v>
      </c>
      <c r="M395" s="30" t="s">
        <v>28</v>
      </c>
      <c r="N395" s="30" t="s">
        <v>68</v>
      </c>
      <c r="O395" s="30" t="s">
        <v>1542</v>
      </c>
      <c r="P395" s="30" t="s">
        <v>1542</v>
      </c>
      <c r="Q395" s="30" t="str">
        <f>VLOOKUP(WEEKDAY(G395),Key!$B$3:$C$9,2,0)</f>
        <v>Monday</v>
      </c>
      <c r="R395" s="42" t="str">
        <f t="shared" si="18"/>
        <v>Within</v>
      </c>
      <c r="S395" s="41" t="str">
        <f t="shared" si="19"/>
        <v>Pass</v>
      </c>
      <c r="T395" s="30" t="str">
        <f t="shared" si="20"/>
        <v>FY 21-22</v>
      </c>
      <c r="U395" s="30" t="str">
        <f>VLOOKUP(MONTH(G395),Key!$F$3:$G$14,2,0)</f>
        <v>Aug</v>
      </c>
      <c r="V395" s="30" t="str">
        <f>IFERROR(IF(MATCH(F395,'Test 6'!C$5:C$9,0)&gt;0,"RP"),"NON-RP")</f>
        <v>NON-RP</v>
      </c>
    </row>
    <row r="396" spans="2:22" x14ac:dyDescent="0.5">
      <c r="B396" s="30">
        <v>392</v>
      </c>
      <c r="C396" s="30" t="s">
        <v>881</v>
      </c>
      <c r="D396" s="31">
        <v>2122133</v>
      </c>
      <c r="E396" s="30" t="s">
        <v>882</v>
      </c>
      <c r="F396" s="53" t="s">
        <v>184</v>
      </c>
      <c r="G396" s="32">
        <v>44410</v>
      </c>
      <c r="H396" s="33">
        <v>0.57518063994491142</v>
      </c>
      <c r="I396" s="30" t="s">
        <v>277</v>
      </c>
      <c r="J396" s="34">
        <v>270730</v>
      </c>
      <c r="K396" s="35" t="s">
        <v>17</v>
      </c>
      <c r="L396" s="36">
        <v>48731.4</v>
      </c>
      <c r="M396" s="30" t="s">
        <v>37</v>
      </c>
      <c r="N396" s="30" t="s">
        <v>68</v>
      </c>
      <c r="O396" s="30" t="s">
        <v>1542</v>
      </c>
      <c r="P396" s="30" t="s">
        <v>1542</v>
      </c>
      <c r="Q396" s="30" t="str">
        <f>VLOOKUP(WEEKDAY(G396),Key!$B$3:$C$9,2,0)</f>
        <v>Monday</v>
      </c>
      <c r="R396" s="42" t="str">
        <f t="shared" si="18"/>
        <v>Within</v>
      </c>
      <c r="S396" s="41" t="str">
        <f t="shared" si="19"/>
        <v>Pass</v>
      </c>
      <c r="T396" s="30" t="str">
        <f t="shared" si="20"/>
        <v>FY 21-22</v>
      </c>
      <c r="U396" s="30" t="str">
        <f>VLOOKUP(MONTH(G396),Key!$F$3:$G$14,2,0)</f>
        <v>Aug</v>
      </c>
      <c r="V396" s="30" t="str">
        <f>IFERROR(IF(MATCH(F396,'Test 6'!C$5:C$9,0)&gt;0,"RP"),"NON-RP")</f>
        <v>NON-RP</v>
      </c>
    </row>
    <row r="397" spans="2:22" x14ac:dyDescent="0.5">
      <c r="B397" s="30">
        <v>393</v>
      </c>
      <c r="C397" s="30" t="s">
        <v>883</v>
      </c>
      <c r="D397" s="31">
        <v>2122134</v>
      </c>
      <c r="E397" s="30" t="s">
        <v>884</v>
      </c>
      <c r="F397" s="53" t="s">
        <v>156</v>
      </c>
      <c r="G397" s="32">
        <v>44411</v>
      </c>
      <c r="H397" s="33">
        <v>0.57797629986847709</v>
      </c>
      <c r="I397" s="30" t="s">
        <v>277</v>
      </c>
      <c r="J397" s="34">
        <v>319200</v>
      </c>
      <c r="K397" s="35" t="s">
        <v>17</v>
      </c>
      <c r="L397" s="36">
        <v>57456</v>
      </c>
      <c r="M397" s="30" t="s">
        <v>37</v>
      </c>
      <c r="N397" s="30" t="s">
        <v>68</v>
      </c>
      <c r="O397" s="30" t="s">
        <v>1542</v>
      </c>
      <c r="P397" s="30" t="s">
        <v>1542</v>
      </c>
      <c r="Q397" s="30" t="str">
        <f>VLOOKUP(WEEKDAY(G397),Key!$B$3:$C$9,2,0)</f>
        <v>Tuesday</v>
      </c>
      <c r="R397" s="42" t="str">
        <f t="shared" si="18"/>
        <v>Within</v>
      </c>
      <c r="S397" s="41" t="str">
        <f t="shared" si="19"/>
        <v>Pass</v>
      </c>
      <c r="T397" s="30" t="str">
        <f t="shared" si="20"/>
        <v>FY 21-22</v>
      </c>
      <c r="U397" s="30" t="str">
        <f>VLOOKUP(MONTH(G397),Key!$F$3:$G$14,2,0)</f>
        <v>Aug</v>
      </c>
      <c r="V397" s="30" t="str">
        <f>IFERROR(IF(MATCH(F397,'Test 6'!C$5:C$9,0)&gt;0,"RP"),"NON-RP")</f>
        <v>NON-RP</v>
      </c>
    </row>
    <row r="398" spans="2:22" x14ac:dyDescent="0.5">
      <c r="B398" s="30">
        <v>394</v>
      </c>
      <c r="C398" s="30" t="s">
        <v>885</v>
      </c>
      <c r="D398" s="31">
        <v>2122135</v>
      </c>
      <c r="E398" s="30" t="s">
        <v>886</v>
      </c>
      <c r="F398" s="53" t="s">
        <v>308</v>
      </c>
      <c r="G398" s="32">
        <v>44415</v>
      </c>
      <c r="H398" s="33">
        <v>0.80775462962962974</v>
      </c>
      <c r="I398" s="30" t="s">
        <v>277</v>
      </c>
      <c r="J398" s="34">
        <v>4250210</v>
      </c>
      <c r="K398" s="35" t="s">
        <v>17</v>
      </c>
      <c r="L398" s="36">
        <v>765037.79999999993</v>
      </c>
      <c r="M398" s="30" t="s">
        <v>701</v>
      </c>
      <c r="N398" s="30" t="s">
        <v>41</v>
      </c>
      <c r="O398" s="30" t="s">
        <v>1542</v>
      </c>
      <c r="P398" s="30" t="s">
        <v>1542</v>
      </c>
      <c r="Q398" s="30" t="str">
        <f>VLOOKUP(WEEKDAY(G398),Key!$B$3:$C$9,2,0)</f>
        <v>Saturday</v>
      </c>
      <c r="R398" s="42" t="str">
        <f t="shared" si="18"/>
        <v>Outside</v>
      </c>
      <c r="S398" s="41" t="str">
        <f t="shared" si="19"/>
        <v>Red Flag</v>
      </c>
      <c r="T398" s="30" t="str">
        <f t="shared" si="20"/>
        <v>FY 21-22</v>
      </c>
      <c r="U398" s="30" t="str">
        <f>VLOOKUP(MONTH(G398),Key!$F$3:$G$14,2,0)</f>
        <v>Aug</v>
      </c>
      <c r="V398" s="30" t="str">
        <f>IFERROR(IF(MATCH(F398,'Test 6'!C$5:C$9,0)&gt;0,"RP"),"NON-RP")</f>
        <v>RP</v>
      </c>
    </row>
    <row r="399" spans="2:22" x14ac:dyDescent="0.5">
      <c r="B399" s="30">
        <v>395</v>
      </c>
      <c r="C399" s="30" t="s">
        <v>887</v>
      </c>
      <c r="D399" s="31">
        <v>2122136</v>
      </c>
      <c r="E399" s="30" t="s">
        <v>888</v>
      </c>
      <c r="F399" s="53" t="s">
        <v>77</v>
      </c>
      <c r="G399" s="32">
        <v>44412</v>
      </c>
      <c r="H399" s="33">
        <v>0.69866990123475348</v>
      </c>
      <c r="I399" s="30" t="s">
        <v>277</v>
      </c>
      <c r="J399" s="34">
        <v>338300</v>
      </c>
      <c r="K399" s="35" t="s">
        <v>17</v>
      </c>
      <c r="L399" s="36">
        <v>60894</v>
      </c>
      <c r="M399" s="30" t="s">
        <v>37</v>
      </c>
      <c r="N399" s="30" t="s">
        <v>51</v>
      </c>
      <c r="O399" s="30" t="s">
        <v>1542</v>
      </c>
      <c r="P399" s="30" t="s">
        <v>1542</v>
      </c>
      <c r="Q399" s="30" t="str">
        <f>VLOOKUP(WEEKDAY(G399),Key!$B$3:$C$9,2,0)</f>
        <v>Wednesday</v>
      </c>
      <c r="R399" s="42" t="str">
        <f t="shared" si="18"/>
        <v>Within</v>
      </c>
      <c r="S399" s="41" t="str">
        <f t="shared" si="19"/>
        <v>Pass</v>
      </c>
      <c r="T399" s="30" t="str">
        <f t="shared" si="20"/>
        <v>FY 21-22</v>
      </c>
      <c r="U399" s="30" t="str">
        <f>VLOOKUP(MONTH(G399),Key!$F$3:$G$14,2,0)</f>
        <v>Aug</v>
      </c>
      <c r="V399" s="30" t="str">
        <f>IFERROR(IF(MATCH(F399,'Test 6'!C$5:C$9,0)&gt;0,"RP"),"NON-RP")</f>
        <v>NON-RP</v>
      </c>
    </row>
    <row r="400" spans="2:22" x14ac:dyDescent="0.5">
      <c r="B400" s="30">
        <v>396</v>
      </c>
      <c r="C400" s="30" t="s">
        <v>889</v>
      </c>
      <c r="D400" s="31">
        <v>2122137</v>
      </c>
      <c r="E400" s="30" t="s">
        <v>890</v>
      </c>
      <c r="F400" s="53" t="s">
        <v>143</v>
      </c>
      <c r="G400" s="32">
        <v>44412</v>
      </c>
      <c r="H400" s="33">
        <v>0.70091693344343753</v>
      </c>
      <c r="I400" s="30" t="s">
        <v>277</v>
      </c>
      <c r="J400" s="34">
        <v>344160</v>
      </c>
      <c r="K400" s="35" t="s">
        <v>17</v>
      </c>
      <c r="L400" s="36">
        <v>61948.799999999996</v>
      </c>
      <c r="M400" s="30" t="s">
        <v>28</v>
      </c>
      <c r="N400" s="30" t="s">
        <v>24</v>
      </c>
      <c r="O400" s="30" t="s">
        <v>1542</v>
      </c>
      <c r="P400" s="30" t="s">
        <v>1542</v>
      </c>
      <c r="Q400" s="30" t="str">
        <f>VLOOKUP(WEEKDAY(G400),Key!$B$3:$C$9,2,0)</f>
        <v>Wednesday</v>
      </c>
      <c r="R400" s="42" t="str">
        <f t="shared" si="18"/>
        <v>Within</v>
      </c>
      <c r="S400" s="41" t="str">
        <f t="shared" si="19"/>
        <v>Pass</v>
      </c>
      <c r="T400" s="30" t="str">
        <f t="shared" si="20"/>
        <v>FY 21-22</v>
      </c>
      <c r="U400" s="30" t="str">
        <f>VLOOKUP(MONTH(G400),Key!$F$3:$G$14,2,0)</f>
        <v>Aug</v>
      </c>
      <c r="V400" s="30" t="str">
        <f>IFERROR(IF(MATCH(F400,'Test 6'!C$5:C$9,0)&gt;0,"RP"),"NON-RP")</f>
        <v>NON-RP</v>
      </c>
    </row>
    <row r="401" spans="2:22" x14ac:dyDescent="0.5">
      <c r="B401" s="30">
        <v>397</v>
      </c>
      <c r="C401" s="30" t="s">
        <v>891</v>
      </c>
      <c r="D401" s="31">
        <v>2122138</v>
      </c>
      <c r="E401" s="30" t="s">
        <v>892</v>
      </c>
      <c r="F401" s="53" t="s">
        <v>122</v>
      </c>
      <c r="G401" s="32">
        <v>44413</v>
      </c>
      <c r="H401" s="33">
        <v>0.68129042663021488</v>
      </c>
      <c r="I401" s="30" t="s">
        <v>277</v>
      </c>
      <c r="J401" s="34">
        <v>41820</v>
      </c>
      <c r="K401" s="35" t="s">
        <v>17</v>
      </c>
      <c r="L401" s="36">
        <v>7527.5999999999995</v>
      </c>
      <c r="M401" s="30" t="s">
        <v>737</v>
      </c>
      <c r="N401" s="30" t="s">
        <v>18</v>
      </c>
      <c r="O401" s="30" t="s">
        <v>1542</v>
      </c>
      <c r="P401" s="30" t="s">
        <v>1542</v>
      </c>
      <c r="Q401" s="30" t="str">
        <f>VLOOKUP(WEEKDAY(G401),Key!$B$3:$C$9,2,0)</f>
        <v>Thursday</v>
      </c>
      <c r="R401" s="42" t="str">
        <f t="shared" si="18"/>
        <v>Within</v>
      </c>
      <c r="S401" s="41" t="str">
        <f t="shared" si="19"/>
        <v>Pass</v>
      </c>
      <c r="T401" s="30" t="str">
        <f t="shared" si="20"/>
        <v>FY 21-22</v>
      </c>
      <c r="U401" s="30" t="str">
        <f>VLOOKUP(MONTH(G401),Key!$F$3:$G$14,2,0)</f>
        <v>Aug</v>
      </c>
      <c r="V401" s="30" t="str">
        <f>IFERROR(IF(MATCH(F401,'Test 6'!C$5:C$9,0)&gt;0,"RP"),"NON-RP")</f>
        <v>NON-RP</v>
      </c>
    </row>
    <row r="402" spans="2:22" x14ac:dyDescent="0.5">
      <c r="B402" s="30">
        <v>398</v>
      </c>
      <c r="C402" s="30" t="s">
        <v>893</v>
      </c>
      <c r="D402" s="31">
        <v>2122139</v>
      </c>
      <c r="E402" s="30" t="s">
        <v>894</v>
      </c>
      <c r="F402" s="53" t="s">
        <v>84</v>
      </c>
      <c r="G402" s="32">
        <v>44413</v>
      </c>
      <c r="H402" s="33">
        <v>0.58492587833774468</v>
      </c>
      <c r="I402" s="30" t="s">
        <v>277</v>
      </c>
      <c r="J402" s="34">
        <v>21320</v>
      </c>
      <c r="K402" s="35" t="s">
        <v>17</v>
      </c>
      <c r="L402" s="36">
        <v>3837.6</v>
      </c>
      <c r="M402" s="30" t="s">
        <v>106</v>
      </c>
      <c r="N402" s="30" t="s">
        <v>37</v>
      </c>
      <c r="O402" s="30" t="s">
        <v>1542</v>
      </c>
      <c r="P402" s="30" t="s">
        <v>1542</v>
      </c>
      <c r="Q402" s="30" t="str">
        <f>VLOOKUP(WEEKDAY(G402),Key!$B$3:$C$9,2,0)</f>
        <v>Thursday</v>
      </c>
      <c r="R402" s="42" t="str">
        <f t="shared" si="18"/>
        <v>Within</v>
      </c>
      <c r="S402" s="41" t="str">
        <f t="shared" si="19"/>
        <v>Pass</v>
      </c>
      <c r="T402" s="30" t="str">
        <f t="shared" si="20"/>
        <v>FY 21-22</v>
      </c>
      <c r="U402" s="30" t="str">
        <f>VLOOKUP(MONTH(G402),Key!$F$3:$G$14,2,0)</f>
        <v>Aug</v>
      </c>
      <c r="V402" s="30" t="str">
        <f>IFERROR(IF(MATCH(F402,'Test 6'!C$5:C$9,0)&gt;0,"RP"),"NON-RP")</f>
        <v>NON-RP</v>
      </c>
    </row>
    <row r="403" spans="2:22" x14ac:dyDescent="0.5">
      <c r="B403" s="30">
        <v>399</v>
      </c>
      <c r="C403" s="30" t="s">
        <v>895</v>
      </c>
      <c r="D403" s="31">
        <v>2122140</v>
      </c>
      <c r="E403" s="30" t="s">
        <v>896</v>
      </c>
      <c r="F403" s="53" t="s">
        <v>45</v>
      </c>
      <c r="G403" s="32">
        <v>44414</v>
      </c>
      <c r="H403" s="33">
        <v>0.69962760336279572</v>
      </c>
      <c r="I403" s="30" t="s">
        <v>277</v>
      </c>
      <c r="J403" s="34">
        <v>35390</v>
      </c>
      <c r="K403" s="35" t="s">
        <v>17</v>
      </c>
      <c r="L403" s="36">
        <v>6370.2</v>
      </c>
      <c r="M403" s="30" t="s">
        <v>36</v>
      </c>
      <c r="N403" s="30" t="s">
        <v>28</v>
      </c>
      <c r="O403" s="30" t="s">
        <v>1542</v>
      </c>
      <c r="P403" s="30" t="s">
        <v>1542</v>
      </c>
      <c r="Q403" s="30" t="str">
        <f>VLOOKUP(WEEKDAY(G403),Key!$B$3:$C$9,2,0)</f>
        <v>Friday</v>
      </c>
      <c r="R403" s="42" t="str">
        <f t="shared" si="18"/>
        <v>Within</v>
      </c>
      <c r="S403" s="41" t="str">
        <f t="shared" si="19"/>
        <v>Pass</v>
      </c>
      <c r="T403" s="30" t="str">
        <f t="shared" si="20"/>
        <v>FY 21-22</v>
      </c>
      <c r="U403" s="30" t="str">
        <f>VLOOKUP(MONTH(G403),Key!$F$3:$G$14,2,0)</f>
        <v>Aug</v>
      </c>
      <c r="V403" s="30" t="str">
        <f>IFERROR(IF(MATCH(F403,'Test 6'!C$5:C$9,0)&gt;0,"RP"),"NON-RP")</f>
        <v>NON-RP</v>
      </c>
    </row>
    <row r="404" spans="2:22" x14ac:dyDescent="0.5">
      <c r="B404" s="30">
        <v>400</v>
      </c>
      <c r="C404" s="30" t="s">
        <v>897</v>
      </c>
      <c r="D404" s="31">
        <v>2122141</v>
      </c>
      <c r="E404" s="30" t="s">
        <v>898</v>
      </c>
      <c r="F404" s="53" t="s">
        <v>156</v>
      </c>
      <c r="G404" s="32">
        <v>44414</v>
      </c>
      <c r="H404" s="33">
        <v>0.49349251332219446</v>
      </c>
      <c r="I404" s="30" t="s">
        <v>277</v>
      </c>
      <c r="J404" s="34">
        <v>31300</v>
      </c>
      <c r="K404" s="35" t="s">
        <v>17</v>
      </c>
      <c r="L404" s="36">
        <v>5634</v>
      </c>
      <c r="M404" s="30" t="s">
        <v>737</v>
      </c>
      <c r="N404" s="30" t="s">
        <v>46</v>
      </c>
      <c r="O404" s="30" t="s">
        <v>1542</v>
      </c>
      <c r="P404" s="30" t="s">
        <v>1542</v>
      </c>
      <c r="Q404" s="30" t="str">
        <f>VLOOKUP(WEEKDAY(G404),Key!$B$3:$C$9,2,0)</f>
        <v>Friday</v>
      </c>
      <c r="R404" s="42" t="str">
        <f t="shared" si="18"/>
        <v>Within</v>
      </c>
      <c r="S404" s="41" t="str">
        <f t="shared" si="19"/>
        <v>Pass</v>
      </c>
      <c r="T404" s="30" t="str">
        <f t="shared" si="20"/>
        <v>FY 21-22</v>
      </c>
      <c r="U404" s="30" t="str">
        <f>VLOOKUP(MONTH(G404),Key!$F$3:$G$14,2,0)</f>
        <v>Aug</v>
      </c>
      <c r="V404" s="30" t="str">
        <f>IFERROR(IF(MATCH(F404,'Test 6'!C$5:C$9,0)&gt;0,"RP"),"NON-RP")</f>
        <v>NON-RP</v>
      </c>
    </row>
    <row r="405" spans="2:22" x14ac:dyDescent="0.5">
      <c r="B405" s="30">
        <v>401</v>
      </c>
      <c r="C405" s="30" t="s">
        <v>899</v>
      </c>
      <c r="D405" s="31">
        <v>2122142</v>
      </c>
      <c r="E405" s="30" t="s">
        <v>900</v>
      </c>
      <c r="F405" s="53" t="s">
        <v>229</v>
      </c>
      <c r="G405" s="32">
        <v>44415</v>
      </c>
      <c r="H405" s="33">
        <v>0.45043309146261484</v>
      </c>
      <c r="I405" s="30" t="s">
        <v>277</v>
      </c>
      <c r="J405" s="34">
        <v>33140</v>
      </c>
      <c r="K405" s="35" t="s">
        <v>17</v>
      </c>
      <c r="L405" s="36">
        <v>5965.2</v>
      </c>
      <c r="M405" s="30" t="s">
        <v>134</v>
      </c>
      <c r="N405" s="30" t="s">
        <v>32</v>
      </c>
      <c r="O405" s="30" t="s">
        <v>1542</v>
      </c>
      <c r="P405" s="30" t="s">
        <v>1542</v>
      </c>
      <c r="Q405" s="30" t="str">
        <f>VLOOKUP(WEEKDAY(G405),Key!$B$3:$C$9,2,0)</f>
        <v>Saturday</v>
      </c>
      <c r="R405" s="42" t="str">
        <f t="shared" si="18"/>
        <v>Within</v>
      </c>
      <c r="S405" s="41" t="str">
        <f t="shared" si="19"/>
        <v>Pass</v>
      </c>
      <c r="T405" s="30" t="str">
        <f t="shared" si="20"/>
        <v>FY 21-22</v>
      </c>
      <c r="U405" s="30" t="str">
        <f>VLOOKUP(MONTH(G405),Key!$F$3:$G$14,2,0)</f>
        <v>Aug</v>
      </c>
      <c r="V405" s="30" t="str">
        <f>IFERROR(IF(MATCH(F405,'Test 6'!C$5:C$9,0)&gt;0,"RP"),"NON-RP")</f>
        <v>NON-RP</v>
      </c>
    </row>
    <row r="406" spans="2:22" x14ac:dyDescent="0.5">
      <c r="B406" s="30">
        <v>402</v>
      </c>
      <c r="C406" s="30" t="s">
        <v>901</v>
      </c>
      <c r="D406" s="31">
        <v>2122143</v>
      </c>
      <c r="E406" s="30" t="s">
        <v>902</v>
      </c>
      <c r="F406" s="53" t="s">
        <v>103</v>
      </c>
      <c r="G406" s="32">
        <v>44417</v>
      </c>
      <c r="H406" s="33">
        <v>0.56841183957159502</v>
      </c>
      <c r="I406" s="30" t="s">
        <v>277</v>
      </c>
      <c r="J406" s="34">
        <v>37350</v>
      </c>
      <c r="K406" s="35" t="s">
        <v>17</v>
      </c>
      <c r="L406" s="36">
        <v>6723</v>
      </c>
      <c r="M406" s="30" t="s">
        <v>200</v>
      </c>
      <c r="N406" s="30" t="s">
        <v>37</v>
      </c>
      <c r="O406" s="30" t="s">
        <v>1542</v>
      </c>
      <c r="P406" s="30" t="s">
        <v>1542</v>
      </c>
      <c r="Q406" s="30" t="str">
        <f>VLOOKUP(WEEKDAY(G406),Key!$B$3:$C$9,2,0)</f>
        <v>Monday</v>
      </c>
      <c r="R406" s="42" t="str">
        <f t="shared" si="18"/>
        <v>Within</v>
      </c>
      <c r="S406" s="41" t="str">
        <f t="shared" si="19"/>
        <v>Pass</v>
      </c>
      <c r="T406" s="30" t="str">
        <f t="shared" si="20"/>
        <v>FY 21-22</v>
      </c>
      <c r="U406" s="30" t="str">
        <f>VLOOKUP(MONTH(G406),Key!$F$3:$G$14,2,0)</f>
        <v>Aug</v>
      </c>
      <c r="V406" s="30" t="str">
        <f>IFERROR(IF(MATCH(F406,'Test 6'!C$5:C$9,0)&gt;0,"RP"),"NON-RP")</f>
        <v>NON-RP</v>
      </c>
    </row>
    <row r="407" spans="2:22" x14ac:dyDescent="0.5">
      <c r="B407" s="30">
        <v>403</v>
      </c>
      <c r="C407" s="30" t="s">
        <v>903</v>
      </c>
      <c r="D407" s="31">
        <v>2122144</v>
      </c>
      <c r="E407" s="30" t="s">
        <v>904</v>
      </c>
      <c r="F407" s="53" t="s">
        <v>84</v>
      </c>
      <c r="G407" s="32">
        <v>44418</v>
      </c>
      <c r="H407" s="33">
        <v>0.47064364731543545</v>
      </c>
      <c r="I407" s="30" t="s">
        <v>277</v>
      </c>
      <c r="J407" s="34">
        <v>34190</v>
      </c>
      <c r="K407" s="35" t="s">
        <v>17</v>
      </c>
      <c r="L407" s="36">
        <v>6154.2</v>
      </c>
      <c r="M407" s="30" t="s">
        <v>168</v>
      </c>
      <c r="N407" s="30" t="s">
        <v>28</v>
      </c>
      <c r="O407" s="30" t="s">
        <v>1542</v>
      </c>
      <c r="P407" s="30" t="s">
        <v>1542</v>
      </c>
      <c r="Q407" s="30" t="str">
        <f>VLOOKUP(WEEKDAY(G407),Key!$B$3:$C$9,2,0)</f>
        <v>Tuesday</v>
      </c>
      <c r="R407" s="42" t="str">
        <f t="shared" si="18"/>
        <v>Within</v>
      </c>
      <c r="S407" s="41" t="str">
        <f t="shared" si="19"/>
        <v>Pass</v>
      </c>
      <c r="T407" s="30" t="str">
        <f t="shared" si="20"/>
        <v>FY 21-22</v>
      </c>
      <c r="U407" s="30" t="str">
        <f>VLOOKUP(MONTH(G407),Key!$F$3:$G$14,2,0)</f>
        <v>Aug</v>
      </c>
      <c r="V407" s="30" t="str">
        <f>IFERROR(IF(MATCH(F407,'Test 6'!C$5:C$9,0)&gt;0,"RP"),"NON-RP")</f>
        <v>NON-RP</v>
      </c>
    </row>
    <row r="408" spans="2:22" x14ac:dyDescent="0.5">
      <c r="B408" s="30">
        <v>404</v>
      </c>
      <c r="C408" s="30" t="s">
        <v>905</v>
      </c>
      <c r="D408" s="31">
        <v>2122145</v>
      </c>
      <c r="E408" s="30" t="s">
        <v>906</v>
      </c>
      <c r="F408" s="53" t="s">
        <v>114</v>
      </c>
      <c r="G408" s="32">
        <v>44418</v>
      </c>
      <c r="H408" s="33">
        <v>0.58578730306735882</v>
      </c>
      <c r="I408" s="30" t="s">
        <v>277</v>
      </c>
      <c r="J408" s="34">
        <v>40780</v>
      </c>
      <c r="K408" s="35" t="s">
        <v>17</v>
      </c>
      <c r="L408" s="36">
        <v>7340.4</v>
      </c>
      <c r="M408" s="30" t="s">
        <v>106</v>
      </c>
      <c r="N408" s="30" t="s">
        <v>61</v>
      </c>
      <c r="O408" s="30" t="s">
        <v>1542</v>
      </c>
      <c r="P408" s="30" t="s">
        <v>1542</v>
      </c>
      <c r="Q408" s="30" t="str">
        <f>VLOOKUP(WEEKDAY(G408),Key!$B$3:$C$9,2,0)</f>
        <v>Tuesday</v>
      </c>
      <c r="R408" s="42" t="str">
        <f t="shared" si="18"/>
        <v>Within</v>
      </c>
      <c r="S408" s="41" t="str">
        <f t="shared" si="19"/>
        <v>Pass</v>
      </c>
      <c r="T408" s="30" t="str">
        <f t="shared" si="20"/>
        <v>FY 21-22</v>
      </c>
      <c r="U408" s="30" t="str">
        <f>VLOOKUP(MONTH(G408),Key!$F$3:$G$14,2,0)</f>
        <v>Aug</v>
      </c>
      <c r="V408" s="30" t="str">
        <f>IFERROR(IF(MATCH(F408,'Test 6'!C$5:C$9,0)&gt;0,"RP"),"NON-RP")</f>
        <v>NON-RP</v>
      </c>
    </row>
    <row r="409" spans="2:22" x14ac:dyDescent="0.5">
      <c r="B409" s="30">
        <v>405</v>
      </c>
      <c r="C409" s="30" t="s">
        <v>907</v>
      </c>
      <c r="D409" s="31">
        <v>2122146</v>
      </c>
      <c r="E409" s="30" t="s">
        <v>908</v>
      </c>
      <c r="F409" s="53" t="s">
        <v>203</v>
      </c>
      <c r="G409" s="32">
        <v>44418</v>
      </c>
      <c r="H409" s="33">
        <v>0.45288800413651925</v>
      </c>
      <c r="I409" s="30" t="s">
        <v>277</v>
      </c>
      <c r="J409" s="34">
        <v>31620</v>
      </c>
      <c r="K409" s="35" t="s">
        <v>17</v>
      </c>
      <c r="L409" s="36">
        <v>5691.5999999999995</v>
      </c>
      <c r="M409" s="30" t="s">
        <v>168</v>
      </c>
      <c r="N409" s="30" t="s">
        <v>32</v>
      </c>
      <c r="O409" s="30" t="s">
        <v>1542</v>
      </c>
      <c r="P409" s="30" t="s">
        <v>1542</v>
      </c>
      <c r="Q409" s="30" t="str">
        <f>VLOOKUP(WEEKDAY(G409),Key!$B$3:$C$9,2,0)</f>
        <v>Tuesday</v>
      </c>
      <c r="R409" s="42" t="str">
        <f t="shared" si="18"/>
        <v>Within</v>
      </c>
      <c r="S409" s="41" t="str">
        <f t="shared" si="19"/>
        <v>Pass</v>
      </c>
      <c r="T409" s="30" t="str">
        <f t="shared" si="20"/>
        <v>FY 21-22</v>
      </c>
      <c r="U409" s="30" t="str">
        <f>VLOOKUP(MONTH(G409),Key!$F$3:$G$14,2,0)</f>
        <v>Aug</v>
      </c>
      <c r="V409" s="30" t="str">
        <f>IFERROR(IF(MATCH(F409,'Test 6'!C$5:C$9,0)&gt;0,"RP"),"NON-RP")</f>
        <v>NON-RP</v>
      </c>
    </row>
    <row r="410" spans="2:22" x14ac:dyDescent="0.5">
      <c r="B410" s="30">
        <v>406</v>
      </c>
      <c r="C410" s="30" t="s">
        <v>909</v>
      </c>
      <c r="D410" s="31">
        <v>2122147</v>
      </c>
      <c r="E410" s="30" t="s">
        <v>910</v>
      </c>
      <c r="F410" s="53" t="s">
        <v>143</v>
      </c>
      <c r="G410" s="32">
        <v>44419</v>
      </c>
      <c r="H410" s="33">
        <v>0.53179355987977694</v>
      </c>
      <c r="I410" s="30" t="s">
        <v>163</v>
      </c>
      <c r="J410" s="34">
        <v>494490</v>
      </c>
      <c r="K410" s="35" t="s">
        <v>17</v>
      </c>
      <c r="L410" s="36">
        <v>89008.2</v>
      </c>
      <c r="M410" s="30" t="s">
        <v>28</v>
      </c>
      <c r="N410" s="30" t="s">
        <v>47</v>
      </c>
      <c r="O410" s="30" t="s">
        <v>1542</v>
      </c>
      <c r="P410" s="30" t="s">
        <v>1542</v>
      </c>
      <c r="Q410" s="30" t="str">
        <f>VLOOKUP(WEEKDAY(G410),Key!$B$3:$C$9,2,0)</f>
        <v>Wednesday</v>
      </c>
      <c r="R410" s="42" t="str">
        <f t="shared" si="18"/>
        <v>Within</v>
      </c>
      <c r="S410" s="41" t="str">
        <f t="shared" si="19"/>
        <v>Pass</v>
      </c>
      <c r="T410" s="30" t="str">
        <f t="shared" si="20"/>
        <v>FY 21-22</v>
      </c>
      <c r="U410" s="30" t="str">
        <f>VLOOKUP(MONTH(G410),Key!$F$3:$G$14,2,0)</f>
        <v>Aug</v>
      </c>
      <c r="V410" s="30" t="str">
        <f>IFERROR(IF(MATCH(F410,'Test 6'!C$5:C$9,0)&gt;0,"RP"),"NON-RP")</f>
        <v>NON-RP</v>
      </c>
    </row>
    <row r="411" spans="2:22" x14ac:dyDescent="0.5">
      <c r="B411" s="30">
        <v>407</v>
      </c>
      <c r="C411" s="30" t="s">
        <v>911</v>
      </c>
      <c r="D411" s="31">
        <v>2122148</v>
      </c>
      <c r="E411" s="30" t="s">
        <v>912</v>
      </c>
      <c r="F411" s="53" t="s">
        <v>111</v>
      </c>
      <c r="G411" s="32">
        <v>44423</v>
      </c>
      <c r="H411" s="33">
        <v>0.46967499174840938</v>
      </c>
      <c r="I411" s="30" t="s">
        <v>277</v>
      </c>
      <c r="J411" s="34">
        <v>4927020</v>
      </c>
      <c r="K411" s="35" t="s">
        <v>17</v>
      </c>
      <c r="L411" s="36">
        <v>886863.6</v>
      </c>
      <c r="M411" s="30" t="s">
        <v>41</v>
      </c>
      <c r="N411" s="30" t="s">
        <v>42</v>
      </c>
      <c r="O411" s="30" t="s">
        <v>1542</v>
      </c>
      <c r="P411" s="30" t="s">
        <v>1542</v>
      </c>
      <c r="Q411" s="30" t="str">
        <f>VLOOKUP(WEEKDAY(G411),Key!$B$3:$C$9,2,0)</f>
        <v>Sunday</v>
      </c>
      <c r="R411" s="42" t="str">
        <f t="shared" si="18"/>
        <v>Within</v>
      </c>
      <c r="S411" s="41" t="str">
        <f t="shared" si="19"/>
        <v>Red Flag</v>
      </c>
      <c r="T411" s="30" t="str">
        <f t="shared" si="20"/>
        <v>FY 21-22</v>
      </c>
      <c r="U411" s="30" t="str">
        <f>VLOOKUP(MONTH(G411),Key!$F$3:$G$14,2,0)</f>
        <v>Aug</v>
      </c>
      <c r="V411" s="30" t="str">
        <f>IFERROR(IF(MATCH(F411,'Test 6'!C$5:C$9,0)&gt;0,"RP"),"NON-RP")</f>
        <v>RP</v>
      </c>
    </row>
    <row r="412" spans="2:22" x14ac:dyDescent="0.5">
      <c r="B412" s="30">
        <v>408</v>
      </c>
      <c r="C412" s="30" t="s">
        <v>913</v>
      </c>
      <c r="D412" s="31">
        <v>2122149</v>
      </c>
      <c r="E412" s="30" t="s">
        <v>914</v>
      </c>
      <c r="F412" s="53" t="s">
        <v>35</v>
      </c>
      <c r="G412" s="32">
        <v>44419</v>
      </c>
      <c r="H412" s="33">
        <v>0.53062952265690233</v>
      </c>
      <c r="I412" s="30" t="s">
        <v>277</v>
      </c>
      <c r="J412" s="34">
        <v>31490</v>
      </c>
      <c r="K412" s="35" t="s">
        <v>17</v>
      </c>
      <c r="L412" s="36">
        <v>5668.2</v>
      </c>
      <c r="M412" s="30" t="s">
        <v>168</v>
      </c>
      <c r="N412" s="30" t="s">
        <v>23</v>
      </c>
      <c r="O412" s="30" t="s">
        <v>1542</v>
      </c>
      <c r="P412" s="30" t="s">
        <v>1542</v>
      </c>
      <c r="Q412" s="30" t="str">
        <f>VLOOKUP(WEEKDAY(G412),Key!$B$3:$C$9,2,0)</f>
        <v>Wednesday</v>
      </c>
      <c r="R412" s="42" t="str">
        <f t="shared" si="18"/>
        <v>Within</v>
      </c>
      <c r="S412" s="41" t="str">
        <f t="shared" si="19"/>
        <v>Pass</v>
      </c>
      <c r="T412" s="30" t="str">
        <f t="shared" si="20"/>
        <v>FY 21-22</v>
      </c>
      <c r="U412" s="30" t="str">
        <f>VLOOKUP(MONTH(G412),Key!$F$3:$G$14,2,0)</f>
        <v>Aug</v>
      </c>
      <c r="V412" s="30" t="str">
        <f>IFERROR(IF(MATCH(F412,'Test 6'!C$5:C$9,0)&gt;0,"RP"),"NON-RP")</f>
        <v>NON-RP</v>
      </c>
    </row>
    <row r="413" spans="2:22" x14ac:dyDescent="0.5">
      <c r="B413" s="30">
        <v>409</v>
      </c>
      <c r="C413" s="30" t="s">
        <v>915</v>
      </c>
      <c r="D413" s="31">
        <v>2122150</v>
      </c>
      <c r="E413" s="30" t="s">
        <v>916</v>
      </c>
      <c r="F413" s="53" t="s">
        <v>122</v>
      </c>
      <c r="G413" s="32">
        <v>44420</v>
      </c>
      <c r="H413" s="33">
        <v>0.67664875890659348</v>
      </c>
      <c r="I413" s="30" t="s">
        <v>277</v>
      </c>
      <c r="J413" s="34">
        <v>423580</v>
      </c>
      <c r="K413" s="35" t="s">
        <v>17</v>
      </c>
      <c r="L413" s="36">
        <v>76244.399999999994</v>
      </c>
      <c r="M413" s="30" t="s">
        <v>37</v>
      </c>
      <c r="N413" s="30" t="s">
        <v>51</v>
      </c>
      <c r="O413" s="30" t="s">
        <v>1542</v>
      </c>
      <c r="P413" s="30" t="s">
        <v>1542</v>
      </c>
      <c r="Q413" s="30" t="str">
        <f>VLOOKUP(WEEKDAY(G413),Key!$B$3:$C$9,2,0)</f>
        <v>Thursday</v>
      </c>
      <c r="R413" s="42" t="str">
        <f t="shared" si="18"/>
        <v>Within</v>
      </c>
      <c r="S413" s="41" t="str">
        <f t="shared" si="19"/>
        <v>Pass</v>
      </c>
      <c r="T413" s="30" t="str">
        <f t="shared" si="20"/>
        <v>FY 21-22</v>
      </c>
      <c r="U413" s="30" t="str">
        <f>VLOOKUP(MONTH(G413),Key!$F$3:$G$14,2,0)</f>
        <v>Aug</v>
      </c>
      <c r="V413" s="30" t="str">
        <f>IFERROR(IF(MATCH(F413,'Test 6'!C$5:C$9,0)&gt;0,"RP"),"NON-RP")</f>
        <v>NON-RP</v>
      </c>
    </row>
    <row r="414" spans="2:22" x14ac:dyDescent="0.5">
      <c r="B414" s="30">
        <v>410</v>
      </c>
      <c r="C414" s="30" t="s">
        <v>917</v>
      </c>
      <c r="D414" s="31">
        <v>2122151</v>
      </c>
      <c r="E414" s="30" t="s">
        <v>918</v>
      </c>
      <c r="F414" s="53" t="s">
        <v>269</v>
      </c>
      <c r="G414" s="32">
        <v>44420</v>
      </c>
      <c r="H414" s="33">
        <v>0.52453225944912185</v>
      </c>
      <c r="I414" s="30" t="s">
        <v>277</v>
      </c>
      <c r="J414" s="34">
        <v>30970</v>
      </c>
      <c r="K414" s="35" t="s">
        <v>17</v>
      </c>
      <c r="L414" s="36">
        <v>5574.5999999999995</v>
      </c>
      <c r="M414" s="30" t="s">
        <v>134</v>
      </c>
      <c r="N414" s="30" t="s">
        <v>18</v>
      </c>
      <c r="O414" s="30" t="s">
        <v>1542</v>
      </c>
      <c r="P414" s="30" t="s">
        <v>1542</v>
      </c>
      <c r="Q414" s="30" t="str">
        <f>VLOOKUP(WEEKDAY(G414),Key!$B$3:$C$9,2,0)</f>
        <v>Thursday</v>
      </c>
      <c r="R414" s="42" t="str">
        <f t="shared" si="18"/>
        <v>Within</v>
      </c>
      <c r="S414" s="41" t="str">
        <f t="shared" si="19"/>
        <v>Pass</v>
      </c>
      <c r="T414" s="30" t="str">
        <f t="shared" si="20"/>
        <v>FY 21-22</v>
      </c>
      <c r="U414" s="30" t="str">
        <f>VLOOKUP(MONTH(G414),Key!$F$3:$G$14,2,0)</f>
        <v>Aug</v>
      </c>
      <c r="V414" s="30" t="str">
        <f>IFERROR(IF(MATCH(F414,'Test 6'!C$5:C$9,0)&gt;0,"RP"),"NON-RP")</f>
        <v>NON-RP</v>
      </c>
    </row>
    <row r="415" spans="2:22" x14ac:dyDescent="0.5">
      <c r="B415" s="30">
        <v>411</v>
      </c>
      <c r="C415" s="30" t="s">
        <v>919</v>
      </c>
      <c r="D415" s="31">
        <v>2122152</v>
      </c>
      <c r="E415" s="30" t="s">
        <v>920</v>
      </c>
      <c r="F415" s="53" t="s">
        <v>81</v>
      </c>
      <c r="G415" s="32">
        <v>44420</v>
      </c>
      <c r="H415" s="33">
        <v>0.5372546383552359</v>
      </c>
      <c r="I415" s="30" t="s">
        <v>277</v>
      </c>
      <c r="J415" s="34">
        <v>461700</v>
      </c>
      <c r="K415" s="35" t="s">
        <v>17</v>
      </c>
      <c r="L415" s="36">
        <v>83106</v>
      </c>
      <c r="M415" s="30" t="s">
        <v>18</v>
      </c>
      <c r="N415" s="30" t="s">
        <v>47</v>
      </c>
      <c r="O415" s="30" t="s">
        <v>1542</v>
      </c>
      <c r="P415" s="30" t="s">
        <v>1542</v>
      </c>
      <c r="Q415" s="30" t="str">
        <f>VLOOKUP(WEEKDAY(G415),Key!$B$3:$C$9,2,0)</f>
        <v>Thursday</v>
      </c>
      <c r="R415" s="42" t="str">
        <f t="shared" si="18"/>
        <v>Within</v>
      </c>
      <c r="S415" s="41" t="str">
        <f t="shared" si="19"/>
        <v>Pass</v>
      </c>
      <c r="T415" s="30" t="str">
        <f t="shared" si="20"/>
        <v>FY 21-22</v>
      </c>
      <c r="U415" s="30" t="str">
        <f>VLOOKUP(MONTH(G415),Key!$F$3:$G$14,2,0)</f>
        <v>Aug</v>
      </c>
      <c r="V415" s="30" t="str">
        <f>IFERROR(IF(MATCH(F415,'Test 6'!C$5:C$9,0)&gt;0,"RP"),"NON-RP")</f>
        <v>NON-RP</v>
      </c>
    </row>
    <row r="416" spans="2:22" x14ac:dyDescent="0.5">
      <c r="B416" s="30">
        <v>412</v>
      </c>
      <c r="C416" s="30" t="s">
        <v>921</v>
      </c>
      <c r="D416" s="31">
        <v>2122153</v>
      </c>
      <c r="E416" s="30" t="s">
        <v>922</v>
      </c>
      <c r="F416" s="53" t="s">
        <v>45</v>
      </c>
      <c r="G416" s="32">
        <v>44421</v>
      </c>
      <c r="H416" s="33">
        <v>0.55760500037567085</v>
      </c>
      <c r="I416" s="30" t="s">
        <v>277</v>
      </c>
      <c r="J416" s="34">
        <v>40120</v>
      </c>
      <c r="K416" s="35" t="s">
        <v>17</v>
      </c>
      <c r="L416" s="36">
        <v>7221.5999999999995</v>
      </c>
      <c r="M416" s="30" t="s">
        <v>923</v>
      </c>
      <c r="N416" s="30" t="s">
        <v>46</v>
      </c>
      <c r="O416" s="30" t="s">
        <v>1542</v>
      </c>
      <c r="P416" s="30" t="s">
        <v>1542</v>
      </c>
      <c r="Q416" s="30" t="str">
        <f>VLOOKUP(WEEKDAY(G416),Key!$B$3:$C$9,2,0)</f>
        <v>Friday</v>
      </c>
      <c r="R416" s="42" t="str">
        <f t="shared" si="18"/>
        <v>Within</v>
      </c>
      <c r="S416" s="41" t="str">
        <f t="shared" si="19"/>
        <v>Pass</v>
      </c>
      <c r="T416" s="30" t="str">
        <f t="shared" si="20"/>
        <v>FY 21-22</v>
      </c>
      <c r="U416" s="30" t="str">
        <f>VLOOKUP(MONTH(G416),Key!$F$3:$G$14,2,0)</f>
        <v>Aug</v>
      </c>
      <c r="V416" s="30" t="str">
        <f>IFERROR(IF(MATCH(F416,'Test 6'!C$5:C$9,0)&gt;0,"RP"),"NON-RP")</f>
        <v>NON-RP</v>
      </c>
    </row>
    <row r="417" spans="2:22" x14ac:dyDescent="0.5">
      <c r="B417" s="30">
        <v>413</v>
      </c>
      <c r="C417" s="30" t="s">
        <v>924</v>
      </c>
      <c r="D417" s="31">
        <v>2122154</v>
      </c>
      <c r="E417" s="30" t="s">
        <v>925</v>
      </c>
      <c r="F417" s="53" t="s">
        <v>272</v>
      </c>
      <c r="G417" s="32">
        <v>44421</v>
      </c>
      <c r="H417" s="33">
        <v>0.58232642184528738</v>
      </c>
      <c r="I417" s="30" t="s">
        <v>277</v>
      </c>
      <c r="J417" s="34">
        <v>30120</v>
      </c>
      <c r="K417" s="35" t="s">
        <v>17</v>
      </c>
      <c r="L417" s="36">
        <v>5421.5999999999995</v>
      </c>
      <c r="M417" s="30" t="s">
        <v>134</v>
      </c>
      <c r="N417" s="30" t="s">
        <v>37</v>
      </c>
      <c r="O417" s="30" t="s">
        <v>1542</v>
      </c>
      <c r="P417" s="30" t="s">
        <v>1542</v>
      </c>
      <c r="Q417" s="30" t="str">
        <f>VLOOKUP(WEEKDAY(G417),Key!$B$3:$C$9,2,0)</f>
        <v>Friday</v>
      </c>
      <c r="R417" s="42" t="str">
        <f t="shared" si="18"/>
        <v>Within</v>
      </c>
      <c r="S417" s="41" t="str">
        <f t="shared" si="19"/>
        <v>Pass</v>
      </c>
      <c r="T417" s="30" t="str">
        <f t="shared" si="20"/>
        <v>FY 21-22</v>
      </c>
      <c r="U417" s="30" t="str">
        <f>VLOOKUP(MONTH(G417),Key!$F$3:$G$14,2,0)</f>
        <v>Aug</v>
      </c>
      <c r="V417" s="30" t="str">
        <f>IFERROR(IF(MATCH(F417,'Test 6'!C$5:C$9,0)&gt;0,"RP"),"NON-RP")</f>
        <v>NON-RP</v>
      </c>
    </row>
    <row r="418" spans="2:22" x14ac:dyDescent="0.5">
      <c r="B418" s="30">
        <v>414</v>
      </c>
      <c r="C418" s="30" t="s">
        <v>926</v>
      </c>
      <c r="D418" s="31">
        <v>2122155</v>
      </c>
      <c r="E418" s="30" t="s">
        <v>927</v>
      </c>
      <c r="F418" s="53" t="s">
        <v>143</v>
      </c>
      <c r="G418" s="32">
        <v>44424</v>
      </c>
      <c r="H418" s="33">
        <v>0.46276002747657191</v>
      </c>
      <c r="I418" s="30" t="s">
        <v>277</v>
      </c>
      <c r="J418" s="34">
        <v>13417040</v>
      </c>
      <c r="K418" s="35" t="s">
        <v>17</v>
      </c>
      <c r="L418" s="36">
        <v>2415067.1999999997</v>
      </c>
      <c r="M418" s="30" t="s">
        <v>41</v>
      </c>
      <c r="N418" s="30" t="s">
        <v>42</v>
      </c>
      <c r="O418" s="30" t="s">
        <v>1575</v>
      </c>
      <c r="P418" s="30" t="s">
        <v>1584</v>
      </c>
      <c r="Q418" s="30" t="str">
        <f>VLOOKUP(WEEKDAY(G418),Key!$B$3:$C$9,2,0)</f>
        <v>Monday</v>
      </c>
      <c r="R418" s="42" t="str">
        <f t="shared" si="18"/>
        <v>Within</v>
      </c>
      <c r="S418" s="41" t="str">
        <f t="shared" si="19"/>
        <v>Pass</v>
      </c>
      <c r="T418" s="30" t="str">
        <f t="shared" si="20"/>
        <v>FY 21-22</v>
      </c>
      <c r="U418" s="30" t="str">
        <f>VLOOKUP(MONTH(G418),Key!$F$3:$G$14,2,0)</f>
        <v>Aug</v>
      </c>
      <c r="V418" s="30" t="str">
        <f>IFERROR(IF(MATCH(F418,'Test 6'!C$5:C$9,0)&gt;0,"RP"),"NON-RP")</f>
        <v>NON-RP</v>
      </c>
    </row>
    <row r="419" spans="2:22" x14ac:dyDescent="0.5">
      <c r="B419" s="30">
        <v>415</v>
      </c>
      <c r="C419" s="30" t="s">
        <v>928</v>
      </c>
      <c r="D419" s="31">
        <v>2122156</v>
      </c>
      <c r="E419" s="30" t="s">
        <v>929</v>
      </c>
      <c r="F419" s="53" t="s">
        <v>269</v>
      </c>
      <c r="G419" s="32">
        <v>44424</v>
      </c>
      <c r="H419" s="33">
        <v>0.66068802074060462</v>
      </c>
      <c r="I419" s="30" t="s">
        <v>277</v>
      </c>
      <c r="J419" s="34">
        <v>6976300</v>
      </c>
      <c r="K419" s="35" t="s">
        <v>17</v>
      </c>
      <c r="L419" s="36">
        <v>1255734</v>
      </c>
      <c r="M419" s="30" t="s">
        <v>41</v>
      </c>
      <c r="N419" s="30" t="s">
        <v>42</v>
      </c>
      <c r="O419" s="30" t="s">
        <v>1575</v>
      </c>
      <c r="P419" s="30" t="s">
        <v>1585</v>
      </c>
      <c r="Q419" s="30" t="str">
        <f>VLOOKUP(WEEKDAY(G419),Key!$B$3:$C$9,2,0)</f>
        <v>Monday</v>
      </c>
      <c r="R419" s="42" t="str">
        <f t="shared" si="18"/>
        <v>Within</v>
      </c>
      <c r="S419" s="41" t="str">
        <f t="shared" si="19"/>
        <v>Pass</v>
      </c>
      <c r="T419" s="30" t="str">
        <f t="shared" si="20"/>
        <v>FY 21-22</v>
      </c>
      <c r="U419" s="30" t="str">
        <f>VLOOKUP(MONTH(G419),Key!$F$3:$G$14,2,0)</f>
        <v>Aug</v>
      </c>
      <c r="V419" s="30" t="str">
        <f>IFERROR(IF(MATCH(F419,'Test 6'!C$5:C$9,0)&gt;0,"RP"),"NON-RP")</f>
        <v>NON-RP</v>
      </c>
    </row>
    <row r="420" spans="2:22" x14ac:dyDescent="0.5">
      <c r="B420" s="30">
        <v>416</v>
      </c>
      <c r="C420" s="30" t="s">
        <v>930</v>
      </c>
      <c r="D420" s="31">
        <v>2122157</v>
      </c>
      <c r="E420" s="30" t="s">
        <v>931</v>
      </c>
      <c r="F420" s="53" t="s">
        <v>27</v>
      </c>
      <c r="G420" s="32">
        <v>44425</v>
      </c>
      <c r="H420" s="33">
        <v>0.47860365165354679</v>
      </c>
      <c r="I420" s="30" t="s">
        <v>277</v>
      </c>
      <c r="J420" s="34">
        <v>274140</v>
      </c>
      <c r="K420" s="35" t="s">
        <v>17</v>
      </c>
      <c r="L420" s="36">
        <v>49345.2</v>
      </c>
      <c r="M420" s="30" t="s">
        <v>32</v>
      </c>
      <c r="N420" s="30" t="s">
        <v>19</v>
      </c>
      <c r="O420" s="30" t="s">
        <v>1542</v>
      </c>
      <c r="P420" s="30" t="s">
        <v>1542</v>
      </c>
      <c r="Q420" s="30" t="str">
        <f>VLOOKUP(WEEKDAY(G420),Key!$B$3:$C$9,2,0)</f>
        <v>Tuesday</v>
      </c>
      <c r="R420" s="42" t="str">
        <f t="shared" si="18"/>
        <v>Within</v>
      </c>
      <c r="S420" s="41" t="str">
        <f t="shared" si="19"/>
        <v>Pass</v>
      </c>
      <c r="T420" s="30" t="str">
        <f t="shared" si="20"/>
        <v>FY 21-22</v>
      </c>
      <c r="U420" s="30" t="str">
        <f>VLOOKUP(MONTH(G420),Key!$F$3:$G$14,2,0)</f>
        <v>Aug</v>
      </c>
      <c r="V420" s="30" t="str">
        <f>IFERROR(IF(MATCH(F420,'Test 6'!C$5:C$9,0)&gt;0,"RP"),"NON-RP")</f>
        <v>NON-RP</v>
      </c>
    </row>
    <row r="421" spans="2:22" x14ac:dyDescent="0.5">
      <c r="B421" s="30">
        <v>417</v>
      </c>
      <c r="C421" s="30" t="s">
        <v>932</v>
      </c>
      <c r="D421" s="31">
        <v>2122158</v>
      </c>
      <c r="E421" s="30" t="s">
        <v>933</v>
      </c>
      <c r="F421" s="53" t="s">
        <v>95</v>
      </c>
      <c r="G421" s="32">
        <v>44426</v>
      </c>
      <c r="H421" s="33">
        <v>0.48685268135537069</v>
      </c>
      <c r="I421" s="30" t="s">
        <v>277</v>
      </c>
      <c r="J421" s="34">
        <v>462050</v>
      </c>
      <c r="K421" s="35" t="s">
        <v>17</v>
      </c>
      <c r="L421" s="36">
        <v>83169</v>
      </c>
      <c r="M421" s="30" t="s">
        <v>18</v>
      </c>
      <c r="N421" s="30" t="s">
        <v>68</v>
      </c>
      <c r="O421" s="30" t="s">
        <v>1542</v>
      </c>
      <c r="P421" s="30" t="s">
        <v>1542</v>
      </c>
      <c r="Q421" s="30" t="str">
        <f>VLOOKUP(WEEKDAY(G421),Key!$B$3:$C$9,2,0)</f>
        <v>Wednesday</v>
      </c>
      <c r="R421" s="42" t="str">
        <f t="shared" si="18"/>
        <v>Within</v>
      </c>
      <c r="S421" s="41" t="str">
        <f t="shared" si="19"/>
        <v>Pass</v>
      </c>
      <c r="T421" s="30" t="str">
        <f t="shared" si="20"/>
        <v>FY 21-22</v>
      </c>
      <c r="U421" s="30" t="str">
        <f>VLOOKUP(MONTH(G421),Key!$F$3:$G$14,2,0)</f>
        <v>Aug</v>
      </c>
      <c r="V421" s="30" t="str">
        <f>IFERROR(IF(MATCH(F421,'Test 6'!C$5:C$9,0)&gt;0,"RP"),"NON-RP")</f>
        <v>NON-RP</v>
      </c>
    </row>
    <row r="422" spans="2:22" x14ac:dyDescent="0.5">
      <c r="B422" s="30">
        <v>418</v>
      </c>
      <c r="C422" s="30" t="s">
        <v>934</v>
      </c>
      <c r="D422" s="31">
        <v>2122159</v>
      </c>
      <c r="E422" s="30" t="s">
        <v>935</v>
      </c>
      <c r="F422" s="53" t="s">
        <v>60</v>
      </c>
      <c r="G422" s="32">
        <v>44426</v>
      </c>
      <c r="H422" s="33">
        <v>0.68184652530833234</v>
      </c>
      <c r="I422" s="30" t="s">
        <v>277</v>
      </c>
      <c r="J422" s="34">
        <v>297220</v>
      </c>
      <c r="K422" s="35" t="s">
        <v>17</v>
      </c>
      <c r="L422" s="36">
        <v>53499.6</v>
      </c>
      <c r="M422" s="30" t="s">
        <v>18</v>
      </c>
      <c r="N422" s="30" t="s">
        <v>51</v>
      </c>
      <c r="O422" s="30" t="s">
        <v>1542</v>
      </c>
      <c r="P422" s="30" t="s">
        <v>1542</v>
      </c>
      <c r="Q422" s="30" t="str">
        <f>VLOOKUP(WEEKDAY(G422),Key!$B$3:$C$9,2,0)</f>
        <v>Wednesday</v>
      </c>
      <c r="R422" s="42" t="str">
        <f t="shared" si="18"/>
        <v>Within</v>
      </c>
      <c r="S422" s="41" t="str">
        <f t="shared" si="19"/>
        <v>Pass</v>
      </c>
      <c r="T422" s="30" t="str">
        <f t="shared" si="20"/>
        <v>FY 21-22</v>
      </c>
      <c r="U422" s="30" t="str">
        <f>VLOOKUP(MONTH(G422),Key!$F$3:$G$14,2,0)</f>
        <v>Aug</v>
      </c>
      <c r="V422" s="30" t="str">
        <f>IFERROR(IF(MATCH(F422,'Test 6'!C$5:C$9,0)&gt;0,"RP"),"NON-RP")</f>
        <v>NON-RP</v>
      </c>
    </row>
    <row r="423" spans="2:22" x14ac:dyDescent="0.5">
      <c r="B423" s="30">
        <v>419</v>
      </c>
      <c r="C423" s="30" t="s">
        <v>936</v>
      </c>
      <c r="D423" s="31">
        <v>2122160</v>
      </c>
      <c r="E423" s="30" t="s">
        <v>937</v>
      </c>
      <c r="F423" s="53" t="s">
        <v>119</v>
      </c>
      <c r="G423" s="32">
        <v>44426</v>
      </c>
      <c r="H423" s="33">
        <v>0.44780351932972323</v>
      </c>
      <c r="I423" s="30" t="s">
        <v>277</v>
      </c>
      <c r="J423" s="34">
        <v>4002900</v>
      </c>
      <c r="K423" s="35" t="s">
        <v>17</v>
      </c>
      <c r="L423" s="36">
        <v>720522</v>
      </c>
      <c r="M423" s="30" t="s">
        <v>701</v>
      </c>
      <c r="N423" s="30" t="s">
        <v>41</v>
      </c>
      <c r="O423" s="30" t="s">
        <v>1542</v>
      </c>
      <c r="P423" s="30" t="s">
        <v>1542</v>
      </c>
      <c r="Q423" s="30" t="str">
        <f>VLOOKUP(WEEKDAY(G423),Key!$B$3:$C$9,2,0)</f>
        <v>Wednesday</v>
      </c>
      <c r="R423" s="42" t="str">
        <f t="shared" si="18"/>
        <v>Within</v>
      </c>
      <c r="S423" s="41" t="str">
        <f t="shared" si="19"/>
        <v>Pass</v>
      </c>
      <c r="T423" s="30" t="str">
        <f t="shared" si="20"/>
        <v>FY 21-22</v>
      </c>
      <c r="U423" s="30" t="str">
        <f>VLOOKUP(MONTH(G423),Key!$F$3:$G$14,2,0)</f>
        <v>Aug</v>
      </c>
      <c r="V423" s="30" t="str">
        <f>IFERROR(IF(MATCH(F423,'Test 6'!C$5:C$9,0)&gt;0,"RP"),"NON-RP")</f>
        <v>NON-RP</v>
      </c>
    </row>
    <row r="424" spans="2:22" x14ac:dyDescent="0.5">
      <c r="B424" s="30">
        <v>420</v>
      </c>
      <c r="C424" s="30" t="s">
        <v>938</v>
      </c>
      <c r="D424" s="31">
        <v>2122161</v>
      </c>
      <c r="E424" s="30" t="s">
        <v>939</v>
      </c>
      <c r="F424" s="53" t="s">
        <v>131</v>
      </c>
      <c r="G424" s="32">
        <v>44427</v>
      </c>
      <c r="H424" s="33">
        <v>0.6231367088586639</v>
      </c>
      <c r="I424" s="30" t="s">
        <v>277</v>
      </c>
      <c r="J424" s="34">
        <v>283880</v>
      </c>
      <c r="K424" s="35" t="s">
        <v>17</v>
      </c>
      <c r="L424" s="36">
        <v>51098.400000000001</v>
      </c>
      <c r="M424" s="30" t="s">
        <v>28</v>
      </c>
      <c r="N424" s="30" t="s">
        <v>68</v>
      </c>
      <c r="O424" s="30" t="s">
        <v>1542</v>
      </c>
      <c r="P424" s="30" t="s">
        <v>1542</v>
      </c>
      <c r="Q424" s="30" t="str">
        <f>VLOOKUP(WEEKDAY(G424),Key!$B$3:$C$9,2,0)</f>
        <v>Thursday</v>
      </c>
      <c r="R424" s="42" t="str">
        <f t="shared" si="18"/>
        <v>Within</v>
      </c>
      <c r="S424" s="41" t="str">
        <f t="shared" si="19"/>
        <v>Pass</v>
      </c>
      <c r="T424" s="30" t="str">
        <f t="shared" si="20"/>
        <v>FY 21-22</v>
      </c>
      <c r="U424" s="30" t="str">
        <f>VLOOKUP(MONTH(G424),Key!$F$3:$G$14,2,0)</f>
        <v>Aug</v>
      </c>
      <c r="V424" s="30" t="str">
        <f>IFERROR(IF(MATCH(F424,'Test 6'!C$5:C$9,0)&gt;0,"RP"),"NON-RP")</f>
        <v>NON-RP</v>
      </c>
    </row>
    <row r="425" spans="2:22" x14ac:dyDescent="0.5">
      <c r="B425" s="30">
        <v>421</v>
      </c>
      <c r="C425" s="30" t="s">
        <v>940</v>
      </c>
      <c r="D425" s="31">
        <v>2122162</v>
      </c>
      <c r="E425" s="30" t="s">
        <v>941</v>
      </c>
      <c r="F425" s="53" t="s">
        <v>92</v>
      </c>
      <c r="G425" s="32">
        <v>44428</v>
      </c>
      <c r="H425" s="33">
        <v>0.52274581578076684</v>
      </c>
      <c r="I425" s="30" t="s">
        <v>277</v>
      </c>
      <c r="J425" s="34">
        <v>221870</v>
      </c>
      <c r="K425" s="35" t="s">
        <v>17</v>
      </c>
      <c r="L425" s="36">
        <v>39936.6</v>
      </c>
      <c r="M425" s="30" t="s">
        <v>28</v>
      </c>
      <c r="N425" s="30" t="s">
        <v>51</v>
      </c>
      <c r="O425" s="30" t="s">
        <v>1542</v>
      </c>
      <c r="P425" s="30" t="s">
        <v>1542</v>
      </c>
      <c r="Q425" s="30" t="str">
        <f>VLOOKUP(WEEKDAY(G425),Key!$B$3:$C$9,2,0)</f>
        <v>Friday</v>
      </c>
      <c r="R425" s="42" t="str">
        <f t="shared" si="18"/>
        <v>Within</v>
      </c>
      <c r="S425" s="41" t="str">
        <f t="shared" si="19"/>
        <v>Pass</v>
      </c>
      <c r="T425" s="30" t="str">
        <f t="shared" si="20"/>
        <v>FY 21-22</v>
      </c>
      <c r="U425" s="30" t="str">
        <f>VLOOKUP(MONTH(G425),Key!$F$3:$G$14,2,0)</f>
        <v>Aug</v>
      </c>
      <c r="V425" s="30" t="str">
        <f>IFERROR(IF(MATCH(F425,'Test 6'!C$5:C$9,0)&gt;0,"RP"),"NON-RP")</f>
        <v>NON-RP</v>
      </c>
    </row>
    <row r="426" spans="2:22" x14ac:dyDescent="0.5">
      <c r="B426" s="30">
        <v>422</v>
      </c>
      <c r="C426" s="30" t="s">
        <v>942</v>
      </c>
      <c r="D426" s="31">
        <v>2122163</v>
      </c>
      <c r="E426" s="30" t="s">
        <v>943</v>
      </c>
      <c r="F426" s="53" t="s">
        <v>378</v>
      </c>
      <c r="G426" s="32">
        <v>44429</v>
      </c>
      <c r="H426" s="33">
        <v>0.82451388888888888</v>
      </c>
      <c r="I426" s="30" t="s">
        <v>277</v>
      </c>
      <c r="J426" s="34">
        <v>4728180</v>
      </c>
      <c r="K426" s="35" t="s">
        <v>17</v>
      </c>
      <c r="L426" s="36">
        <v>851072.4</v>
      </c>
      <c r="M426" s="30" t="s">
        <v>41</v>
      </c>
      <c r="N426" s="30" t="s">
        <v>42</v>
      </c>
      <c r="O426" s="30" t="s">
        <v>1542</v>
      </c>
      <c r="P426" s="30" t="s">
        <v>1542</v>
      </c>
      <c r="Q426" s="30" t="str">
        <f>VLOOKUP(WEEKDAY(G426),Key!$B$3:$C$9,2,0)</f>
        <v>Saturday</v>
      </c>
      <c r="R426" s="42" t="str">
        <f t="shared" si="18"/>
        <v>Outside</v>
      </c>
      <c r="S426" s="41" t="str">
        <f t="shared" si="19"/>
        <v>Red Flag</v>
      </c>
      <c r="T426" s="30" t="str">
        <f t="shared" si="20"/>
        <v>FY 21-22</v>
      </c>
      <c r="U426" s="30" t="str">
        <f>VLOOKUP(MONTH(G426),Key!$F$3:$G$14,2,0)</f>
        <v>Aug</v>
      </c>
      <c r="V426" s="30" t="str">
        <f>IFERROR(IF(MATCH(F426,'Test 6'!C$5:C$9,0)&gt;0,"RP"),"NON-RP")</f>
        <v>RP</v>
      </c>
    </row>
    <row r="427" spans="2:22" x14ac:dyDescent="0.5">
      <c r="B427" s="30">
        <v>423</v>
      </c>
      <c r="C427" s="30" t="s">
        <v>944</v>
      </c>
      <c r="D427" s="31">
        <v>2122164</v>
      </c>
      <c r="E427" s="30" t="s">
        <v>945</v>
      </c>
      <c r="F427" s="53" t="s">
        <v>87</v>
      </c>
      <c r="G427" s="32">
        <v>44432</v>
      </c>
      <c r="H427" s="33">
        <v>0.60133392203314895</v>
      </c>
      <c r="I427" s="30" t="s">
        <v>277</v>
      </c>
      <c r="J427" s="34">
        <v>217350</v>
      </c>
      <c r="K427" s="35" t="s">
        <v>17</v>
      </c>
      <c r="L427" s="36">
        <v>39123</v>
      </c>
      <c r="M427" s="30" t="s">
        <v>18</v>
      </c>
      <c r="N427" s="30" t="s">
        <v>68</v>
      </c>
      <c r="O427" s="30" t="s">
        <v>1542</v>
      </c>
      <c r="P427" s="30" t="s">
        <v>1542</v>
      </c>
      <c r="Q427" s="30" t="str">
        <f>VLOOKUP(WEEKDAY(G427),Key!$B$3:$C$9,2,0)</f>
        <v>Tuesday</v>
      </c>
      <c r="R427" s="42" t="str">
        <f t="shared" si="18"/>
        <v>Within</v>
      </c>
      <c r="S427" s="41" t="str">
        <f t="shared" si="19"/>
        <v>Pass</v>
      </c>
      <c r="T427" s="30" t="str">
        <f t="shared" si="20"/>
        <v>FY 21-22</v>
      </c>
      <c r="U427" s="30" t="str">
        <f>VLOOKUP(MONTH(G427),Key!$F$3:$G$14,2,0)</f>
        <v>Aug</v>
      </c>
      <c r="V427" s="30" t="str">
        <f>IFERROR(IF(MATCH(F427,'Test 6'!C$5:C$9,0)&gt;0,"RP"),"NON-RP")</f>
        <v>NON-RP</v>
      </c>
    </row>
    <row r="428" spans="2:22" x14ac:dyDescent="0.5">
      <c r="B428" s="30">
        <v>424</v>
      </c>
      <c r="C428" s="30" t="s">
        <v>946</v>
      </c>
      <c r="D428" s="31">
        <v>2122165</v>
      </c>
      <c r="E428" s="30" t="s">
        <v>947</v>
      </c>
      <c r="F428" s="53" t="s">
        <v>229</v>
      </c>
      <c r="G428" s="32">
        <v>44432</v>
      </c>
      <c r="H428" s="33">
        <v>0.60927897547837684</v>
      </c>
      <c r="I428" s="30" t="s">
        <v>277</v>
      </c>
      <c r="J428" s="34">
        <v>377140</v>
      </c>
      <c r="K428" s="35" t="s">
        <v>17</v>
      </c>
      <c r="L428" s="36">
        <v>67885.2</v>
      </c>
      <c r="M428" s="30" t="s">
        <v>28</v>
      </c>
      <c r="N428" s="30" t="s">
        <v>24</v>
      </c>
      <c r="O428" s="30" t="s">
        <v>1542</v>
      </c>
      <c r="P428" s="30" t="s">
        <v>1542</v>
      </c>
      <c r="Q428" s="30" t="str">
        <f>VLOOKUP(WEEKDAY(G428),Key!$B$3:$C$9,2,0)</f>
        <v>Tuesday</v>
      </c>
      <c r="R428" s="42" t="str">
        <f t="shared" si="18"/>
        <v>Within</v>
      </c>
      <c r="S428" s="41" t="str">
        <f t="shared" si="19"/>
        <v>Pass</v>
      </c>
      <c r="T428" s="30" t="str">
        <f t="shared" si="20"/>
        <v>FY 21-22</v>
      </c>
      <c r="U428" s="30" t="str">
        <f>VLOOKUP(MONTH(G428),Key!$F$3:$G$14,2,0)</f>
        <v>Aug</v>
      </c>
      <c r="V428" s="30" t="str">
        <f>IFERROR(IF(MATCH(F428,'Test 6'!C$5:C$9,0)&gt;0,"RP"),"NON-RP")</f>
        <v>NON-RP</v>
      </c>
    </row>
    <row r="429" spans="2:22" x14ac:dyDescent="0.5">
      <c r="B429" s="30">
        <v>425</v>
      </c>
      <c r="C429" s="30" t="s">
        <v>948</v>
      </c>
      <c r="D429" s="31">
        <v>2122166</v>
      </c>
      <c r="E429" s="30" t="s">
        <v>949</v>
      </c>
      <c r="F429" s="53" t="s">
        <v>64</v>
      </c>
      <c r="G429" s="32">
        <v>44435</v>
      </c>
      <c r="H429" s="33">
        <v>0.44213976006398814</v>
      </c>
      <c r="I429" s="30" t="s">
        <v>277</v>
      </c>
      <c r="J429" s="34">
        <v>469720</v>
      </c>
      <c r="K429" s="35" t="s">
        <v>17</v>
      </c>
      <c r="L429" s="36">
        <v>84549.599999999991</v>
      </c>
      <c r="M429" s="30" t="s">
        <v>23</v>
      </c>
      <c r="N429" s="30" t="s">
        <v>68</v>
      </c>
      <c r="O429" s="30" t="s">
        <v>1542</v>
      </c>
      <c r="P429" s="30" t="s">
        <v>1542</v>
      </c>
      <c r="Q429" s="30" t="str">
        <f>VLOOKUP(WEEKDAY(G429),Key!$B$3:$C$9,2,0)</f>
        <v>Friday</v>
      </c>
      <c r="R429" s="42" t="str">
        <f t="shared" si="18"/>
        <v>Within</v>
      </c>
      <c r="S429" s="41" t="str">
        <f t="shared" si="19"/>
        <v>Pass</v>
      </c>
      <c r="T429" s="30" t="str">
        <f t="shared" si="20"/>
        <v>FY 21-22</v>
      </c>
      <c r="U429" s="30" t="str">
        <f>VLOOKUP(MONTH(G429),Key!$F$3:$G$14,2,0)</f>
        <v>Aug</v>
      </c>
      <c r="V429" s="30" t="str">
        <f>IFERROR(IF(MATCH(F429,'Test 6'!C$5:C$9,0)&gt;0,"RP"),"NON-RP")</f>
        <v>NON-RP</v>
      </c>
    </row>
    <row r="430" spans="2:22" x14ac:dyDescent="0.5">
      <c r="B430" s="30">
        <v>426</v>
      </c>
      <c r="C430" s="30" t="s">
        <v>950</v>
      </c>
      <c r="D430" s="31">
        <v>2122167</v>
      </c>
      <c r="E430" s="30" t="s">
        <v>951</v>
      </c>
      <c r="F430" s="53" t="s">
        <v>81</v>
      </c>
      <c r="G430" s="32">
        <v>44436</v>
      </c>
      <c r="H430" s="33">
        <v>0.70009934331636225</v>
      </c>
      <c r="I430" s="30" t="s">
        <v>216</v>
      </c>
      <c r="J430" s="34">
        <v>309030</v>
      </c>
      <c r="K430" s="35" t="s">
        <v>17</v>
      </c>
      <c r="L430" s="36">
        <v>55625.4</v>
      </c>
      <c r="M430" s="30" t="s">
        <v>28</v>
      </c>
      <c r="N430" s="30" t="s">
        <v>24</v>
      </c>
      <c r="O430" s="30" t="s">
        <v>1542</v>
      </c>
      <c r="P430" s="30" t="s">
        <v>1542</v>
      </c>
      <c r="Q430" s="30" t="str">
        <f>VLOOKUP(WEEKDAY(G430),Key!$B$3:$C$9,2,0)</f>
        <v>Saturday</v>
      </c>
      <c r="R430" s="42" t="str">
        <f t="shared" si="18"/>
        <v>Within</v>
      </c>
      <c r="S430" s="41" t="str">
        <f t="shared" si="19"/>
        <v>Pass</v>
      </c>
      <c r="T430" s="30" t="str">
        <f t="shared" si="20"/>
        <v>FY 21-22</v>
      </c>
      <c r="U430" s="30" t="str">
        <f>VLOOKUP(MONTH(G430),Key!$F$3:$G$14,2,0)</f>
        <v>Aug</v>
      </c>
      <c r="V430" s="30" t="str">
        <f>IFERROR(IF(MATCH(F430,'Test 6'!C$5:C$9,0)&gt;0,"RP"),"NON-RP")</f>
        <v>NON-RP</v>
      </c>
    </row>
    <row r="431" spans="2:22" x14ac:dyDescent="0.5">
      <c r="B431" s="30">
        <v>427</v>
      </c>
      <c r="C431" s="30" t="s">
        <v>952</v>
      </c>
      <c r="D431" s="31">
        <v>2122168</v>
      </c>
      <c r="E431" s="30" t="s">
        <v>953</v>
      </c>
      <c r="F431" s="53" t="s">
        <v>72</v>
      </c>
      <c r="G431" s="32">
        <v>44439</v>
      </c>
      <c r="H431" s="33">
        <v>0.56667504148826175</v>
      </c>
      <c r="I431" s="30" t="s">
        <v>277</v>
      </c>
      <c r="J431" s="34">
        <v>495900</v>
      </c>
      <c r="K431" s="35" t="s">
        <v>17</v>
      </c>
      <c r="L431" s="36">
        <v>89262</v>
      </c>
      <c r="M431" s="30" t="s">
        <v>18</v>
      </c>
      <c r="N431" s="30" t="s">
        <v>24</v>
      </c>
      <c r="O431" s="30" t="s">
        <v>1542</v>
      </c>
      <c r="P431" s="30" t="s">
        <v>1542</v>
      </c>
      <c r="Q431" s="30" t="str">
        <f>VLOOKUP(WEEKDAY(G431),Key!$B$3:$C$9,2,0)</f>
        <v>Tuesday</v>
      </c>
      <c r="R431" s="42" t="str">
        <f t="shared" si="18"/>
        <v>Within</v>
      </c>
      <c r="S431" s="41" t="str">
        <f t="shared" si="19"/>
        <v>Pass</v>
      </c>
      <c r="T431" s="30" t="str">
        <f t="shared" si="20"/>
        <v>FY 21-22</v>
      </c>
      <c r="U431" s="30" t="str">
        <f>VLOOKUP(MONTH(G431),Key!$F$3:$G$14,2,0)</f>
        <v>Aug</v>
      </c>
      <c r="V431" s="30" t="str">
        <f>IFERROR(IF(MATCH(F431,'Test 6'!C$5:C$9,0)&gt;0,"RP"),"NON-RP")</f>
        <v>NON-RP</v>
      </c>
    </row>
    <row r="432" spans="2:22" x14ac:dyDescent="0.5">
      <c r="B432" s="30">
        <v>428</v>
      </c>
      <c r="C432" s="30" t="s">
        <v>954</v>
      </c>
      <c r="D432" s="31">
        <v>2122169</v>
      </c>
      <c r="E432" s="30" t="s">
        <v>955</v>
      </c>
      <c r="F432" s="53" t="s">
        <v>332</v>
      </c>
      <c r="G432" s="32">
        <v>44439</v>
      </c>
      <c r="H432" s="33">
        <v>0.49184902443972955</v>
      </c>
      <c r="I432" s="30" t="s">
        <v>277</v>
      </c>
      <c r="J432" s="34">
        <v>247110</v>
      </c>
      <c r="K432" s="35" t="s">
        <v>17</v>
      </c>
      <c r="L432" s="36">
        <v>44479.799999999996</v>
      </c>
      <c r="M432" s="30" t="s">
        <v>37</v>
      </c>
      <c r="N432" s="30" t="s">
        <v>51</v>
      </c>
      <c r="O432" s="30" t="s">
        <v>1542</v>
      </c>
      <c r="P432" s="30" t="s">
        <v>1542</v>
      </c>
      <c r="Q432" s="30" t="str">
        <f>VLOOKUP(WEEKDAY(G432),Key!$B$3:$C$9,2,0)</f>
        <v>Tuesday</v>
      </c>
      <c r="R432" s="42" t="str">
        <f t="shared" si="18"/>
        <v>Within</v>
      </c>
      <c r="S432" s="41" t="str">
        <f t="shared" si="19"/>
        <v>Pass</v>
      </c>
      <c r="T432" s="30" t="str">
        <f t="shared" si="20"/>
        <v>FY 21-22</v>
      </c>
      <c r="U432" s="30" t="str">
        <f>VLOOKUP(MONTH(G432),Key!$F$3:$G$14,2,0)</f>
        <v>Aug</v>
      </c>
      <c r="V432" s="30" t="str">
        <f>IFERROR(IF(MATCH(F432,'Test 6'!C$5:C$9,0)&gt;0,"RP"),"NON-RP")</f>
        <v>NON-RP</v>
      </c>
    </row>
    <row r="433" spans="2:22" x14ac:dyDescent="0.5">
      <c r="B433" s="30">
        <v>429</v>
      </c>
      <c r="C433" s="30" t="s">
        <v>956</v>
      </c>
      <c r="D433" s="31">
        <v>2122170</v>
      </c>
      <c r="E433" s="30" t="s">
        <v>957</v>
      </c>
      <c r="F433" s="53" t="s">
        <v>15</v>
      </c>
      <c r="G433" s="32">
        <v>44440</v>
      </c>
      <c r="H433" s="33">
        <v>0.57882125107576354</v>
      </c>
      <c r="I433" s="30" t="s">
        <v>321</v>
      </c>
      <c r="J433" s="34">
        <v>448830</v>
      </c>
      <c r="K433" s="35" t="s">
        <v>17</v>
      </c>
      <c r="L433" s="36">
        <v>80789.399999999994</v>
      </c>
      <c r="M433" s="30" t="s">
        <v>18</v>
      </c>
      <c r="N433" s="30" t="s">
        <v>19</v>
      </c>
      <c r="O433" s="30" t="s">
        <v>1542</v>
      </c>
      <c r="P433" s="30" t="s">
        <v>1542</v>
      </c>
      <c r="Q433" s="30" t="str">
        <f>VLOOKUP(WEEKDAY(G433),Key!$B$3:$C$9,2,0)</f>
        <v>Wednesday</v>
      </c>
      <c r="R433" s="42" t="str">
        <f t="shared" si="18"/>
        <v>Within</v>
      </c>
      <c r="S433" s="41" t="str">
        <f t="shared" si="19"/>
        <v>Pass</v>
      </c>
      <c r="T433" s="30" t="str">
        <f t="shared" si="20"/>
        <v>FY 21-22</v>
      </c>
      <c r="U433" s="30" t="str">
        <f>VLOOKUP(MONTH(G433),Key!$F$3:$G$14,2,0)</f>
        <v>Sep</v>
      </c>
      <c r="V433" s="30" t="str">
        <f>IFERROR(IF(MATCH(F433,'Test 6'!C$5:C$9,0)&gt;0,"RP"),"NON-RP")</f>
        <v>NON-RP</v>
      </c>
    </row>
    <row r="434" spans="2:22" x14ac:dyDescent="0.5">
      <c r="B434" s="30">
        <v>430</v>
      </c>
      <c r="C434" s="30" t="s">
        <v>958</v>
      </c>
      <c r="D434" s="31">
        <v>2122171</v>
      </c>
      <c r="E434" s="30" t="s">
        <v>959</v>
      </c>
      <c r="F434" s="53" t="s">
        <v>241</v>
      </c>
      <c r="G434" s="32">
        <v>44443</v>
      </c>
      <c r="H434" s="33">
        <v>0.8194907407407408</v>
      </c>
      <c r="I434" s="30" t="s">
        <v>321</v>
      </c>
      <c r="J434" s="34">
        <v>4497060</v>
      </c>
      <c r="K434" s="35" t="s">
        <v>17</v>
      </c>
      <c r="L434" s="36">
        <v>809470.79999999993</v>
      </c>
      <c r="M434" s="30" t="s">
        <v>69</v>
      </c>
      <c r="N434" s="30" t="s">
        <v>41</v>
      </c>
      <c r="O434" s="30" t="s">
        <v>1542</v>
      </c>
      <c r="P434" s="30" t="s">
        <v>1542</v>
      </c>
      <c r="Q434" s="30" t="str">
        <f>VLOOKUP(WEEKDAY(G434),Key!$B$3:$C$9,2,0)</f>
        <v>Saturday</v>
      </c>
      <c r="R434" s="42" t="str">
        <f t="shared" si="18"/>
        <v>Outside</v>
      </c>
      <c r="S434" s="41" t="str">
        <f t="shared" si="19"/>
        <v>Red Flag</v>
      </c>
      <c r="T434" s="30" t="str">
        <f t="shared" si="20"/>
        <v>FY 21-22</v>
      </c>
      <c r="U434" s="30" t="str">
        <f>VLOOKUP(MONTH(G434),Key!$F$3:$G$14,2,0)</f>
        <v>Sep</v>
      </c>
      <c r="V434" s="30" t="str">
        <f>IFERROR(IF(MATCH(F434,'Test 6'!C$5:C$9,0)&gt;0,"RP"),"NON-RP")</f>
        <v>RP</v>
      </c>
    </row>
    <row r="435" spans="2:22" x14ac:dyDescent="0.5">
      <c r="B435" s="30">
        <v>431</v>
      </c>
      <c r="C435" s="30" t="s">
        <v>960</v>
      </c>
      <c r="D435" s="31">
        <v>2122172</v>
      </c>
      <c r="E435" s="30" t="s">
        <v>961</v>
      </c>
      <c r="F435" s="53" t="s">
        <v>262</v>
      </c>
      <c r="G435" s="32">
        <v>44445</v>
      </c>
      <c r="H435" s="33">
        <v>0.44569316784765617</v>
      </c>
      <c r="I435" s="30" t="s">
        <v>321</v>
      </c>
      <c r="J435" s="34">
        <v>377400</v>
      </c>
      <c r="K435" s="35" t="s">
        <v>17</v>
      </c>
      <c r="L435" s="36">
        <v>67932</v>
      </c>
      <c r="M435" s="30" t="s">
        <v>18</v>
      </c>
      <c r="N435" s="30" t="s">
        <v>19</v>
      </c>
      <c r="O435" s="30" t="s">
        <v>1542</v>
      </c>
      <c r="P435" s="30" t="s">
        <v>1542</v>
      </c>
      <c r="Q435" s="30" t="str">
        <f>VLOOKUP(WEEKDAY(G435),Key!$B$3:$C$9,2,0)</f>
        <v>Monday</v>
      </c>
      <c r="R435" s="42" t="str">
        <f t="shared" si="18"/>
        <v>Within</v>
      </c>
      <c r="S435" s="41" t="str">
        <f t="shared" si="19"/>
        <v>Pass</v>
      </c>
      <c r="T435" s="30" t="str">
        <f t="shared" si="20"/>
        <v>FY 21-22</v>
      </c>
      <c r="U435" s="30" t="str">
        <f>VLOOKUP(MONTH(G435),Key!$F$3:$G$14,2,0)</f>
        <v>Sep</v>
      </c>
      <c r="V435" s="30" t="str">
        <f>IFERROR(IF(MATCH(F435,'Test 6'!C$5:C$9,0)&gt;0,"RP"),"NON-RP")</f>
        <v>NON-RP</v>
      </c>
    </row>
    <row r="436" spans="2:22" x14ac:dyDescent="0.5">
      <c r="B436" s="30">
        <v>432</v>
      </c>
      <c r="C436" s="30" t="s">
        <v>962</v>
      </c>
      <c r="D436" s="31">
        <v>2122173</v>
      </c>
      <c r="E436" s="30" t="s">
        <v>963</v>
      </c>
      <c r="F436" s="53" t="s">
        <v>332</v>
      </c>
      <c r="G436" s="32">
        <v>44448</v>
      </c>
      <c r="H436" s="33">
        <v>0.47449860141224642</v>
      </c>
      <c r="I436" s="30" t="s">
        <v>321</v>
      </c>
      <c r="J436" s="34">
        <v>370800</v>
      </c>
      <c r="K436" s="35" t="s">
        <v>17</v>
      </c>
      <c r="L436" s="36">
        <v>66744</v>
      </c>
      <c r="M436" s="30" t="s">
        <v>23</v>
      </c>
      <c r="N436" s="30" t="s">
        <v>19</v>
      </c>
      <c r="O436" s="30" t="s">
        <v>1542</v>
      </c>
      <c r="P436" s="30" t="s">
        <v>1542</v>
      </c>
      <c r="Q436" s="30" t="str">
        <f>VLOOKUP(WEEKDAY(G436),Key!$B$3:$C$9,2,0)</f>
        <v>Thursday</v>
      </c>
      <c r="R436" s="42" t="str">
        <f t="shared" si="18"/>
        <v>Within</v>
      </c>
      <c r="S436" s="41" t="str">
        <f t="shared" si="19"/>
        <v>Pass</v>
      </c>
      <c r="T436" s="30" t="str">
        <f t="shared" si="20"/>
        <v>FY 21-22</v>
      </c>
      <c r="U436" s="30" t="str">
        <f>VLOOKUP(MONTH(G436),Key!$F$3:$G$14,2,0)</f>
        <v>Sep</v>
      </c>
      <c r="V436" s="30" t="str">
        <f>IFERROR(IF(MATCH(F436,'Test 6'!C$5:C$9,0)&gt;0,"RP"),"NON-RP")</f>
        <v>NON-RP</v>
      </c>
    </row>
    <row r="437" spans="2:22" x14ac:dyDescent="0.5">
      <c r="B437" s="30">
        <v>433</v>
      </c>
      <c r="C437" s="30" t="s">
        <v>964</v>
      </c>
      <c r="D437" s="31">
        <v>2122174</v>
      </c>
      <c r="E437" s="30" t="s">
        <v>965</v>
      </c>
      <c r="F437" s="53" t="s">
        <v>378</v>
      </c>
      <c r="G437" s="32">
        <v>44450</v>
      </c>
      <c r="H437" s="33">
        <v>0.82313657407407403</v>
      </c>
      <c r="I437" s="30" t="s">
        <v>321</v>
      </c>
      <c r="J437" s="34">
        <v>4648620</v>
      </c>
      <c r="K437" s="35" t="s">
        <v>17</v>
      </c>
      <c r="L437" s="36">
        <v>836751.6</v>
      </c>
      <c r="M437" s="30" t="s">
        <v>41</v>
      </c>
      <c r="N437" s="30" t="s">
        <v>42</v>
      </c>
      <c r="O437" s="30" t="s">
        <v>1542</v>
      </c>
      <c r="P437" s="30" t="s">
        <v>1542</v>
      </c>
      <c r="Q437" s="30" t="str">
        <f>VLOOKUP(WEEKDAY(G437),Key!$B$3:$C$9,2,0)</f>
        <v>Saturday</v>
      </c>
      <c r="R437" s="42" t="str">
        <f t="shared" si="18"/>
        <v>Outside</v>
      </c>
      <c r="S437" s="41" t="str">
        <f t="shared" si="19"/>
        <v>Red Flag</v>
      </c>
      <c r="T437" s="30" t="str">
        <f t="shared" si="20"/>
        <v>FY 21-22</v>
      </c>
      <c r="U437" s="30" t="str">
        <f>VLOOKUP(MONTH(G437),Key!$F$3:$G$14,2,0)</f>
        <v>Sep</v>
      </c>
      <c r="V437" s="30" t="str">
        <f>IFERROR(IF(MATCH(F437,'Test 6'!C$5:C$9,0)&gt;0,"RP"),"NON-RP")</f>
        <v>RP</v>
      </c>
    </row>
    <row r="438" spans="2:22" x14ac:dyDescent="0.5">
      <c r="B438" s="30">
        <v>434</v>
      </c>
      <c r="C438" s="30" t="s">
        <v>966</v>
      </c>
      <c r="D438" s="31">
        <v>2122175</v>
      </c>
      <c r="E438" s="30" t="s">
        <v>967</v>
      </c>
      <c r="F438" s="53" t="s">
        <v>378</v>
      </c>
      <c r="G438" s="32">
        <v>44457</v>
      </c>
      <c r="H438" s="33">
        <v>0.8291087962962963</v>
      </c>
      <c r="I438" s="30" t="s">
        <v>321</v>
      </c>
      <c r="J438" s="34">
        <v>4232840</v>
      </c>
      <c r="K438" s="35" t="s">
        <v>17</v>
      </c>
      <c r="L438" s="36">
        <v>761911.2</v>
      </c>
      <c r="M438" s="30" t="s">
        <v>69</v>
      </c>
      <c r="N438" s="30" t="s">
        <v>41</v>
      </c>
      <c r="O438" s="30" t="s">
        <v>1542</v>
      </c>
      <c r="P438" s="30" t="s">
        <v>1542</v>
      </c>
      <c r="Q438" s="30" t="str">
        <f>VLOOKUP(WEEKDAY(G438),Key!$B$3:$C$9,2,0)</f>
        <v>Saturday</v>
      </c>
      <c r="R438" s="42" t="str">
        <f t="shared" si="18"/>
        <v>Outside</v>
      </c>
      <c r="S438" s="41" t="str">
        <f t="shared" si="19"/>
        <v>Red Flag</v>
      </c>
      <c r="T438" s="30" t="str">
        <f t="shared" si="20"/>
        <v>FY 21-22</v>
      </c>
      <c r="U438" s="30" t="str">
        <f>VLOOKUP(MONTH(G438),Key!$F$3:$G$14,2,0)</f>
        <v>Sep</v>
      </c>
      <c r="V438" s="30" t="str">
        <f>IFERROR(IF(MATCH(F438,'Test 6'!C$5:C$9,0)&gt;0,"RP"),"NON-RP")</f>
        <v>RP</v>
      </c>
    </row>
    <row r="439" spans="2:22" x14ac:dyDescent="0.5">
      <c r="B439" s="30">
        <v>435</v>
      </c>
      <c r="C439" s="30" t="s">
        <v>968</v>
      </c>
      <c r="D439" s="31">
        <v>2122176</v>
      </c>
      <c r="E439" s="30" t="s">
        <v>969</v>
      </c>
      <c r="F439" s="53" t="s">
        <v>203</v>
      </c>
      <c r="G439" s="32">
        <v>44456</v>
      </c>
      <c r="H439" s="33">
        <v>0.49228982840260249</v>
      </c>
      <c r="I439" s="30" t="s">
        <v>321</v>
      </c>
      <c r="J439" s="34">
        <v>347860</v>
      </c>
      <c r="K439" s="35" t="s">
        <v>17</v>
      </c>
      <c r="L439" s="36">
        <v>62614.799999999996</v>
      </c>
      <c r="M439" s="30" t="s">
        <v>28</v>
      </c>
      <c r="N439" s="30" t="s">
        <v>47</v>
      </c>
      <c r="O439" s="30" t="s">
        <v>1542</v>
      </c>
      <c r="P439" s="30" t="s">
        <v>1542</v>
      </c>
      <c r="Q439" s="30" t="str">
        <f>VLOOKUP(WEEKDAY(G439),Key!$B$3:$C$9,2,0)</f>
        <v>Friday</v>
      </c>
      <c r="R439" s="42" t="str">
        <f t="shared" si="18"/>
        <v>Within</v>
      </c>
      <c r="S439" s="41" t="str">
        <f t="shared" si="19"/>
        <v>Pass</v>
      </c>
      <c r="T439" s="30" t="str">
        <f t="shared" si="20"/>
        <v>FY 21-22</v>
      </c>
      <c r="U439" s="30" t="str">
        <f>VLOOKUP(MONTH(G439),Key!$F$3:$G$14,2,0)</f>
        <v>Sep</v>
      </c>
      <c r="V439" s="30" t="str">
        <f>IFERROR(IF(MATCH(F439,'Test 6'!C$5:C$9,0)&gt;0,"RP"),"NON-RP")</f>
        <v>NON-RP</v>
      </c>
    </row>
    <row r="440" spans="2:22" x14ac:dyDescent="0.5">
      <c r="B440" s="30">
        <v>436</v>
      </c>
      <c r="C440" s="30" t="s">
        <v>970</v>
      </c>
      <c r="D440" s="31">
        <v>2122177</v>
      </c>
      <c r="E440" s="30" t="s">
        <v>971</v>
      </c>
      <c r="F440" s="53" t="s">
        <v>290</v>
      </c>
      <c r="G440" s="32">
        <v>44457</v>
      </c>
      <c r="H440" s="33">
        <v>0.57750422637736132</v>
      </c>
      <c r="I440" s="30" t="s">
        <v>321</v>
      </c>
      <c r="J440" s="34">
        <v>342020</v>
      </c>
      <c r="K440" s="35" t="s">
        <v>17</v>
      </c>
      <c r="L440" s="36">
        <v>61563.6</v>
      </c>
      <c r="M440" s="30" t="s">
        <v>46</v>
      </c>
      <c r="N440" s="30" t="s">
        <v>51</v>
      </c>
      <c r="O440" s="30" t="s">
        <v>1542</v>
      </c>
      <c r="P440" s="30" t="s">
        <v>1542</v>
      </c>
      <c r="Q440" s="30" t="str">
        <f>VLOOKUP(WEEKDAY(G440),Key!$B$3:$C$9,2,0)</f>
        <v>Saturday</v>
      </c>
      <c r="R440" s="42" t="str">
        <f t="shared" si="18"/>
        <v>Within</v>
      </c>
      <c r="S440" s="41" t="str">
        <f t="shared" si="19"/>
        <v>Pass</v>
      </c>
      <c r="T440" s="30" t="str">
        <f t="shared" si="20"/>
        <v>FY 21-22</v>
      </c>
      <c r="U440" s="30" t="str">
        <f>VLOOKUP(MONTH(G440),Key!$F$3:$G$14,2,0)</f>
        <v>Sep</v>
      </c>
      <c r="V440" s="30" t="str">
        <f>IFERROR(IF(MATCH(F440,'Test 6'!C$5:C$9,0)&gt;0,"RP"),"NON-RP")</f>
        <v>NON-RP</v>
      </c>
    </row>
    <row r="441" spans="2:22" x14ac:dyDescent="0.5">
      <c r="B441" s="30">
        <v>437</v>
      </c>
      <c r="C441" s="30" t="s">
        <v>972</v>
      </c>
      <c r="D441" s="31">
        <v>2122178</v>
      </c>
      <c r="E441" s="30" t="s">
        <v>973</v>
      </c>
      <c r="F441" s="53" t="s">
        <v>22</v>
      </c>
      <c r="G441" s="32">
        <v>44460</v>
      </c>
      <c r="H441" s="33">
        <v>0.74580333829384582</v>
      </c>
      <c r="I441" s="30" t="s">
        <v>321</v>
      </c>
      <c r="J441" s="34">
        <v>460310</v>
      </c>
      <c r="K441" s="35" t="s">
        <v>17</v>
      </c>
      <c r="L441" s="36">
        <v>82855.8</v>
      </c>
      <c r="M441" s="30" t="s">
        <v>23</v>
      </c>
      <c r="N441" s="30" t="s">
        <v>47</v>
      </c>
      <c r="O441" s="30" t="s">
        <v>1542</v>
      </c>
      <c r="P441" s="30" t="s">
        <v>1542</v>
      </c>
      <c r="Q441" s="30" t="str">
        <f>VLOOKUP(WEEKDAY(G441),Key!$B$3:$C$9,2,0)</f>
        <v>Tuesday</v>
      </c>
      <c r="R441" s="42" t="str">
        <f t="shared" si="18"/>
        <v>Within</v>
      </c>
      <c r="S441" s="41" t="str">
        <f t="shared" si="19"/>
        <v>Pass</v>
      </c>
      <c r="T441" s="30" t="str">
        <f t="shared" si="20"/>
        <v>FY 21-22</v>
      </c>
      <c r="U441" s="30" t="str">
        <f>VLOOKUP(MONTH(G441),Key!$F$3:$G$14,2,0)</f>
        <v>Sep</v>
      </c>
      <c r="V441" s="30" t="str">
        <f>IFERROR(IF(MATCH(F441,'Test 6'!C$5:C$9,0)&gt;0,"RP"),"NON-RP")</f>
        <v>NON-RP</v>
      </c>
    </row>
    <row r="442" spans="2:22" x14ac:dyDescent="0.5">
      <c r="B442" s="30">
        <v>438</v>
      </c>
      <c r="C442" s="30" t="s">
        <v>974</v>
      </c>
      <c r="D442" s="31">
        <v>2122179</v>
      </c>
      <c r="E442" s="30" t="s">
        <v>975</v>
      </c>
      <c r="F442" s="53" t="s">
        <v>175</v>
      </c>
      <c r="G442" s="32">
        <v>44461</v>
      </c>
      <c r="H442" s="33">
        <v>0.43908154175729242</v>
      </c>
      <c r="I442" s="30" t="s">
        <v>321</v>
      </c>
      <c r="J442" s="34">
        <v>270810</v>
      </c>
      <c r="K442" s="35" t="s">
        <v>17</v>
      </c>
      <c r="L442" s="36">
        <v>48745.799999999996</v>
      </c>
      <c r="M442" s="30" t="s">
        <v>23</v>
      </c>
      <c r="N442" s="30" t="s">
        <v>24</v>
      </c>
      <c r="O442" s="30" t="s">
        <v>1542</v>
      </c>
      <c r="P442" s="30" t="s">
        <v>1542</v>
      </c>
      <c r="Q442" s="30" t="str">
        <f>VLOOKUP(WEEKDAY(G442),Key!$B$3:$C$9,2,0)</f>
        <v>Wednesday</v>
      </c>
      <c r="R442" s="42" t="str">
        <f t="shared" si="18"/>
        <v>Within</v>
      </c>
      <c r="S442" s="41" t="str">
        <f t="shared" si="19"/>
        <v>Pass</v>
      </c>
      <c r="T442" s="30" t="str">
        <f t="shared" si="20"/>
        <v>FY 21-22</v>
      </c>
      <c r="U442" s="30" t="str">
        <f>VLOOKUP(MONTH(G442),Key!$F$3:$G$14,2,0)</f>
        <v>Sep</v>
      </c>
      <c r="V442" s="30" t="str">
        <f>IFERROR(IF(MATCH(F442,'Test 6'!C$5:C$9,0)&gt;0,"RP"),"NON-RP")</f>
        <v>NON-RP</v>
      </c>
    </row>
    <row r="443" spans="2:22" x14ac:dyDescent="0.5">
      <c r="B443" s="30">
        <v>439</v>
      </c>
      <c r="C443" s="30" t="s">
        <v>976</v>
      </c>
      <c r="D443" s="31">
        <v>2122180</v>
      </c>
      <c r="E443" s="30" t="s">
        <v>977</v>
      </c>
      <c r="F443" s="53" t="s">
        <v>77</v>
      </c>
      <c r="G443" s="32">
        <v>44463</v>
      </c>
      <c r="H443" s="33">
        <v>0.54375999469692748</v>
      </c>
      <c r="I443" s="30" t="s">
        <v>321</v>
      </c>
      <c r="J443" s="34">
        <v>386860</v>
      </c>
      <c r="K443" s="35" t="s">
        <v>17</v>
      </c>
      <c r="L443" s="36">
        <v>69634.8</v>
      </c>
      <c r="M443" s="30" t="s">
        <v>23</v>
      </c>
      <c r="N443" s="30" t="s">
        <v>24</v>
      </c>
      <c r="O443" s="30" t="s">
        <v>1542</v>
      </c>
      <c r="P443" s="30" t="s">
        <v>1542</v>
      </c>
      <c r="Q443" s="30" t="str">
        <f>VLOOKUP(WEEKDAY(G443),Key!$B$3:$C$9,2,0)</f>
        <v>Friday</v>
      </c>
      <c r="R443" s="42" t="str">
        <f t="shared" si="18"/>
        <v>Within</v>
      </c>
      <c r="S443" s="41" t="str">
        <f t="shared" si="19"/>
        <v>Pass</v>
      </c>
      <c r="T443" s="30" t="str">
        <f t="shared" si="20"/>
        <v>FY 21-22</v>
      </c>
      <c r="U443" s="30" t="str">
        <f>VLOOKUP(MONTH(G443),Key!$F$3:$G$14,2,0)</f>
        <v>Sep</v>
      </c>
      <c r="V443" s="30" t="str">
        <f>IFERROR(IF(MATCH(F443,'Test 6'!C$5:C$9,0)&gt;0,"RP"),"NON-RP")</f>
        <v>NON-RP</v>
      </c>
    </row>
    <row r="444" spans="2:22" x14ac:dyDescent="0.5">
      <c r="B444" s="30">
        <v>440</v>
      </c>
      <c r="C444" s="30" t="s">
        <v>978</v>
      </c>
      <c r="D444" s="31">
        <v>2122181</v>
      </c>
      <c r="E444" s="30" t="s">
        <v>979</v>
      </c>
      <c r="F444" s="53" t="s">
        <v>187</v>
      </c>
      <c r="G444" s="32">
        <v>44467</v>
      </c>
      <c r="H444" s="33">
        <v>0.62736324622560713</v>
      </c>
      <c r="I444" s="30" t="s">
        <v>321</v>
      </c>
      <c r="J444" s="34">
        <v>263750</v>
      </c>
      <c r="K444" s="35" t="s">
        <v>17</v>
      </c>
      <c r="L444" s="36">
        <v>47475</v>
      </c>
      <c r="M444" s="30" t="s">
        <v>32</v>
      </c>
      <c r="N444" s="30" t="s">
        <v>24</v>
      </c>
      <c r="O444" s="30" t="s">
        <v>1542</v>
      </c>
      <c r="P444" s="30" t="s">
        <v>1542</v>
      </c>
      <c r="Q444" s="30" t="str">
        <f>VLOOKUP(WEEKDAY(G444),Key!$B$3:$C$9,2,0)</f>
        <v>Tuesday</v>
      </c>
      <c r="R444" s="42" t="str">
        <f t="shared" si="18"/>
        <v>Within</v>
      </c>
      <c r="S444" s="41" t="str">
        <f t="shared" si="19"/>
        <v>Pass</v>
      </c>
      <c r="T444" s="30" t="str">
        <f t="shared" si="20"/>
        <v>FY 21-22</v>
      </c>
      <c r="U444" s="30" t="str">
        <f>VLOOKUP(MONTH(G444),Key!$F$3:$G$14,2,0)</f>
        <v>Sep</v>
      </c>
      <c r="V444" s="30" t="str">
        <f>IFERROR(IF(MATCH(F444,'Test 6'!C$5:C$9,0)&gt;0,"RP"),"NON-RP")</f>
        <v>NON-RP</v>
      </c>
    </row>
    <row r="445" spans="2:22" x14ac:dyDescent="0.5">
      <c r="B445" s="30">
        <v>441</v>
      </c>
      <c r="C445" s="30" t="s">
        <v>980</v>
      </c>
      <c r="D445" s="31">
        <v>2122182</v>
      </c>
      <c r="E445" s="30" t="s">
        <v>981</v>
      </c>
      <c r="F445" s="53" t="s">
        <v>119</v>
      </c>
      <c r="G445" s="32">
        <v>44467</v>
      </c>
      <c r="H445" s="33">
        <v>0.67424819039487449</v>
      </c>
      <c r="I445" s="30" t="s">
        <v>321</v>
      </c>
      <c r="J445" s="34">
        <v>319680</v>
      </c>
      <c r="K445" s="35" t="s">
        <v>17</v>
      </c>
      <c r="L445" s="36">
        <v>57542.400000000001</v>
      </c>
      <c r="M445" s="30" t="s">
        <v>28</v>
      </c>
      <c r="N445" s="30" t="s">
        <v>19</v>
      </c>
      <c r="O445" s="30" t="s">
        <v>1542</v>
      </c>
      <c r="P445" s="30" t="s">
        <v>1542</v>
      </c>
      <c r="Q445" s="30" t="str">
        <f>VLOOKUP(WEEKDAY(G445),Key!$B$3:$C$9,2,0)</f>
        <v>Tuesday</v>
      </c>
      <c r="R445" s="42" t="str">
        <f t="shared" si="18"/>
        <v>Within</v>
      </c>
      <c r="S445" s="41" t="str">
        <f t="shared" si="19"/>
        <v>Pass</v>
      </c>
      <c r="T445" s="30" t="str">
        <f t="shared" si="20"/>
        <v>FY 21-22</v>
      </c>
      <c r="U445" s="30" t="str">
        <f>VLOOKUP(MONTH(G445),Key!$F$3:$G$14,2,0)</f>
        <v>Sep</v>
      </c>
      <c r="V445" s="30" t="str">
        <f>IFERROR(IF(MATCH(F445,'Test 6'!C$5:C$9,0)&gt;0,"RP"),"NON-RP")</f>
        <v>NON-RP</v>
      </c>
    </row>
    <row r="446" spans="2:22" x14ac:dyDescent="0.5">
      <c r="B446" s="30">
        <v>442</v>
      </c>
      <c r="C446" s="30" t="s">
        <v>982</v>
      </c>
      <c r="D446" s="31">
        <v>2122183</v>
      </c>
      <c r="E446" s="30" t="s">
        <v>983</v>
      </c>
      <c r="F446" s="53" t="s">
        <v>608</v>
      </c>
      <c r="G446" s="32">
        <v>44471</v>
      </c>
      <c r="H446" s="33">
        <v>0.73384555206602342</v>
      </c>
      <c r="I446" s="30" t="s">
        <v>383</v>
      </c>
      <c r="J446" s="34">
        <v>471860</v>
      </c>
      <c r="K446" s="35" t="s">
        <v>17</v>
      </c>
      <c r="L446" s="36">
        <v>84934.8</v>
      </c>
      <c r="M446" s="30" t="s">
        <v>61</v>
      </c>
      <c r="N446" s="30" t="s">
        <v>24</v>
      </c>
      <c r="O446" s="30" t="s">
        <v>1542</v>
      </c>
      <c r="P446" s="30" t="s">
        <v>1542</v>
      </c>
      <c r="Q446" s="30" t="str">
        <f>VLOOKUP(WEEKDAY(G446),Key!$B$3:$C$9,2,0)</f>
        <v>Saturday</v>
      </c>
      <c r="R446" s="42" t="str">
        <f t="shared" si="18"/>
        <v>Within</v>
      </c>
      <c r="S446" s="41" t="str">
        <f t="shared" si="19"/>
        <v>Pass</v>
      </c>
      <c r="T446" s="30" t="str">
        <f t="shared" si="20"/>
        <v>FY 21-22</v>
      </c>
      <c r="U446" s="30" t="str">
        <f>VLOOKUP(MONTH(G446),Key!$F$3:$G$14,2,0)</f>
        <v>Oct</v>
      </c>
      <c r="V446" s="30" t="str">
        <f>IFERROR(IF(MATCH(F446,'Test 6'!C$5:C$9,0)&gt;0,"RP"),"NON-RP")</f>
        <v>NON-RP</v>
      </c>
    </row>
    <row r="447" spans="2:22" x14ac:dyDescent="0.5">
      <c r="B447" s="30">
        <v>443</v>
      </c>
      <c r="C447" s="30" t="s">
        <v>984</v>
      </c>
      <c r="D447" s="31">
        <v>2122184</v>
      </c>
      <c r="E447" s="30" t="s">
        <v>985</v>
      </c>
      <c r="F447" s="53" t="s">
        <v>131</v>
      </c>
      <c r="G447" s="32">
        <v>44474</v>
      </c>
      <c r="H447" s="33">
        <v>0.70833082177084294</v>
      </c>
      <c r="I447" s="30" t="s">
        <v>383</v>
      </c>
      <c r="J447" s="34">
        <v>290660</v>
      </c>
      <c r="K447" s="35" t="s">
        <v>17</v>
      </c>
      <c r="L447" s="36">
        <v>52318.799999999996</v>
      </c>
      <c r="M447" s="30" t="s">
        <v>23</v>
      </c>
      <c r="N447" s="30" t="s">
        <v>68</v>
      </c>
      <c r="O447" s="30" t="s">
        <v>1542</v>
      </c>
      <c r="P447" s="30" t="s">
        <v>1542</v>
      </c>
      <c r="Q447" s="30" t="str">
        <f>VLOOKUP(WEEKDAY(G447),Key!$B$3:$C$9,2,0)</f>
        <v>Tuesday</v>
      </c>
      <c r="R447" s="42" t="str">
        <f t="shared" si="18"/>
        <v>Within</v>
      </c>
      <c r="S447" s="41" t="str">
        <f t="shared" si="19"/>
        <v>Pass</v>
      </c>
      <c r="T447" s="30" t="str">
        <f t="shared" si="20"/>
        <v>FY 21-22</v>
      </c>
      <c r="U447" s="30" t="str">
        <f>VLOOKUP(MONTH(G447),Key!$F$3:$G$14,2,0)</f>
        <v>Oct</v>
      </c>
      <c r="V447" s="30" t="str">
        <f>IFERROR(IF(MATCH(F447,'Test 6'!C$5:C$9,0)&gt;0,"RP"),"NON-RP")</f>
        <v>NON-RP</v>
      </c>
    </row>
    <row r="448" spans="2:22" x14ac:dyDescent="0.5">
      <c r="B448" s="30">
        <v>444</v>
      </c>
      <c r="C448" s="30" t="s">
        <v>986</v>
      </c>
      <c r="D448" s="31">
        <v>2122185</v>
      </c>
      <c r="E448" s="30" t="s">
        <v>987</v>
      </c>
      <c r="F448" s="53" t="s">
        <v>95</v>
      </c>
      <c r="G448" s="32">
        <v>44474</v>
      </c>
      <c r="H448" s="33">
        <v>0.54511619586077964</v>
      </c>
      <c r="I448" s="30" t="s">
        <v>383</v>
      </c>
      <c r="J448" s="34">
        <v>300150</v>
      </c>
      <c r="K448" s="35" t="s">
        <v>17</v>
      </c>
      <c r="L448" s="36">
        <v>54027</v>
      </c>
      <c r="M448" s="30" t="s">
        <v>61</v>
      </c>
      <c r="N448" s="30" t="s">
        <v>51</v>
      </c>
      <c r="O448" s="30" t="s">
        <v>1542</v>
      </c>
      <c r="P448" s="30" t="s">
        <v>1542</v>
      </c>
      <c r="Q448" s="30" t="str">
        <f>VLOOKUP(WEEKDAY(G448),Key!$B$3:$C$9,2,0)</f>
        <v>Tuesday</v>
      </c>
      <c r="R448" s="42" t="str">
        <f t="shared" si="18"/>
        <v>Within</v>
      </c>
      <c r="S448" s="41" t="str">
        <f t="shared" si="19"/>
        <v>Pass</v>
      </c>
      <c r="T448" s="30" t="str">
        <f t="shared" si="20"/>
        <v>FY 21-22</v>
      </c>
      <c r="U448" s="30" t="str">
        <f>VLOOKUP(MONTH(G448),Key!$F$3:$G$14,2,0)</f>
        <v>Oct</v>
      </c>
      <c r="V448" s="30" t="str">
        <f>IFERROR(IF(MATCH(F448,'Test 6'!C$5:C$9,0)&gt;0,"RP"),"NON-RP")</f>
        <v>NON-RP</v>
      </c>
    </row>
    <row r="449" spans="2:22" x14ac:dyDescent="0.5">
      <c r="B449" s="30">
        <v>445</v>
      </c>
      <c r="C449" s="30" t="s">
        <v>988</v>
      </c>
      <c r="D449" s="31">
        <v>2122186</v>
      </c>
      <c r="E449" s="30" t="s">
        <v>989</v>
      </c>
      <c r="F449" s="53" t="s">
        <v>87</v>
      </c>
      <c r="G449" s="32">
        <v>44477</v>
      </c>
      <c r="H449" s="33">
        <v>0.45140524367233648</v>
      </c>
      <c r="I449" s="30" t="s">
        <v>383</v>
      </c>
      <c r="J449" s="34">
        <v>236150</v>
      </c>
      <c r="K449" s="35" t="s">
        <v>17</v>
      </c>
      <c r="L449" s="36">
        <v>42507</v>
      </c>
      <c r="M449" s="30" t="s">
        <v>46</v>
      </c>
      <c r="N449" s="30" t="s">
        <v>68</v>
      </c>
      <c r="O449" s="30" t="s">
        <v>1542</v>
      </c>
      <c r="P449" s="30" t="s">
        <v>1542</v>
      </c>
      <c r="Q449" s="30" t="str">
        <f>VLOOKUP(WEEKDAY(G449),Key!$B$3:$C$9,2,0)</f>
        <v>Friday</v>
      </c>
      <c r="R449" s="42" t="str">
        <f t="shared" si="18"/>
        <v>Within</v>
      </c>
      <c r="S449" s="41" t="str">
        <f t="shared" si="19"/>
        <v>Pass</v>
      </c>
      <c r="T449" s="30" t="str">
        <f t="shared" si="20"/>
        <v>FY 21-22</v>
      </c>
      <c r="U449" s="30" t="str">
        <f>VLOOKUP(MONTH(G449),Key!$F$3:$G$14,2,0)</f>
        <v>Oct</v>
      </c>
      <c r="V449" s="30" t="str">
        <f>IFERROR(IF(MATCH(F449,'Test 6'!C$5:C$9,0)&gt;0,"RP"),"NON-RP")</f>
        <v>NON-RP</v>
      </c>
    </row>
    <row r="450" spans="2:22" x14ac:dyDescent="0.5">
      <c r="B450" s="30">
        <v>446</v>
      </c>
      <c r="C450" s="30" t="s">
        <v>1310</v>
      </c>
      <c r="D450" s="31">
        <v>2122187</v>
      </c>
      <c r="E450" s="30" t="s">
        <v>990</v>
      </c>
      <c r="F450" s="53" t="s">
        <v>15</v>
      </c>
      <c r="G450" s="32">
        <v>44478</v>
      </c>
      <c r="H450" s="33">
        <v>0.4657762261286672</v>
      </c>
      <c r="I450" s="30" t="s">
        <v>383</v>
      </c>
      <c r="J450" s="34">
        <v>484220</v>
      </c>
      <c r="K450" s="35" t="s">
        <v>17</v>
      </c>
      <c r="L450" s="36">
        <v>87159.599999999991</v>
      </c>
      <c r="M450" s="30" t="s">
        <v>23</v>
      </c>
      <c r="N450" s="30" t="s">
        <v>51</v>
      </c>
      <c r="O450" s="30" t="s">
        <v>1542</v>
      </c>
      <c r="P450" s="30" t="s">
        <v>1542</v>
      </c>
      <c r="Q450" s="30" t="str">
        <f>VLOOKUP(WEEKDAY(G450),Key!$B$3:$C$9,2,0)</f>
        <v>Saturday</v>
      </c>
      <c r="R450" s="42" t="str">
        <f t="shared" si="18"/>
        <v>Within</v>
      </c>
      <c r="S450" s="41" t="str">
        <f t="shared" si="19"/>
        <v>Pass</v>
      </c>
      <c r="T450" s="30" t="str">
        <f t="shared" si="20"/>
        <v>FY 21-22</v>
      </c>
      <c r="U450" s="30" t="str">
        <f>VLOOKUP(MONTH(G450),Key!$F$3:$G$14,2,0)</f>
        <v>Oct</v>
      </c>
      <c r="V450" s="30" t="str">
        <f>IFERROR(IF(MATCH(F450,'Test 6'!C$5:C$9,0)&gt;0,"RP"),"NON-RP")</f>
        <v>NON-RP</v>
      </c>
    </row>
    <row r="451" spans="2:22" x14ac:dyDescent="0.5">
      <c r="B451" s="30">
        <v>447</v>
      </c>
      <c r="C451" s="30" t="s">
        <v>991</v>
      </c>
      <c r="D451" s="31">
        <v>2122188</v>
      </c>
      <c r="E451" s="30" t="s">
        <v>992</v>
      </c>
      <c r="F451" s="53" t="s">
        <v>269</v>
      </c>
      <c r="G451" s="32">
        <v>44480</v>
      </c>
      <c r="H451" s="33">
        <v>0.70523649615550732</v>
      </c>
      <c r="I451" s="30" t="s">
        <v>383</v>
      </c>
      <c r="J451" s="34">
        <v>255870</v>
      </c>
      <c r="K451" s="35" t="s">
        <v>17</v>
      </c>
      <c r="L451" s="36">
        <v>46056.6</v>
      </c>
      <c r="M451" s="30" t="s">
        <v>37</v>
      </c>
      <c r="N451" s="30" t="s">
        <v>47</v>
      </c>
      <c r="O451" s="30" t="s">
        <v>1542</v>
      </c>
      <c r="P451" s="30" t="s">
        <v>1542</v>
      </c>
      <c r="Q451" s="30" t="str">
        <f>VLOOKUP(WEEKDAY(G451),Key!$B$3:$C$9,2,0)</f>
        <v>Monday</v>
      </c>
      <c r="R451" s="42" t="str">
        <f t="shared" si="18"/>
        <v>Within</v>
      </c>
      <c r="S451" s="41" t="str">
        <f t="shared" si="19"/>
        <v>Pass</v>
      </c>
      <c r="T451" s="30" t="str">
        <f t="shared" si="20"/>
        <v>FY 21-22</v>
      </c>
      <c r="U451" s="30" t="str">
        <f>VLOOKUP(MONTH(G451),Key!$F$3:$G$14,2,0)</f>
        <v>Oct</v>
      </c>
      <c r="V451" s="30" t="str">
        <f>IFERROR(IF(MATCH(F451,'Test 6'!C$5:C$9,0)&gt;0,"RP"),"NON-RP")</f>
        <v>NON-RP</v>
      </c>
    </row>
    <row r="452" spans="2:22" x14ac:dyDescent="0.5">
      <c r="B452" s="30">
        <v>448</v>
      </c>
      <c r="C452" s="30" t="s">
        <v>993</v>
      </c>
      <c r="D452" s="31">
        <v>2122189</v>
      </c>
      <c r="E452" s="30" t="s">
        <v>994</v>
      </c>
      <c r="F452" s="53" t="s">
        <v>64</v>
      </c>
      <c r="G452" s="32">
        <v>44480</v>
      </c>
      <c r="H452" s="33">
        <v>0.42930478567189878</v>
      </c>
      <c r="I452" s="30" t="s">
        <v>321</v>
      </c>
      <c r="J452" s="34">
        <v>347200</v>
      </c>
      <c r="K452" s="35" t="s">
        <v>17</v>
      </c>
      <c r="L452" s="36">
        <v>62496</v>
      </c>
      <c r="M452" s="30" t="s">
        <v>18</v>
      </c>
      <c r="N452" s="30" t="s">
        <v>51</v>
      </c>
      <c r="O452" s="30" t="s">
        <v>1542</v>
      </c>
      <c r="P452" s="30" t="s">
        <v>1542</v>
      </c>
      <c r="Q452" s="30" t="str">
        <f>VLOOKUP(WEEKDAY(G452),Key!$B$3:$C$9,2,0)</f>
        <v>Monday</v>
      </c>
      <c r="R452" s="42" t="str">
        <f t="shared" si="18"/>
        <v>Within</v>
      </c>
      <c r="S452" s="41" t="str">
        <f t="shared" si="19"/>
        <v>Pass</v>
      </c>
      <c r="T452" s="30" t="str">
        <f t="shared" si="20"/>
        <v>FY 21-22</v>
      </c>
      <c r="U452" s="30" t="str">
        <f>VLOOKUP(MONTH(G452),Key!$F$3:$G$14,2,0)</f>
        <v>Oct</v>
      </c>
      <c r="V452" s="30" t="str">
        <f>IFERROR(IF(MATCH(F452,'Test 6'!C$5:C$9,0)&gt;0,"RP"),"NON-RP")</f>
        <v>NON-RP</v>
      </c>
    </row>
    <row r="453" spans="2:22" x14ac:dyDescent="0.5">
      <c r="B453" s="30">
        <v>449</v>
      </c>
      <c r="C453" s="30" t="s">
        <v>995</v>
      </c>
      <c r="D453" s="31">
        <v>2122190</v>
      </c>
      <c r="E453" s="30" t="s">
        <v>996</v>
      </c>
      <c r="F453" s="53" t="s">
        <v>332</v>
      </c>
      <c r="G453" s="32">
        <v>44485</v>
      </c>
      <c r="H453" s="33">
        <v>0.46884438799557926</v>
      </c>
      <c r="I453" s="30" t="s">
        <v>383</v>
      </c>
      <c r="J453" s="34">
        <v>445290</v>
      </c>
      <c r="K453" s="35" t="s">
        <v>17</v>
      </c>
      <c r="L453" s="36">
        <v>80152.2</v>
      </c>
      <c r="M453" s="30" t="s">
        <v>28</v>
      </c>
      <c r="N453" s="30" t="s">
        <v>47</v>
      </c>
      <c r="O453" s="30" t="s">
        <v>1542</v>
      </c>
      <c r="P453" s="30" t="s">
        <v>1542</v>
      </c>
      <c r="Q453" s="30" t="str">
        <f>VLOOKUP(WEEKDAY(G453),Key!$B$3:$C$9,2,0)</f>
        <v>Saturday</v>
      </c>
      <c r="R453" s="42" t="str">
        <f t="shared" ref="R453:R516" si="21">IF(AND(H453&lt;TIME(18,0,0),H453&gt;TIME(10,0,0)),"Within","Outside")</f>
        <v>Within</v>
      </c>
      <c r="S453" s="41" t="str">
        <f t="shared" si="19"/>
        <v>Pass</v>
      </c>
      <c r="T453" s="30" t="str">
        <f t="shared" si="20"/>
        <v>FY 21-22</v>
      </c>
      <c r="U453" s="30" t="str">
        <f>VLOOKUP(MONTH(G453),Key!$F$3:$G$14,2,0)</f>
        <v>Oct</v>
      </c>
      <c r="V453" s="30" t="str">
        <f>IFERROR(IF(MATCH(F453,'Test 6'!C$5:C$9,0)&gt;0,"RP"),"NON-RP")</f>
        <v>NON-RP</v>
      </c>
    </row>
    <row r="454" spans="2:22" x14ac:dyDescent="0.5">
      <c r="B454" s="30">
        <v>450</v>
      </c>
      <c r="C454" s="30" t="s">
        <v>997</v>
      </c>
      <c r="D454" s="31">
        <v>2122191</v>
      </c>
      <c r="E454" s="30" t="s">
        <v>998</v>
      </c>
      <c r="F454" s="53" t="s">
        <v>35</v>
      </c>
      <c r="G454" s="32">
        <v>44487</v>
      </c>
      <c r="H454" s="33">
        <v>0.58598114963045522</v>
      </c>
      <c r="I454" s="30" t="s">
        <v>383</v>
      </c>
      <c r="J454" s="34">
        <v>383380</v>
      </c>
      <c r="K454" s="35" t="s">
        <v>17</v>
      </c>
      <c r="L454" s="36">
        <v>69008.399999999994</v>
      </c>
      <c r="M454" s="30" t="s">
        <v>61</v>
      </c>
      <c r="N454" s="30" t="s">
        <v>19</v>
      </c>
      <c r="O454" s="30" t="s">
        <v>1542</v>
      </c>
      <c r="P454" s="30" t="s">
        <v>1542</v>
      </c>
      <c r="Q454" s="30" t="str">
        <f>VLOOKUP(WEEKDAY(G454),Key!$B$3:$C$9,2,0)</f>
        <v>Monday</v>
      </c>
      <c r="R454" s="42" t="str">
        <f t="shared" si="21"/>
        <v>Within</v>
      </c>
      <c r="S454" s="41" t="str">
        <f t="shared" ref="S454:S517" si="22">IF(OR(Q454="Sunday",R454="outside"),"Red Flag","Pass")</f>
        <v>Pass</v>
      </c>
      <c r="T454" s="30" t="str">
        <f t="shared" ref="T454:T517" si="23">IF(AND(DATE(2021,4,1)&lt;=G454,G454&lt;=DATE(2022,3,31)),"FY 21-22","FY 20-21")</f>
        <v>FY 21-22</v>
      </c>
      <c r="U454" s="30" t="str">
        <f>VLOOKUP(MONTH(G454),Key!$F$3:$G$14,2,0)</f>
        <v>Oct</v>
      </c>
      <c r="V454" s="30" t="str">
        <f>IFERROR(IF(MATCH(F454,'Test 6'!C$5:C$9,0)&gt;0,"RP"),"NON-RP")</f>
        <v>NON-RP</v>
      </c>
    </row>
    <row r="455" spans="2:22" x14ac:dyDescent="0.5">
      <c r="B455" s="30">
        <v>451</v>
      </c>
      <c r="C455" s="30" t="s">
        <v>999</v>
      </c>
      <c r="D455" s="31">
        <v>2122192</v>
      </c>
      <c r="E455" s="30" t="s">
        <v>1000</v>
      </c>
      <c r="F455" s="53" t="s">
        <v>64</v>
      </c>
      <c r="G455" s="32">
        <v>44487</v>
      </c>
      <c r="H455" s="33">
        <v>0.53043636517004111</v>
      </c>
      <c r="I455" s="30" t="s">
        <v>383</v>
      </c>
      <c r="J455" s="34">
        <v>457640</v>
      </c>
      <c r="K455" s="35" t="s">
        <v>17</v>
      </c>
      <c r="L455" s="36">
        <v>82375.199999999997</v>
      </c>
      <c r="M455" s="30" t="s">
        <v>37</v>
      </c>
      <c r="N455" s="30" t="s">
        <v>19</v>
      </c>
      <c r="O455" s="30" t="s">
        <v>1542</v>
      </c>
      <c r="P455" s="30" t="s">
        <v>1542</v>
      </c>
      <c r="Q455" s="30" t="str">
        <f>VLOOKUP(WEEKDAY(G455),Key!$B$3:$C$9,2,0)</f>
        <v>Monday</v>
      </c>
      <c r="R455" s="42" t="str">
        <f t="shared" si="21"/>
        <v>Within</v>
      </c>
      <c r="S455" s="41" t="str">
        <f t="shared" si="22"/>
        <v>Pass</v>
      </c>
      <c r="T455" s="30" t="str">
        <f t="shared" si="23"/>
        <v>FY 21-22</v>
      </c>
      <c r="U455" s="30" t="str">
        <f>VLOOKUP(MONTH(G455),Key!$F$3:$G$14,2,0)</f>
        <v>Oct</v>
      </c>
      <c r="V455" s="30" t="str">
        <f>IFERROR(IF(MATCH(F455,'Test 6'!C$5:C$9,0)&gt;0,"RP"),"NON-RP")</f>
        <v>NON-RP</v>
      </c>
    </row>
    <row r="456" spans="2:22" x14ac:dyDescent="0.5">
      <c r="B456" s="30">
        <v>452</v>
      </c>
      <c r="C456" s="30" t="s">
        <v>1001</v>
      </c>
      <c r="D456" s="31">
        <v>2122193</v>
      </c>
      <c r="E456" s="30" t="s">
        <v>1002</v>
      </c>
      <c r="F456" s="53" t="s">
        <v>67</v>
      </c>
      <c r="G456" s="32">
        <v>44488</v>
      </c>
      <c r="H456" s="33">
        <v>0.71258181091504014</v>
      </c>
      <c r="I456" s="30" t="s">
        <v>383</v>
      </c>
      <c r="J456" s="34">
        <v>303020</v>
      </c>
      <c r="K456" s="35" t="s">
        <v>17</v>
      </c>
      <c r="L456" s="36">
        <v>54543.6</v>
      </c>
      <c r="M456" s="30" t="s">
        <v>32</v>
      </c>
      <c r="N456" s="30" t="s">
        <v>51</v>
      </c>
      <c r="O456" s="30" t="s">
        <v>1542</v>
      </c>
      <c r="P456" s="30" t="s">
        <v>1542</v>
      </c>
      <c r="Q456" s="30" t="str">
        <f>VLOOKUP(WEEKDAY(G456),Key!$B$3:$C$9,2,0)</f>
        <v>Tuesday</v>
      </c>
      <c r="R456" s="42" t="str">
        <f t="shared" si="21"/>
        <v>Within</v>
      </c>
      <c r="S456" s="41" t="str">
        <f t="shared" si="22"/>
        <v>Pass</v>
      </c>
      <c r="T456" s="30" t="str">
        <f t="shared" si="23"/>
        <v>FY 21-22</v>
      </c>
      <c r="U456" s="30" t="str">
        <f>VLOOKUP(MONTH(G456),Key!$F$3:$G$14,2,0)</f>
        <v>Oct</v>
      </c>
      <c r="V456" s="30" t="str">
        <f>IFERROR(IF(MATCH(F456,'Test 6'!C$5:C$9,0)&gt;0,"RP"),"NON-RP")</f>
        <v>NON-RP</v>
      </c>
    </row>
    <row r="457" spans="2:22" x14ac:dyDescent="0.5">
      <c r="B457" s="30">
        <v>453</v>
      </c>
      <c r="C457" s="30" t="s">
        <v>1003</v>
      </c>
      <c r="D457" s="31">
        <v>2122194</v>
      </c>
      <c r="E457" s="30" t="s">
        <v>1004</v>
      </c>
      <c r="F457" s="53" t="s">
        <v>195</v>
      </c>
      <c r="G457" s="32">
        <v>44489</v>
      </c>
      <c r="H457" s="33">
        <v>0.57329672955220268</v>
      </c>
      <c r="I457" s="30" t="s">
        <v>383</v>
      </c>
      <c r="J457" s="34">
        <v>207730</v>
      </c>
      <c r="K457" s="35" t="s">
        <v>17</v>
      </c>
      <c r="L457" s="36">
        <v>37391.4</v>
      </c>
      <c r="M457" s="30" t="s">
        <v>61</v>
      </c>
      <c r="N457" s="30" t="s">
        <v>47</v>
      </c>
      <c r="O457" s="30" t="s">
        <v>1542</v>
      </c>
      <c r="P457" s="30" t="s">
        <v>1542</v>
      </c>
      <c r="Q457" s="30" t="str">
        <f>VLOOKUP(WEEKDAY(G457),Key!$B$3:$C$9,2,0)</f>
        <v>Wednesday</v>
      </c>
      <c r="R457" s="42" t="str">
        <f t="shared" si="21"/>
        <v>Within</v>
      </c>
      <c r="S457" s="41" t="str">
        <f t="shared" si="22"/>
        <v>Pass</v>
      </c>
      <c r="T457" s="30" t="str">
        <f t="shared" si="23"/>
        <v>FY 21-22</v>
      </c>
      <c r="U457" s="30" t="str">
        <f>VLOOKUP(MONTH(G457),Key!$F$3:$G$14,2,0)</f>
        <v>Oct</v>
      </c>
      <c r="V457" s="30" t="str">
        <f>IFERROR(IF(MATCH(F457,'Test 6'!C$5:C$9,0)&gt;0,"RP"),"NON-RP")</f>
        <v>NON-RP</v>
      </c>
    </row>
    <row r="458" spans="2:22" x14ac:dyDescent="0.5">
      <c r="B458" s="30">
        <v>454</v>
      </c>
      <c r="C458" s="30" t="s">
        <v>1005</v>
      </c>
      <c r="D458" s="31">
        <v>2122195</v>
      </c>
      <c r="E458" s="30" t="s">
        <v>1006</v>
      </c>
      <c r="F458" s="53" t="s">
        <v>57</v>
      </c>
      <c r="G458" s="32">
        <v>44489</v>
      </c>
      <c r="H458" s="33">
        <v>0.43100994611071985</v>
      </c>
      <c r="I458" s="30" t="s">
        <v>383</v>
      </c>
      <c r="J458" s="34">
        <v>308420</v>
      </c>
      <c r="K458" s="35" t="s">
        <v>17</v>
      </c>
      <c r="L458" s="36">
        <v>55515.6</v>
      </c>
      <c r="M458" s="30" t="s">
        <v>28</v>
      </c>
      <c r="N458" s="30" t="s">
        <v>24</v>
      </c>
      <c r="O458" s="30" t="s">
        <v>1542</v>
      </c>
      <c r="P458" s="30" t="s">
        <v>1542</v>
      </c>
      <c r="Q458" s="30" t="str">
        <f>VLOOKUP(WEEKDAY(G458),Key!$B$3:$C$9,2,0)</f>
        <v>Wednesday</v>
      </c>
      <c r="R458" s="42" t="str">
        <f t="shared" si="21"/>
        <v>Within</v>
      </c>
      <c r="S458" s="41" t="str">
        <f t="shared" si="22"/>
        <v>Pass</v>
      </c>
      <c r="T458" s="30" t="str">
        <f t="shared" si="23"/>
        <v>FY 21-22</v>
      </c>
      <c r="U458" s="30" t="str">
        <f>VLOOKUP(MONTH(G458),Key!$F$3:$G$14,2,0)</f>
        <v>Oct</v>
      </c>
      <c r="V458" s="30" t="str">
        <f>IFERROR(IF(MATCH(F458,'Test 6'!C$5:C$9,0)&gt;0,"RP"),"NON-RP")</f>
        <v>NON-RP</v>
      </c>
    </row>
    <row r="459" spans="2:22" x14ac:dyDescent="0.5">
      <c r="B459" s="30">
        <v>455</v>
      </c>
      <c r="C459" s="30" t="s">
        <v>1007</v>
      </c>
      <c r="D459" s="31">
        <v>2122196</v>
      </c>
      <c r="E459" s="30" t="s">
        <v>1008</v>
      </c>
      <c r="F459" s="53" t="s">
        <v>95</v>
      </c>
      <c r="G459" s="32">
        <v>44490</v>
      </c>
      <c r="H459" s="33">
        <v>0.45522748428035836</v>
      </c>
      <c r="I459" s="30" t="s">
        <v>383</v>
      </c>
      <c r="J459" s="34">
        <v>408590</v>
      </c>
      <c r="K459" s="35" t="s">
        <v>17</v>
      </c>
      <c r="L459" s="36">
        <v>73546.2</v>
      </c>
      <c r="M459" s="30" t="s">
        <v>32</v>
      </c>
      <c r="N459" s="30" t="s">
        <v>19</v>
      </c>
      <c r="O459" s="30" t="s">
        <v>1542</v>
      </c>
      <c r="P459" s="30" t="s">
        <v>1542</v>
      </c>
      <c r="Q459" s="30" t="str">
        <f>VLOOKUP(WEEKDAY(G459),Key!$B$3:$C$9,2,0)</f>
        <v>Thursday</v>
      </c>
      <c r="R459" s="42" t="str">
        <f t="shared" si="21"/>
        <v>Within</v>
      </c>
      <c r="S459" s="41" t="str">
        <f t="shared" si="22"/>
        <v>Pass</v>
      </c>
      <c r="T459" s="30" t="str">
        <f t="shared" si="23"/>
        <v>FY 21-22</v>
      </c>
      <c r="U459" s="30" t="str">
        <f>VLOOKUP(MONTH(G459),Key!$F$3:$G$14,2,0)</f>
        <v>Oct</v>
      </c>
      <c r="V459" s="30" t="str">
        <f>IFERROR(IF(MATCH(F459,'Test 6'!C$5:C$9,0)&gt;0,"RP"),"NON-RP")</f>
        <v>NON-RP</v>
      </c>
    </row>
    <row r="460" spans="2:22" x14ac:dyDescent="0.5">
      <c r="B460" s="30">
        <v>456</v>
      </c>
      <c r="C460" s="30" t="s">
        <v>1009</v>
      </c>
      <c r="D460" s="31">
        <v>2122197</v>
      </c>
      <c r="E460" s="30" t="s">
        <v>1010</v>
      </c>
      <c r="F460" s="53" t="s">
        <v>103</v>
      </c>
      <c r="G460" s="32">
        <v>44490</v>
      </c>
      <c r="H460" s="33">
        <v>0.53791407987861639</v>
      </c>
      <c r="I460" s="30" t="s">
        <v>383</v>
      </c>
      <c r="J460" s="34">
        <v>438200</v>
      </c>
      <c r="K460" s="35" t="s">
        <v>17</v>
      </c>
      <c r="L460" s="36">
        <v>78876</v>
      </c>
      <c r="M460" s="30" t="s">
        <v>32</v>
      </c>
      <c r="N460" s="30" t="s">
        <v>19</v>
      </c>
      <c r="O460" s="30" t="s">
        <v>1542</v>
      </c>
      <c r="P460" s="30" t="s">
        <v>1542</v>
      </c>
      <c r="Q460" s="30" t="str">
        <f>VLOOKUP(WEEKDAY(G460),Key!$B$3:$C$9,2,0)</f>
        <v>Thursday</v>
      </c>
      <c r="R460" s="42" t="str">
        <f t="shared" si="21"/>
        <v>Within</v>
      </c>
      <c r="S460" s="41" t="str">
        <f t="shared" si="22"/>
        <v>Pass</v>
      </c>
      <c r="T460" s="30" t="str">
        <f t="shared" si="23"/>
        <v>FY 21-22</v>
      </c>
      <c r="U460" s="30" t="str">
        <f>VLOOKUP(MONTH(G460),Key!$F$3:$G$14,2,0)</f>
        <v>Oct</v>
      </c>
      <c r="V460" s="30" t="str">
        <f>IFERROR(IF(MATCH(F460,'Test 6'!C$5:C$9,0)&gt;0,"RP"),"NON-RP")</f>
        <v>NON-RP</v>
      </c>
    </row>
    <row r="461" spans="2:22" x14ac:dyDescent="0.5">
      <c r="B461" s="30">
        <v>457</v>
      </c>
      <c r="C461" s="30" t="s">
        <v>1011</v>
      </c>
      <c r="D461" s="31">
        <v>2122198</v>
      </c>
      <c r="E461" s="30" t="s">
        <v>1012</v>
      </c>
      <c r="F461" s="53" t="s">
        <v>175</v>
      </c>
      <c r="G461" s="32">
        <v>44490</v>
      </c>
      <c r="H461" s="33">
        <v>0.63954357026009501</v>
      </c>
      <c r="I461" s="30" t="s">
        <v>321</v>
      </c>
      <c r="J461" s="34">
        <v>336050</v>
      </c>
      <c r="K461" s="35" t="s">
        <v>17</v>
      </c>
      <c r="L461" s="36">
        <v>60489</v>
      </c>
      <c r="M461" s="30" t="s">
        <v>32</v>
      </c>
      <c r="N461" s="30" t="s">
        <v>19</v>
      </c>
      <c r="O461" s="30" t="s">
        <v>1542</v>
      </c>
      <c r="P461" s="30" t="s">
        <v>1542</v>
      </c>
      <c r="Q461" s="30" t="str">
        <f>VLOOKUP(WEEKDAY(G461),Key!$B$3:$C$9,2,0)</f>
        <v>Thursday</v>
      </c>
      <c r="R461" s="42" t="str">
        <f t="shared" si="21"/>
        <v>Within</v>
      </c>
      <c r="S461" s="41" t="str">
        <f t="shared" si="22"/>
        <v>Pass</v>
      </c>
      <c r="T461" s="30" t="str">
        <f t="shared" si="23"/>
        <v>FY 21-22</v>
      </c>
      <c r="U461" s="30" t="str">
        <f>VLOOKUP(MONTH(G461),Key!$F$3:$G$14,2,0)</f>
        <v>Oct</v>
      </c>
      <c r="V461" s="30" t="str">
        <f>IFERROR(IF(MATCH(F461,'Test 6'!C$5:C$9,0)&gt;0,"RP"),"NON-RP")</f>
        <v>NON-RP</v>
      </c>
    </row>
    <row r="462" spans="2:22" x14ac:dyDescent="0.5">
      <c r="B462" s="30">
        <v>458</v>
      </c>
      <c r="C462" s="30" t="s">
        <v>1013</v>
      </c>
      <c r="D462" s="31">
        <v>2122199</v>
      </c>
      <c r="E462" s="30" t="s">
        <v>1014</v>
      </c>
      <c r="F462" s="53" t="s">
        <v>290</v>
      </c>
      <c r="G462" s="32">
        <v>44491</v>
      </c>
      <c r="H462" s="33">
        <v>0.64048755818384229</v>
      </c>
      <c r="I462" s="30" t="s">
        <v>383</v>
      </c>
      <c r="J462" s="34">
        <v>454830</v>
      </c>
      <c r="K462" s="35" t="s">
        <v>17</v>
      </c>
      <c r="L462" s="36">
        <v>81869.399999999994</v>
      </c>
      <c r="M462" s="30" t="s">
        <v>18</v>
      </c>
      <c r="N462" s="30" t="s">
        <v>51</v>
      </c>
      <c r="O462" s="30" t="s">
        <v>1542</v>
      </c>
      <c r="P462" s="30" t="s">
        <v>1542</v>
      </c>
      <c r="Q462" s="30" t="str">
        <f>VLOOKUP(WEEKDAY(G462),Key!$B$3:$C$9,2,0)</f>
        <v>Friday</v>
      </c>
      <c r="R462" s="42" t="str">
        <f t="shared" si="21"/>
        <v>Within</v>
      </c>
      <c r="S462" s="41" t="str">
        <f t="shared" si="22"/>
        <v>Pass</v>
      </c>
      <c r="T462" s="30" t="str">
        <f t="shared" si="23"/>
        <v>FY 21-22</v>
      </c>
      <c r="U462" s="30" t="str">
        <f>VLOOKUP(MONTH(G462),Key!$F$3:$G$14,2,0)</f>
        <v>Oct</v>
      </c>
      <c r="V462" s="30" t="str">
        <f>IFERROR(IF(MATCH(F462,'Test 6'!C$5:C$9,0)&gt;0,"RP"),"NON-RP")</f>
        <v>NON-RP</v>
      </c>
    </row>
    <row r="463" spans="2:22" x14ac:dyDescent="0.5">
      <c r="B463" s="30">
        <v>459</v>
      </c>
      <c r="C463" s="30" t="s">
        <v>1015</v>
      </c>
      <c r="D463" s="31">
        <v>2122200</v>
      </c>
      <c r="E463" s="30" t="s">
        <v>1016</v>
      </c>
      <c r="F463" s="53" t="s">
        <v>45</v>
      </c>
      <c r="G463" s="32">
        <v>44491</v>
      </c>
      <c r="H463" s="33">
        <v>0.66823991976166552</v>
      </c>
      <c r="I463" s="30" t="s">
        <v>383</v>
      </c>
      <c r="J463" s="34">
        <v>491000</v>
      </c>
      <c r="K463" s="35" t="s">
        <v>17</v>
      </c>
      <c r="L463" s="36">
        <v>88380</v>
      </c>
      <c r="M463" s="30" t="s">
        <v>37</v>
      </c>
      <c r="N463" s="30" t="s">
        <v>51</v>
      </c>
      <c r="O463" s="30" t="s">
        <v>1542</v>
      </c>
      <c r="P463" s="30" t="s">
        <v>1542</v>
      </c>
      <c r="Q463" s="30" t="str">
        <f>VLOOKUP(WEEKDAY(G463),Key!$B$3:$C$9,2,0)</f>
        <v>Friday</v>
      </c>
      <c r="R463" s="42" t="str">
        <f t="shared" si="21"/>
        <v>Within</v>
      </c>
      <c r="S463" s="41" t="str">
        <f t="shared" si="22"/>
        <v>Pass</v>
      </c>
      <c r="T463" s="30" t="str">
        <f t="shared" si="23"/>
        <v>FY 21-22</v>
      </c>
      <c r="U463" s="30" t="str">
        <f>VLOOKUP(MONTH(G463),Key!$F$3:$G$14,2,0)</f>
        <v>Oct</v>
      </c>
      <c r="V463" s="30" t="str">
        <f>IFERROR(IF(MATCH(F463,'Test 6'!C$5:C$9,0)&gt;0,"RP"),"NON-RP")</f>
        <v>NON-RP</v>
      </c>
    </row>
    <row r="464" spans="2:22" x14ac:dyDescent="0.5">
      <c r="B464" s="30">
        <v>460</v>
      </c>
      <c r="C464" s="30" t="s">
        <v>1017</v>
      </c>
      <c r="D464" s="31">
        <v>2122201</v>
      </c>
      <c r="E464" s="30" t="s">
        <v>1018</v>
      </c>
      <c r="F464" s="53" t="s">
        <v>81</v>
      </c>
      <c r="G464" s="32">
        <v>44494</v>
      </c>
      <c r="H464" s="33">
        <v>0.74746253944763996</v>
      </c>
      <c r="I464" s="30" t="s">
        <v>383</v>
      </c>
      <c r="J464" s="34">
        <v>415680</v>
      </c>
      <c r="K464" s="35" t="s">
        <v>17</v>
      </c>
      <c r="L464" s="36">
        <v>74822.399999999994</v>
      </c>
      <c r="M464" s="30" t="s">
        <v>61</v>
      </c>
      <c r="N464" s="30" t="s">
        <v>24</v>
      </c>
      <c r="O464" s="30" t="s">
        <v>1542</v>
      </c>
      <c r="P464" s="30" t="s">
        <v>1542</v>
      </c>
      <c r="Q464" s="30" t="str">
        <f>VLOOKUP(WEEKDAY(G464),Key!$B$3:$C$9,2,0)</f>
        <v>Monday</v>
      </c>
      <c r="R464" s="42" t="str">
        <f t="shared" si="21"/>
        <v>Within</v>
      </c>
      <c r="S464" s="41" t="str">
        <f t="shared" si="22"/>
        <v>Pass</v>
      </c>
      <c r="T464" s="30" t="str">
        <f t="shared" si="23"/>
        <v>FY 21-22</v>
      </c>
      <c r="U464" s="30" t="str">
        <f>VLOOKUP(MONTH(G464),Key!$F$3:$G$14,2,0)</f>
        <v>Oct</v>
      </c>
      <c r="V464" s="30" t="str">
        <f>IFERROR(IF(MATCH(F464,'Test 6'!C$5:C$9,0)&gt;0,"RP"),"NON-RP")</f>
        <v>NON-RP</v>
      </c>
    </row>
    <row r="465" spans="2:22" x14ac:dyDescent="0.5">
      <c r="B465" s="30">
        <v>461</v>
      </c>
      <c r="C465" s="30" t="s">
        <v>1019</v>
      </c>
      <c r="D465" s="31">
        <v>2122202</v>
      </c>
      <c r="E465" s="30" t="s">
        <v>1020</v>
      </c>
      <c r="F465" s="53" t="s">
        <v>27</v>
      </c>
      <c r="G465" s="32">
        <v>44494</v>
      </c>
      <c r="H465" s="33">
        <v>0.53076998216657911</v>
      </c>
      <c r="I465" s="30" t="s">
        <v>383</v>
      </c>
      <c r="J465" s="34">
        <v>374850</v>
      </c>
      <c r="K465" s="35" t="s">
        <v>17</v>
      </c>
      <c r="L465" s="36">
        <v>67473</v>
      </c>
      <c r="M465" s="30" t="s">
        <v>32</v>
      </c>
      <c r="N465" s="30" t="s">
        <v>24</v>
      </c>
      <c r="O465" s="30" t="s">
        <v>1542</v>
      </c>
      <c r="P465" s="30" t="s">
        <v>1542</v>
      </c>
      <c r="Q465" s="30" t="str">
        <f>VLOOKUP(WEEKDAY(G465),Key!$B$3:$C$9,2,0)</f>
        <v>Monday</v>
      </c>
      <c r="R465" s="42" t="str">
        <f t="shared" si="21"/>
        <v>Within</v>
      </c>
      <c r="S465" s="41" t="str">
        <f t="shared" si="22"/>
        <v>Pass</v>
      </c>
      <c r="T465" s="30" t="str">
        <f t="shared" si="23"/>
        <v>FY 21-22</v>
      </c>
      <c r="U465" s="30" t="str">
        <f>VLOOKUP(MONTH(G465),Key!$F$3:$G$14,2,0)</f>
        <v>Oct</v>
      </c>
      <c r="V465" s="30" t="str">
        <f>IFERROR(IF(MATCH(F465,'Test 6'!C$5:C$9,0)&gt;0,"RP"),"NON-RP")</f>
        <v>NON-RP</v>
      </c>
    </row>
    <row r="466" spans="2:22" x14ac:dyDescent="0.5">
      <c r="B466" s="30">
        <v>462</v>
      </c>
      <c r="C466" s="30" t="s">
        <v>1021</v>
      </c>
      <c r="D466" s="31">
        <v>2122203</v>
      </c>
      <c r="E466" s="30" t="s">
        <v>1022</v>
      </c>
      <c r="F466" s="53" t="s">
        <v>64</v>
      </c>
      <c r="G466" s="32">
        <v>44494</v>
      </c>
      <c r="H466" s="33">
        <v>0.56186900289603281</v>
      </c>
      <c r="I466" s="30" t="s">
        <v>383</v>
      </c>
      <c r="J466" s="34">
        <v>325900</v>
      </c>
      <c r="K466" s="35" t="s">
        <v>17</v>
      </c>
      <c r="L466" s="36">
        <v>58662</v>
      </c>
      <c r="M466" s="30" t="s">
        <v>61</v>
      </c>
      <c r="N466" s="30" t="s">
        <v>51</v>
      </c>
      <c r="O466" s="30" t="s">
        <v>1542</v>
      </c>
      <c r="P466" s="30" t="s">
        <v>1542</v>
      </c>
      <c r="Q466" s="30" t="str">
        <f>VLOOKUP(WEEKDAY(G466),Key!$B$3:$C$9,2,0)</f>
        <v>Monday</v>
      </c>
      <c r="R466" s="42" t="str">
        <f t="shared" si="21"/>
        <v>Within</v>
      </c>
      <c r="S466" s="41" t="str">
        <f t="shared" si="22"/>
        <v>Pass</v>
      </c>
      <c r="T466" s="30" t="str">
        <f t="shared" si="23"/>
        <v>FY 21-22</v>
      </c>
      <c r="U466" s="30" t="str">
        <f>VLOOKUP(MONTH(G466),Key!$F$3:$G$14,2,0)</f>
        <v>Oct</v>
      </c>
      <c r="V466" s="30" t="str">
        <f>IFERROR(IF(MATCH(F466,'Test 6'!C$5:C$9,0)&gt;0,"RP"),"NON-RP")</f>
        <v>NON-RP</v>
      </c>
    </row>
    <row r="467" spans="2:22" x14ac:dyDescent="0.5">
      <c r="B467" s="30">
        <v>463</v>
      </c>
      <c r="C467" s="30" t="s">
        <v>1023</v>
      </c>
      <c r="D467" s="31">
        <v>2122204</v>
      </c>
      <c r="E467" s="30" t="s">
        <v>1024</v>
      </c>
      <c r="F467" s="53" t="s">
        <v>40</v>
      </c>
      <c r="G467" s="32">
        <v>44495</v>
      </c>
      <c r="H467" s="33">
        <v>0.45804956076077508</v>
      </c>
      <c r="I467" s="30" t="s">
        <v>383</v>
      </c>
      <c r="J467" s="34">
        <v>356110</v>
      </c>
      <c r="K467" s="35" t="s">
        <v>17</v>
      </c>
      <c r="L467" s="36">
        <v>64099.799999999996</v>
      </c>
      <c r="M467" s="30" t="s">
        <v>37</v>
      </c>
      <c r="N467" s="30" t="s">
        <v>51</v>
      </c>
      <c r="O467" s="30" t="s">
        <v>1542</v>
      </c>
      <c r="P467" s="30" t="s">
        <v>1542</v>
      </c>
      <c r="Q467" s="30" t="str">
        <f>VLOOKUP(WEEKDAY(G467),Key!$B$3:$C$9,2,0)</f>
        <v>Tuesday</v>
      </c>
      <c r="R467" s="42" t="str">
        <f t="shared" si="21"/>
        <v>Within</v>
      </c>
      <c r="S467" s="41" t="str">
        <f t="shared" si="22"/>
        <v>Pass</v>
      </c>
      <c r="T467" s="30" t="str">
        <f t="shared" si="23"/>
        <v>FY 21-22</v>
      </c>
      <c r="U467" s="30" t="str">
        <f>VLOOKUP(MONTH(G467),Key!$F$3:$G$14,2,0)</f>
        <v>Oct</v>
      </c>
      <c r="V467" s="30" t="str">
        <f>IFERROR(IF(MATCH(F467,'Test 6'!C$5:C$9,0)&gt;0,"RP"),"NON-RP")</f>
        <v>NON-RP</v>
      </c>
    </row>
    <row r="468" spans="2:22" x14ac:dyDescent="0.5">
      <c r="B468" s="30">
        <v>464</v>
      </c>
      <c r="C468" s="30" t="s">
        <v>1025</v>
      </c>
      <c r="D468" s="31">
        <v>2122205</v>
      </c>
      <c r="E468" s="30" t="s">
        <v>1026</v>
      </c>
      <c r="F468" s="53" t="s">
        <v>92</v>
      </c>
      <c r="G468" s="32">
        <v>44496</v>
      </c>
      <c r="H468" s="33">
        <v>0.63664456912754885</v>
      </c>
      <c r="I468" s="30" t="s">
        <v>383</v>
      </c>
      <c r="J468" s="34">
        <v>419000</v>
      </c>
      <c r="K468" s="35" t="s">
        <v>17</v>
      </c>
      <c r="L468" s="36">
        <v>75420</v>
      </c>
      <c r="M468" s="30" t="s">
        <v>23</v>
      </c>
      <c r="N468" s="30" t="s">
        <v>24</v>
      </c>
      <c r="O468" s="30" t="s">
        <v>1542</v>
      </c>
      <c r="P468" s="30" t="s">
        <v>1542</v>
      </c>
      <c r="Q468" s="30" t="str">
        <f>VLOOKUP(WEEKDAY(G468),Key!$B$3:$C$9,2,0)</f>
        <v>Wednesday</v>
      </c>
      <c r="R468" s="42" t="str">
        <f t="shared" si="21"/>
        <v>Within</v>
      </c>
      <c r="S468" s="41" t="str">
        <f t="shared" si="22"/>
        <v>Pass</v>
      </c>
      <c r="T468" s="30" t="str">
        <f t="shared" si="23"/>
        <v>FY 21-22</v>
      </c>
      <c r="U468" s="30" t="str">
        <f>VLOOKUP(MONTH(G468),Key!$F$3:$G$14,2,0)</f>
        <v>Oct</v>
      </c>
      <c r="V468" s="30" t="str">
        <f>IFERROR(IF(MATCH(F468,'Test 6'!C$5:C$9,0)&gt;0,"RP"),"NON-RP")</f>
        <v>NON-RP</v>
      </c>
    </row>
    <row r="469" spans="2:22" x14ac:dyDescent="0.5">
      <c r="B469" s="30">
        <v>465</v>
      </c>
      <c r="C469" s="30" t="s">
        <v>1027</v>
      </c>
      <c r="D469" s="31">
        <v>2122206</v>
      </c>
      <c r="E469" s="30" t="s">
        <v>1028</v>
      </c>
      <c r="F469" s="53" t="s">
        <v>27</v>
      </c>
      <c r="G469" s="32">
        <v>44499</v>
      </c>
      <c r="H469" s="33">
        <v>0.67651207370860567</v>
      </c>
      <c r="I469" s="30" t="s">
        <v>383</v>
      </c>
      <c r="J469" s="34">
        <v>356860</v>
      </c>
      <c r="K469" s="35" t="s">
        <v>17</v>
      </c>
      <c r="L469" s="36">
        <v>64234.799999999996</v>
      </c>
      <c r="M469" s="30" t="s">
        <v>32</v>
      </c>
      <c r="N469" s="30" t="s">
        <v>47</v>
      </c>
      <c r="O469" s="30" t="s">
        <v>1542</v>
      </c>
      <c r="P469" s="30" t="s">
        <v>1542</v>
      </c>
      <c r="Q469" s="30" t="str">
        <f>VLOOKUP(WEEKDAY(G469),Key!$B$3:$C$9,2,0)</f>
        <v>Saturday</v>
      </c>
      <c r="R469" s="42" t="str">
        <f t="shared" si="21"/>
        <v>Within</v>
      </c>
      <c r="S469" s="41" t="str">
        <f t="shared" si="22"/>
        <v>Pass</v>
      </c>
      <c r="T469" s="30" t="str">
        <f t="shared" si="23"/>
        <v>FY 21-22</v>
      </c>
      <c r="U469" s="30" t="str">
        <f>VLOOKUP(MONTH(G469),Key!$F$3:$G$14,2,0)</f>
        <v>Oct</v>
      </c>
      <c r="V469" s="30" t="str">
        <f>IFERROR(IF(MATCH(F469,'Test 6'!C$5:C$9,0)&gt;0,"RP"),"NON-RP")</f>
        <v>NON-RP</v>
      </c>
    </row>
    <row r="470" spans="2:22" x14ac:dyDescent="0.5">
      <c r="B470" s="30">
        <v>466</v>
      </c>
      <c r="C470" s="30" t="s">
        <v>1029</v>
      </c>
      <c r="D470" s="31">
        <v>2122207</v>
      </c>
      <c r="E470" s="30" t="s">
        <v>1030</v>
      </c>
      <c r="F470" s="53" t="s">
        <v>293</v>
      </c>
      <c r="G470" s="32">
        <v>44503</v>
      </c>
      <c r="H470" s="33">
        <v>0.45634707531379626</v>
      </c>
      <c r="I470" s="30" t="s">
        <v>428</v>
      </c>
      <c r="J470" s="34">
        <v>491750</v>
      </c>
      <c r="K470" s="35" t="s">
        <v>17</v>
      </c>
      <c r="L470" s="36">
        <v>88515</v>
      </c>
      <c r="M470" s="30" t="s">
        <v>23</v>
      </c>
      <c r="N470" s="30" t="s">
        <v>51</v>
      </c>
      <c r="O470" s="30" t="s">
        <v>1542</v>
      </c>
      <c r="P470" s="30" t="s">
        <v>1542</v>
      </c>
      <c r="Q470" s="30" t="str">
        <f>VLOOKUP(WEEKDAY(G470),Key!$B$3:$C$9,2,0)</f>
        <v>Wednesday</v>
      </c>
      <c r="R470" s="42" t="str">
        <f t="shared" si="21"/>
        <v>Within</v>
      </c>
      <c r="S470" s="41" t="str">
        <f t="shared" si="22"/>
        <v>Pass</v>
      </c>
      <c r="T470" s="30" t="str">
        <f t="shared" si="23"/>
        <v>FY 21-22</v>
      </c>
      <c r="U470" s="30" t="str">
        <f>VLOOKUP(MONTH(G470),Key!$F$3:$G$14,2,0)</f>
        <v>Nov</v>
      </c>
      <c r="V470" s="30" t="str">
        <f>IFERROR(IF(MATCH(F470,'Test 6'!C$5:C$9,0)&gt;0,"RP"),"NON-RP")</f>
        <v>NON-RP</v>
      </c>
    </row>
    <row r="471" spans="2:22" x14ac:dyDescent="0.5">
      <c r="B471" s="30">
        <v>467</v>
      </c>
      <c r="C471" s="30" t="s">
        <v>1031</v>
      </c>
      <c r="D471" s="31">
        <v>2122208</v>
      </c>
      <c r="E471" s="30" t="s">
        <v>1032</v>
      </c>
      <c r="F471" s="53" t="s">
        <v>54</v>
      </c>
      <c r="G471" s="32">
        <v>44506</v>
      </c>
      <c r="H471" s="33">
        <v>0.63395845111834326</v>
      </c>
      <c r="I471" s="30" t="s">
        <v>428</v>
      </c>
      <c r="J471" s="34">
        <v>479490</v>
      </c>
      <c r="K471" s="35" t="s">
        <v>17</v>
      </c>
      <c r="L471" s="36">
        <v>86308.2</v>
      </c>
      <c r="M471" s="30" t="s">
        <v>37</v>
      </c>
      <c r="N471" s="30" t="s">
        <v>24</v>
      </c>
      <c r="O471" s="30" t="s">
        <v>1542</v>
      </c>
      <c r="P471" s="30" t="s">
        <v>1542</v>
      </c>
      <c r="Q471" s="30" t="str">
        <f>VLOOKUP(WEEKDAY(G471),Key!$B$3:$C$9,2,0)</f>
        <v>Saturday</v>
      </c>
      <c r="R471" s="42" t="str">
        <f t="shared" si="21"/>
        <v>Within</v>
      </c>
      <c r="S471" s="41" t="str">
        <f t="shared" si="22"/>
        <v>Pass</v>
      </c>
      <c r="T471" s="30" t="str">
        <f t="shared" si="23"/>
        <v>FY 21-22</v>
      </c>
      <c r="U471" s="30" t="str">
        <f>VLOOKUP(MONTH(G471),Key!$F$3:$G$14,2,0)</f>
        <v>Nov</v>
      </c>
      <c r="V471" s="30" t="str">
        <f>IFERROR(IF(MATCH(F471,'Test 6'!C$5:C$9,0)&gt;0,"RP"),"NON-RP")</f>
        <v>NON-RP</v>
      </c>
    </row>
    <row r="472" spans="2:22" x14ac:dyDescent="0.5">
      <c r="B472" s="30">
        <v>468</v>
      </c>
      <c r="C472" s="30" t="s">
        <v>1033</v>
      </c>
      <c r="D472" s="31">
        <v>2122209</v>
      </c>
      <c r="E472" s="30" t="s">
        <v>1034</v>
      </c>
      <c r="F472" s="53" t="s">
        <v>577</v>
      </c>
      <c r="G472" s="32">
        <v>44506</v>
      </c>
      <c r="H472" s="33">
        <v>0.8291898148148148</v>
      </c>
      <c r="I472" s="30" t="s">
        <v>428</v>
      </c>
      <c r="J472" s="34">
        <v>4817700</v>
      </c>
      <c r="K472" s="35" t="s">
        <v>17</v>
      </c>
      <c r="L472" s="36">
        <v>867186</v>
      </c>
      <c r="M472" s="30" t="s">
        <v>41</v>
      </c>
      <c r="N472" s="30" t="s">
        <v>42</v>
      </c>
      <c r="O472" s="30" t="s">
        <v>1542</v>
      </c>
      <c r="P472" s="30" t="s">
        <v>1542</v>
      </c>
      <c r="Q472" s="30" t="str">
        <f>VLOOKUP(WEEKDAY(G472),Key!$B$3:$C$9,2,0)</f>
        <v>Saturday</v>
      </c>
      <c r="R472" s="42" t="str">
        <f t="shared" si="21"/>
        <v>Outside</v>
      </c>
      <c r="S472" s="41" t="str">
        <f t="shared" si="22"/>
        <v>Red Flag</v>
      </c>
      <c r="T472" s="30" t="str">
        <f t="shared" si="23"/>
        <v>FY 21-22</v>
      </c>
      <c r="U472" s="30" t="str">
        <f>VLOOKUP(MONTH(G472),Key!$F$3:$G$14,2,0)</f>
        <v>Nov</v>
      </c>
      <c r="V472" s="30" t="str">
        <f>IFERROR(IF(MATCH(F472,'Test 6'!C$5:C$9,0)&gt;0,"RP"),"NON-RP")</f>
        <v>RP</v>
      </c>
    </row>
    <row r="473" spans="2:22" x14ac:dyDescent="0.5">
      <c r="B473" s="30">
        <v>469</v>
      </c>
      <c r="C473" s="30" t="s">
        <v>1035</v>
      </c>
      <c r="D473" s="31">
        <v>2122210</v>
      </c>
      <c r="E473" s="30" t="s">
        <v>1036</v>
      </c>
      <c r="F473" s="53" t="s">
        <v>229</v>
      </c>
      <c r="G473" s="32">
        <v>44508</v>
      </c>
      <c r="H473" s="33">
        <v>0.64379058681027279</v>
      </c>
      <c r="I473" s="30" t="s">
        <v>428</v>
      </c>
      <c r="J473" s="34">
        <v>314800</v>
      </c>
      <c r="K473" s="35" t="s">
        <v>17</v>
      </c>
      <c r="L473" s="36">
        <v>56664</v>
      </c>
      <c r="M473" s="30" t="s">
        <v>61</v>
      </c>
      <c r="N473" s="30" t="s">
        <v>47</v>
      </c>
      <c r="O473" s="30" t="s">
        <v>1542</v>
      </c>
      <c r="P473" s="30" t="s">
        <v>1542</v>
      </c>
      <c r="Q473" s="30" t="str">
        <f>VLOOKUP(WEEKDAY(G473),Key!$B$3:$C$9,2,0)</f>
        <v>Monday</v>
      </c>
      <c r="R473" s="42" t="str">
        <f t="shared" si="21"/>
        <v>Within</v>
      </c>
      <c r="S473" s="41" t="str">
        <f t="shared" si="22"/>
        <v>Pass</v>
      </c>
      <c r="T473" s="30" t="str">
        <f t="shared" si="23"/>
        <v>FY 21-22</v>
      </c>
      <c r="U473" s="30" t="str">
        <f>VLOOKUP(MONTH(G473),Key!$F$3:$G$14,2,0)</f>
        <v>Nov</v>
      </c>
      <c r="V473" s="30" t="str">
        <f>IFERROR(IF(MATCH(F473,'Test 6'!C$5:C$9,0)&gt;0,"RP"),"NON-RP")</f>
        <v>NON-RP</v>
      </c>
    </row>
    <row r="474" spans="2:22" x14ac:dyDescent="0.5">
      <c r="B474" s="30">
        <v>470</v>
      </c>
      <c r="C474" s="30" t="s">
        <v>1311</v>
      </c>
      <c r="D474" s="31">
        <v>2122211</v>
      </c>
      <c r="E474" s="30" t="s">
        <v>1037</v>
      </c>
      <c r="F474" s="53" t="s">
        <v>293</v>
      </c>
      <c r="G474" s="32">
        <v>44509</v>
      </c>
      <c r="H474" s="33">
        <v>0.50781914799764383</v>
      </c>
      <c r="I474" s="30" t="s">
        <v>428</v>
      </c>
      <c r="J474" s="34">
        <v>357640</v>
      </c>
      <c r="K474" s="35" t="s">
        <v>17</v>
      </c>
      <c r="L474" s="36">
        <v>64375.199999999997</v>
      </c>
      <c r="M474" s="30" t="s">
        <v>32</v>
      </c>
      <c r="N474" s="30" t="s">
        <v>19</v>
      </c>
      <c r="O474" s="30" t="s">
        <v>1542</v>
      </c>
      <c r="P474" s="30" t="s">
        <v>1542</v>
      </c>
      <c r="Q474" s="30" t="str">
        <f>VLOOKUP(WEEKDAY(G474),Key!$B$3:$C$9,2,0)</f>
        <v>Tuesday</v>
      </c>
      <c r="R474" s="42" t="str">
        <f t="shared" si="21"/>
        <v>Within</v>
      </c>
      <c r="S474" s="41" t="str">
        <f t="shared" si="22"/>
        <v>Pass</v>
      </c>
      <c r="T474" s="30" t="str">
        <f t="shared" si="23"/>
        <v>FY 21-22</v>
      </c>
      <c r="U474" s="30" t="str">
        <f>VLOOKUP(MONTH(G474),Key!$F$3:$G$14,2,0)</f>
        <v>Nov</v>
      </c>
      <c r="V474" s="30" t="str">
        <f>IFERROR(IF(MATCH(F474,'Test 6'!C$5:C$9,0)&gt;0,"RP"),"NON-RP")</f>
        <v>NON-RP</v>
      </c>
    </row>
    <row r="475" spans="2:22" x14ac:dyDescent="0.5">
      <c r="B475" s="30">
        <v>471</v>
      </c>
      <c r="C475" s="30" t="s">
        <v>1038</v>
      </c>
      <c r="D475" s="31">
        <v>2122212</v>
      </c>
      <c r="E475" s="30" t="s">
        <v>1039</v>
      </c>
      <c r="F475" s="53" t="s">
        <v>72</v>
      </c>
      <c r="G475" s="32">
        <v>44509</v>
      </c>
      <c r="H475" s="33">
        <v>0.56350116180369758</v>
      </c>
      <c r="I475" s="30" t="s">
        <v>428</v>
      </c>
      <c r="J475" s="34">
        <v>450470</v>
      </c>
      <c r="K475" s="35" t="s">
        <v>17</v>
      </c>
      <c r="L475" s="36">
        <v>81084.599999999991</v>
      </c>
      <c r="M475" s="30" t="s">
        <v>23</v>
      </c>
      <c r="N475" s="30" t="s">
        <v>51</v>
      </c>
      <c r="O475" s="30" t="s">
        <v>1542</v>
      </c>
      <c r="P475" s="30" t="s">
        <v>1542</v>
      </c>
      <c r="Q475" s="30" t="str">
        <f>VLOOKUP(WEEKDAY(G475),Key!$B$3:$C$9,2,0)</f>
        <v>Tuesday</v>
      </c>
      <c r="R475" s="42" t="str">
        <f t="shared" si="21"/>
        <v>Within</v>
      </c>
      <c r="S475" s="41" t="str">
        <f t="shared" si="22"/>
        <v>Pass</v>
      </c>
      <c r="T475" s="30" t="str">
        <f t="shared" si="23"/>
        <v>FY 21-22</v>
      </c>
      <c r="U475" s="30" t="str">
        <f>VLOOKUP(MONTH(G475),Key!$F$3:$G$14,2,0)</f>
        <v>Nov</v>
      </c>
      <c r="V475" s="30" t="str">
        <f>IFERROR(IF(MATCH(F475,'Test 6'!C$5:C$9,0)&gt;0,"RP"),"NON-RP")</f>
        <v>NON-RP</v>
      </c>
    </row>
    <row r="476" spans="2:22" x14ac:dyDescent="0.5">
      <c r="B476" s="30">
        <v>472</v>
      </c>
      <c r="C476" s="30" t="s">
        <v>1040</v>
      </c>
      <c r="D476" s="31">
        <v>2122213</v>
      </c>
      <c r="E476" s="30" t="s">
        <v>1041</v>
      </c>
      <c r="F476" s="53" t="s">
        <v>111</v>
      </c>
      <c r="G476" s="32">
        <v>44507</v>
      </c>
      <c r="H476" s="33">
        <v>0.54517361111111107</v>
      </c>
      <c r="I476" s="30" t="s">
        <v>428</v>
      </c>
      <c r="J476" s="34">
        <v>4275330</v>
      </c>
      <c r="K476" s="35" t="s">
        <v>17</v>
      </c>
      <c r="L476" s="36">
        <v>769559.4</v>
      </c>
      <c r="M476" s="30" t="s">
        <v>701</v>
      </c>
      <c r="N476" s="30" t="s">
        <v>41</v>
      </c>
      <c r="O476" s="30" t="s">
        <v>1542</v>
      </c>
      <c r="P476" s="30" t="s">
        <v>1542</v>
      </c>
      <c r="Q476" s="30" t="str">
        <f>VLOOKUP(WEEKDAY(G476),Key!$B$3:$C$9,2,0)</f>
        <v>Sunday</v>
      </c>
      <c r="R476" s="42" t="str">
        <f t="shared" si="21"/>
        <v>Within</v>
      </c>
      <c r="S476" s="41" t="str">
        <f t="shared" si="22"/>
        <v>Red Flag</v>
      </c>
      <c r="T476" s="30" t="str">
        <f t="shared" si="23"/>
        <v>FY 21-22</v>
      </c>
      <c r="U476" s="30" t="str">
        <f>VLOOKUP(MONTH(G476),Key!$F$3:$G$14,2,0)</f>
        <v>Nov</v>
      </c>
      <c r="V476" s="30" t="str">
        <f>IFERROR(IF(MATCH(F476,'Test 6'!C$5:C$9,0)&gt;0,"RP"),"NON-RP")</f>
        <v>RP</v>
      </c>
    </row>
    <row r="477" spans="2:22" x14ac:dyDescent="0.5">
      <c r="B477" s="30">
        <v>473</v>
      </c>
      <c r="C477" s="30" t="s">
        <v>1042</v>
      </c>
      <c r="D477" s="31">
        <v>2122214</v>
      </c>
      <c r="E477" s="30" t="s">
        <v>1043</v>
      </c>
      <c r="F477" s="53" t="s">
        <v>114</v>
      </c>
      <c r="G477" s="32">
        <v>44509</v>
      </c>
      <c r="H477" s="33">
        <v>0.70881198349078822</v>
      </c>
      <c r="I477" s="30" t="s">
        <v>428</v>
      </c>
      <c r="J477" s="34">
        <v>425000</v>
      </c>
      <c r="K477" s="35" t="s">
        <v>17</v>
      </c>
      <c r="L477" s="36">
        <v>76500</v>
      </c>
      <c r="M477" s="30" t="s">
        <v>46</v>
      </c>
      <c r="N477" s="30" t="s">
        <v>51</v>
      </c>
      <c r="O477" s="30" t="s">
        <v>1542</v>
      </c>
      <c r="P477" s="30" t="s">
        <v>1542</v>
      </c>
      <c r="Q477" s="30" t="str">
        <f>VLOOKUP(WEEKDAY(G477),Key!$B$3:$C$9,2,0)</f>
        <v>Tuesday</v>
      </c>
      <c r="R477" s="42" t="str">
        <f t="shared" si="21"/>
        <v>Within</v>
      </c>
      <c r="S477" s="41" t="str">
        <f t="shared" si="22"/>
        <v>Pass</v>
      </c>
      <c r="T477" s="30" t="str">
        <f t="shared" si="23"/>
        <v>FY 21-22</v>
      </c>
      <c r="U477" s="30" t="str">
        <f>VLOOKUP(MONTH(G477),Key!$F$3:$G$14,2,0)</f>
        <v>Nov</v>
      </c>
      <c r="V477" s="30" t="str">
        <f>IFERROR(IF(MATCH(F477,'Test 6'!C$5:C$9,0)&gt;0,"RP"),"NON-RP")</f>
        <v>NON-RP</v>
      </c>
    </row>
    <row r="478" spans="2:22" x14ac:dyDescent="0.5">
      <c r="B478" s="30">
        <v>474</v>
      </c>
      <c r="C478" s="30" t="s">
        <v>1044</v>
      </c>
      <c r="D478" s="31">
        <v>2122215</v>
      </c>
      <c r="E478" s="30" t="s">
        <v>1045</v>
      </c>
      <c r="F478" s="53" t="s">
        <v>95</v>
      </c>
      <c r="G478" s="32">
        <v>44510</v>
      </c>
      <c r="H478" s="33">
        <v>0.49729200397454165</v>
      </c>
      <c r="I478" s="30" t="s">
        <v>428</v>
      </c>
      <c r="J478" s="34">
        <v>399870</v>
      </c>
      <c r="K478" s="35" t="s">
        <v>17</v>
      </c>
      <c r="L478" s="36">
        <v>71976.599999999991</v>
      </c>
      <c r="M478" s="30" t="s">
        <v>23</v>
      </c>
      <c r="N478" s="30" t="s">
        <v>24</v>
      </c>
      <c r="O478" s="30" t="s">
        <v>1542</v>
      </c>
      <c r="P478" s="30" t="s">
        <v>1542</v>
      </c>
      <c r="Q478" s="30" t="str">
        <f>VLOOKUP(WEEKDAY(G478),Key!$B$3:$C$9,2,0)</f>
        <v>Wednesday</v>
      </c>
      <c r="R478" s="42" t="str">
        <f t="shared" si="21"/>
        <v>Within</v>
      </c>
      <c r="S478" s="41" t="str">
        <f t="shared" si="22"/>
        <v>Pass</v>
      </c>
      <c r="T478" s="30" t="str">
        <f t="shared" si="23"/>
        <v>FY 21-22</v>
      </c>
      <c r="U478" s="30" t="str">
        <f>VLOOKUP(MONTH(G478),Key!$F$3:$G$14,2,0)</f>
        <v>Nov</v>
      </c>
      <c r="V478" s="30" t="str">
        <f>IFERROR(IF(MATCH(F478,'Test 6'!C$5:C$9,0)&gt;0,"RP"),"NON-RP")</f>
        <v>NON-RP</v>
      </c>
    </row>
    <row r="479" spans="2:22" x14ac:dyDescent="0.5">
      <c r="B479" s="30">
        <v>475</v>
      </c>
      <c r="C479" s="30" t="s">
        <v>1046</v>
      </c>
      <c r="D479" s="31">
        <v>2122216</v>
      </c>
      <c r="E479" s="30" t="s">
        <v>1047</v>
      </c>
      <c r="F479" s="53" t="s">
        <v>184</v>
      </c>
      <c r="G479" s="32">
        <v>44511</v>
      </c>
      <c r="H479" s="33">
        <v>0.64094226189235881</v>
      </c>
      <c r="I479" s="30" t="s">
        <v>428</v>
      </c>
      <c r="J479" s="34">
        <v>462420</v>
      </c>
      <c r="K479" s="35" t="s">
        <v>17</v>
      </c>
      <c r="L479" s="36">
        <v>83235.599999999991</v>
      </c>
      <c r="M479" s="30" t="s">
        <v>61</v>
      </c>
      <c r="N479" s="30" t="s">
        <v>24</v>
      </c>
      <c r="O479" s="30" t="s">
        <v>1542</v>
      </c>
      <c r="P479" s="30" t="s">
        <v>1542</v>
      </c>
      <c r="Q479" s="30" t="str">
        <f>VLOOKUP(WEEKDAY(G479),Key!$B$3:$C$9,2,0)</f>
        <v>Thursday</v>
      </c>
      <c r="R479" s="42" t="str">
        <f t="shared" si="21"/>
        <v>Within</v>
      </c>
      <c r="S479" s="41" t="str">
        <f t="shared" si="22"/>
        <v>Pass</v>
      </c>
      <c r="T479" s="30" t="str">
        <f t="shared" si="23"/>
        <v>FY 21-22</v>
      </c>
      <c r="U479" s="30" t="str">
        <f>VLOOKUP(MONTH(G479),Key!$F$3:$G$14,2,0)</f>
        <v>Nov</v>
      </c>
      <c r="V479" s="30" t="str">
        <f>IFERROR(IF(MATCH(F479,'Test 6'!C$5:C$9,0)&gt;0,"RP"),"NON-RP")</f>
        <v>NON-RP</v>
      </c>
    </row>
    <row r="480" spans="2:22" x14ac:dyDescent="0.5">
      <c r="B480" s="30">
        <v>476</v>
      </c>
      <c r="C480" s="30" t="s">
        <v>1048</v>
      </c>
      <c r="D480" s="31">
        <v>2122217</v>
      </c>
      <c r="E480" s="30" t="s">
        <v>1049</v>
      </c>
      <c r="F480" s="53" t="s">
        <v>241</v>
      </c>
      <c r="G480" s="32">
        <v>44514</v>
      </c>
      <c r="H480" s="33">
        <v>0.48401620370370368</v>
      </c>
      <c r="I480" s="30" t="s">
        <v>428</v>
      </c>
      <c r="J480" s="34">
        <v>4441560</v>
      </c>
      <c r="K480" s="35" t="s">
        <v>17</v>
      </c>
      <c r="L480" s="36">
        <v>799480.79999999993</v>
      </c>
      <c r="M480" s="30" t="s">
        <v>701</v>
      </c>
      <c r="N480" s="30" t="s">
        <v>41</v>
      </c>
      <c r="O480" s="30" t="s">
        <v>1542</v>
      </c>
      <c r="P480" s="30" t="s">
        <v>1542</v>
      </c>
      <c r="Q480" s="30" t="str">
        <f>VLOOKUP(WEEKDAY(G480),Key!$B$3:$C$9,2,0)</f>
        <v>Sunday</v>
      </c>
      <c r="R480" s="42" t="str">
        <f t="shared" si="21"/>
        <v>Within</v>
      </c>
      <c r="S480" s="41" t="str">
        <f t="shared" si="22"/>
        <v>Red Flag</v>
      </c>
      <c r="T480" s="30" t="str">
        <f t="shared" si="23"/>
        <v>FY 21-22</v>
      </c>
      <c r="U480" s="30" t="str">
        <f>VLOOKUP(MONTH(G480),Key!$F$3:$G$14,2,0)</f>
        <v>Nov</v>
      </c>
      <c r="V480" s="30" t="str">
        <f>IFERROR(IF(MATCH(F480,'Test 6'!C$5:C$9,0)&gt;0,"RP"),"NON-RP")</f>
        <v>RP</v>
      </c>
    </row>
    <row r="481" spans="2:22" x14ac:dyDescent="0.5">
      <c r="B481" s="30">
        <v>477</v>
      </c>
      <c r="C481" s="30" t="s">
        <v>1050</v>
      </c>
      <c r="D481" s="31">
        <v>2122218</v>
      </c>
      <c r="E481" s="30" t="s">
        <v>1051</v>
      </c>
      <c r="F481" s="53" t="s">
        <v>64</v>
      </c>
      <c r="G481" s="32">
        <v>44512</v>
      </c>
      <c r="H481" s="33">
        <v>0.47827502158889312</v>
      </c>
      <c r="I481" s="30" t="s">
        <v>428</v>
      </c>
      <c r="J481" s="34">
        <v>473280</v>
      </c>
      <c r="K481" s="35" t="s">
        <v>17</v>
      </c>
      <c r="L481" s="36">
        <v>85190.399999999994</v>
      </c>
      <c r="M481" s="30" t="s">
        <v>23</v>
      </c>
      <c r="N481" s="30" t="s">
        <v>47</v>
      </c>
      <c r="O481" s="30" t="s">
        <v>1542</v>
      </c>
      <c r="P481" s="30" t="s">
        <v>1542</v>
      </c>
      <c r="Q481" s="30" t="str">
        <f>VLOOKUP(WEEKDAY(G481),Key!$B$3:$C$9,2,0)</f>
        <v>Friday</v>
      </c>
      <c r="R481" s="42" t="str">
        <f t="shared" si="21"/>
        <v>Within</v>
      </c>
      <c r="S481" s="41" t="str">
        <f t="shared" si="22"/>
        <v>Pass</v>
      </c>
      <c r="T481" s="30" t="str">
        <f t="shared" si="23"/>
        <v>FY 21-22</v>
      </c>
      <c r="U481" s="30" t="str">
        <f>VLOOKUP(MONTH(G481),Key!$F$3:$G$14,2,0)</f>
        <v>Nov</v>
      </c>
      <c r="V481" s="30" t="str">
        <f>IFERROR(IF(MATCH(F481,'Test 6'!C$5:C$9,0)&gt;0,"RP"),"NON-RP")</f>
        <v>NON-RP</v>
      </c>
    </row>
    <row r="482" spans="2:22" x14ac:dyDescent="0.5">
      <c r="B482" s="30">
        <v>478</v>
      </c>
      <c r="C482" s="30" t="s">
        <v>1052</v>
      </c>
      <c r="D482" s="31">
        <v>2122219</v>
      </c>
      <c r="E482" s="30" t="s">
        <v>1053</v>
      </c>
      <c r="F482" s="53" t="s">
        <v>103</v>
      </c>
      <c r="G482" s="32">
        <v>44512</v>
      </c>
      <c r="H482" s="33">
        <v>0.59832675788642131</v>
      </c>
      <c r="I482" s="30" t="s">
        <v>428</v>
      </c>
      <c r="J482" s="34">
        <v>408230</v>
      </c>
      <c r="K482" s="35" t="s">
        <v>17</v>
      </c>
      <c r="L482" s="36">
        <v>73481.399999999994</v>
      </c>
      <c r="M482" s="30" t="s">
        <v>32</v>
      </c>
      <c r="N482" s="30" t="s">
        <v>24</v>
      </c>
      <c r="O482" s="30" t="s">
        <v>1542</v>
      </c>
      <c r="P482" s="30" t="s">
        <v>1542</v>
      </c>
      <c r="Q482" s="30" t="str">
        <f>VLOOKUP(WEEKDAY(G482),Key!$B$3:$C$9,2,0)</f>
        <v>Friday</v>
      </c>
      <c r="R482" s="42" t="str">
        <f t="shared" si="21"/>
        <v>Within</v>
      </c>
      <c r="S482" s="41" t="str">
        <f t="shared" si="22"/>
        <v>Pass</v>
      </c>
      <c r="T482" s="30" t="str">
        <f t="shared" si="23"/>
        <v>FY 21-22</v>
      </c>
      <c r="U482" s="30" t="str">
        <f>VLOOKUP(MONTH(G482),Key!$F$3:$G$14,2,0)</f>
        <v>Nov</v>
      </c>
      <c r="V482" s="30" t="str">
        <f>IFERROR(IF(MATCH(F482,'Test 6'!C$5:C$9,0)&gt;0,"RP"),"NON-RP")</f>
        <v>NON-RP</v>
      </c>
    </row>
    <row r="483" spans="2:22" x14ac:dyDescent="0.5">
      <c r="B483" s="30">
        <v>479</v>
      </c>
      <c r="C483" s="30" t="s">
        <v>1054</v>
      </c>
      <c r="D483" s="31">
        <v>2122220</v>
      </c>
      <c r="E483" s="30" t="s">
        <v>1055</v>
      </c>
      <c r="F483" s="53" t="s">
        <v>45</v>
      </c>
      <c r="G483" s="32">
        <v>44513</v>
      </c>
      <c r="H483" s="33">
        <v>0.57762483883787019</v>
      </c>
      <c r="I483" s="30" t="s">
        <v>428</v>
      </c>
      <c r="J483" s="34">
        <v>331750</v>
      </c>
      <c r="K483" s="35" t="s">
        <v>17</v>
      </c>
      <c r="L483" s="36">
        <v>59715</v>
      </c>
      <c r="M483" s="30" t="s">
        <v>61</v>
      </c>
      <c r="N483" s="30" t="s">
        <v>24</v>
      </c>
      <c r="O483" s="30" t="s">
        <v>1542</v>
      </c>
      <c r="P483" s="30" t="s">
        <v>1542</v>
      </c>
      <c r="Q483" s="30" t="str">
        <f>VLOOKUP(WEEKDAY(G483),Key!$B$3:$C$9,2,0)</f>
        <v>Saturday</v>
      </c>
      <c r="R483" s="42" t="str">
        <f t="shared" si="21"/>
        <v>Within</v>
      </c>
      <c r="S483" s="41" t="str">
        <f t="shared" si="22"/>
        <v>Pass</v>
      </c>
      <c r="T483" s="30" t="str">
        <f t="shared" si="23"/>
        <v>FY 21-22</v>
      </c>
      <c r="U483" s="30" t="str">
        <f>VLOOKUP(MONTH(G483),Key!$F$3:$G$14,2,0)</f>
        <v>Nov</v>
      </c>
      <c r="V483" s="30" t="str">
        <f>IFERROR(IF(MATCH(F483,'Test 6'!C$5:C$9,0)&gt;0,"RP"),"NON-RP")</f>
        <v>NON-RP</v>
      </c>
    </row>
    <row r="484" spans="2:22" x14ac:dyDescent="0.5">
      <c r="B484" s="30">
        <v>480</v>
      </c>
      <c r="C484" s="30" t="s">
        <v>1056</v>
      </c>
      <c r="D484" s="31">
        <v>2122221</v>
      </c>
      <c r="E484" s="30" t="s">
        <v>1057</v>
      </c>
      <c r="F484" s="53" t="s">
        <v>114</v>
      </c>
      <c r="G484" s="32">
        <v>44519</v>
      </c>
      <c r="H484" s="33">
        <v>0.63579851869083148</v>
      </c>
      <c r="I484" s="30" t="s">
        <v>428</v>
      </c>
      <c r="J484" s="34">
        <v>223880</v>
      </c>
      <c r="K484" s="35" t="s">
        <v>17</v>
      </c>
      <c r="L484" s="36">
        <v>40298.400000000001</v>
      </c>
      <c r="M484" s="30" t="s">
        <v>18</v>
      </c>
      <c r="N484" s="30" t="s">
        <v>68</v>
      </c>
      <c r="O484" s="30" t="s">
        <v>1542</v>
      </c>
      <c r="P484" s="30" t="s">
        <v>1542</v>
      </c>
      <c r="Q484" s="30" t="str">
        <f>VLOOKUP(WEEKDAY(G484),Key!$B$3:$C$9,2,0)</f>
        <v>Friday</v>
      </c>
      <c r="R484" s="42" t="str">
        <f t="shared" si="21"/>
        <v>Within</v>
      </c>
      <c r="S484" s="41" t="str">
        <f t="shared" si="22"/>
        <v>Pass</v>
      </c>
      <c r="T484" s="30" t="str">
        <f t="shared" si="23"/>
        <v>FY 21-22</v>
      </c>
      <c r="U484" s="30" t="str">
        <f>VLOOKUP(MONTH(G484),Key!$F$3:$G$14,2,0)</f>
        <v>Nov</v>
      </c>
      <c r="V484" s="30" t="str">
        <f>IFERROR(IF(MATCH(F484,'Test 6'!C$5:C$9,0)&gt;0,"RP"),"NON-RP")</f>
        <v>NON-RP</v>
      </c>
    </row>
    <row r="485" spans="2:22" x14ac:dyDescent="0.5">
      <c r="B485" s="30">
        <v>481</v>
      </c>
      <c r="C485" s="30" t="s">
        <v>1058</v>
      </c>
      <c r="D485" s="31">
        <v>2122222</v>
      </c>
      <c r="E485" s="30" t="s">
        <v>1059</v>
      </c>
      <c r="F485" s="53" t="s">
        <v>293</v>
      </c>
      <c r="G485" s="32">
        <v>44523</v>
      </c>
      <c r="H485" s="33">
        <v>0.69030465825230169</v>
      </c>
      <c r="I485" s="30" t="s">
        <v>428</v>
      </c>
      <c r="J485" s="34">
        <v>12222570</v>
      </c>
      <c r="K485" s="35" t="s">
        <v>17</v>
      </c>
      <c r="L485" s="36">
        <v>2200062.6</v>
      </c>
      <c r="M485" s="30" t="s">
        <v>41</v>
      </c>
      <c r="N485" s="30" t="s">
        <v>42</v>
      </c>
      <c r="O485" s="30" t="s">
        <v>1575</v>
      </c>
      <c r="P485" s="30" t="s">
        <v>1586</v>
      </c>
      <c r="Q485" s="30" t="str">
        <f>VLOOKUP(WEEKDAY(G485),Key!$B$3:$C$9,2,0)</f>
        <v>Tuesday</v>
      </c>
      <c r="R485" s="42" t="str">
        <f t="shared" si="21"/>
        <v>Within</v>
      </c>
      <c r="S485" s="41" t="str">
        <f t="shared" si="22"/>
        <v>Pass</v>
      </c>
      <c r="T485" s="30" t="str">
        <f t="shared" si="23"/>
        <v>FY 21-22</v>
      </c>
      <c r="U485" s="30" t="str">
        <f>VLOOKUP(MONTH(G485),Key!$F$3:$G$14,2,0)</f>
        <v>Nov</v>
      </c>
      <c r="V485" s="30" t="str">
        <f>IFERROR(IF(MATCH(F485,'Test 6'!C$5:C$9,0)&gt;0,"RP"),"NON-RP")</f>
        <v>NON-RP</v>
      </c>
    </row>
    <row r="486" spans="2:22" x14ac:dyDescent="0.5">
      <c r="B486" s="30">
        <v>482</v>
      </c>
      <c r="C486" s="30" t="s">
        <v>1060</v>
      </c>
      <c r="D486" s="31">
        <v>2122223</v>
      </c>
      <c r="E486" s="30" t="s">
        <v>1061</v>
      </c>
      <c r="F486" s="53" t="s">
        <v>40</v>
      </c>
      <c r="G486" s="32">
        <v>44525</v>
      </c>
      <c r="H486" s="33">
        <v>0.67735732162980011</v>
      </c>
      <c r="I486" s="30" t="s">
        <v>383</v>
      </c>
      <c r="J486" s="34">
        <v>285500</v>
      </c>
      <c r="K486" s="35" t="s">
        <v>17</v>
      </c>
      <c r="L486" s="36">
        <v>51390</v>
      </c>
      <c r="M486" s="30" t="s">
        <v>37</v>
      </c>
      <c r="N486" s="30" t="s">
        <v>68</v>
      </c>
      <c r="O486" s="30" t="s">
        <v>1542</v>
      </c>
      <c r="P486" s="30" t="s">
        <v>1542</v>
      </c>
      <c r="Q486" s="30" t="str">
        <f>VLOOKUP(WEEKDAY(G486),Key!$B$3:$C$9,2,0)</f>
        <v>Thursday</v>
      </c>
      <c r="R486" s="42" t="str">
        <f t="shared" si="21"/>
        <v>Within</v>
      </c>
      <c r="S486" s="41" t="str">
        <f t="shared" si="22"/>
        <v>Pass</v>
      </c>
      <c r="T486" s="30" t="str">
        <f t="shared" si="23"/>
        <v>FY 21-22</v>
      </c>
      <c r="U486" s="30" t="str">
        <f>VLOOKUP(MONTH(G486),Key!$F$3:$G$14,2,0)</f>
        <v>Nov</v>
      </c>
      <c r="V486" s="30" t="str">
        <f>IFERROR(IF(MATCH(F486,'Test 6'!C$5:C$9,0)&gt;0,"RP"),"NON-RP")</f>
        <v>NON-RP</v>
      </c>
    </row>
    <row r="487" spans="2:22" x14ac:dyDescent="0.5">
      <c r="B487" s="30">
        <v>483</v>
      </c>
      <c r="C487" s="30" t="s">
        <v>1062</v>
      </c>
      <c r="D487" s="31">
        <v>2122224</v>
      </c>
      <c r="E487" s="30" t="s">
        <v>1063</v>
      </c>
      <c r="F487" s="53" t="s">
        <v>27</v>
      </c>
      <c r="G487" s="32">
        <v>44525</v>
      </c>
      <c r="H487" s="33">
        <v>0.48419614770690833</v>
      </c>
      <c r="I487" s="30" t="s">
        <v>428</v>
      </c>
      <c r="J487" s="34">
        <v>302180</v>
      </c>
      <c r="K487" s="35" t="s">
        <v>17</v>
      </c>
      <c r="L487" s="36">
        <v>54392.4</v>
      </c>
      <c r="M487" s="30" t="s">
        <v>32</v>
      </c>
      <c r="N487" s="30" t="s">
        <v>47</v>
      </c>
      <c r="O487" s="30" t="s">
        <v>1542</v>
      </c>
      <c r="P487" s="30" t="s">
        <v>1542</v>
      </c>
      <c r="Q487" s="30" t="str">
        <f>VLOOKUP(WEEKDAY(G487),Key!$B$3:$C$9,2,0)</f>
        <v>Thursday</v>
      </c>
      <c r="R487" s="42" t="str">
        <f t="shared" si="21"/>
        <v>Within</v>
      </c>
      <c r="S487" s="41" t="str">
        <f t="shared" si="22"/>
        <v>Pass</v>
      </c>
      <c r="T487" s="30" t="str">
        <f t="shared" si="23"/>
        <v>FY 21-22</v>
      </c>
      <c r="U487" s="30" t="str">
        <f>VLOOKUP(MONTH(G487),Key!$F$3:$G$14,2,0)</f>
        <v>Nov</v>
      </c>
      <c r="V487" s="30" t="str">
        <f>IFERROR(IF(MATCH(F487,'Test 6'!C$5:C$9,0)&gt;0,"RP"),"NON-RP")</f>
        <v>NON-RP</v>
      </c>
    </row>
    <row r="488" spans="2:22" x14ac:dyDescent="0.5">
      <c r="B488" s="30">
        <v>484</v>
      </c>
      <c r="C488" s="30" t="s">
        <v>1064</v>
      </c>
      <c r="D488" s="31">
        <v>2122225</v>
      </c>
      <c r="E488" s="30" t="s">
        <v>1065</v>
      </c>
      <c r="F488" s="53" t="s">
        <v>272</v>
      </c>
      <c r="G488" s="32">
        <v>44526</v>
      </c>
      <c r="H488" s="33">
        <v>0.61716080541925789</v>
      </c>
      <c r="I488" s="30" t="s">
        <v>428</v>
      </c>
      <c r="J488" s="34">
        <v>367010</v>
      </c>
      <c r="K488" s="35" t="s">
        <v>17</v>
      </c>
      <c r="L488" s="36">
        <v>66061.8</v>
      </c>
      <c r="M488" s="30" t="s">
        <v>23</v>
      </c>
      <c r="N488" s="30" t="s">
        <v>51</v>
      </c>
      <c r="O488" s="30" t="s">
        <v>1542</v>
      </c>
      <c r="P488" s="30" t="s">
        <v>1542</v>
      </c>
      <c r="Q488" s="30" t="str">
        <f>VLOOKUP(WEEKDAY(G488),Key!$B$3:$C$9,2,0)</f>
        <v>Friday</v>
      </c>
      <c r="R488" s="42" t="str">
        <f t="shared" si="21"/>
        <v>Within</v>
      </c>
      <c r="S488" s="41" t="str">
        <f t="shared" si="22"/>
        <v>Pass</v>
      </c>
      <c r="T488" s="30" t="str">
        <f t="shared" si="23"/>
        <v>FY 21-22</v>
      </c>
      <c r="U488" s="30" t="str">
        <f>VLOOKUP(MONTH(G488),Key!$F$3:$G$14,2,0)</f>
        <v>Nov</v>
      </c>
      <c r="V488" s="30" t="str">
        <f>IFERROR(IF(MATCH(F488,'Test 6'!C$5:C$9,0)&gt;0,"RP"),"NON-RP")</f>
        <v>NON-RP</v>
      </c>
    </row>
    <row r="489" spans="2:22" x14ac:dyDescent="0.5">
      <c r="B489" s="30">
        <v>485</v>
      </c>
      <c r="C489" s="30" t="s">
        <v>1066</v>
      </c>
      <c r="D489" s="31">
        <v>2122226</v>
      </c>
      <c r="E489" s="30" t="s">
        <v>1067</v>
      </c>
      <c r="F489" s="53" t="s">
        <v>27</v>
      </c>
      <c r="G489" s="32">
        <v>44526</v>
      </c>
      <c r="H489" s="33">
        <v>0.46993797375134161</v>
      </c>
      <c r="I489" s="30" t="s">
        <v>428</v>
      </c>
      <c r="J489" s="34">
        <v>26260</v>
      </c>
      <c r="K489" s="35" t="s">
        <v>17</v>
      </c>
      <c r="L489" s="36">
        <v>4726.8</v>
      </c>
      <c r="M489" s="30" t="s">
        <v>106</v>
      </c>
      <c r="N489" s="30" t="s">
        <v>37</v>
      </c>
      <c r="O489" s="30" t="s">
        <v>1542</v>
      </c>
      <c r="P489" s="30" t="s">
        <v>1542</v>
      </c>
      <c r="Q489" s="30" t="str">
        <f>VLOOKUP(WEEKDAY(G489),Key!$B$3:$C$9,2,0)</f>
        <v>Friday</v>
      </c>
      <c r="R489" s="42" t="str">
        <f t="shared" si="21"/>
        <v>Within</v>
      </c>
      <c r="S489" s="41" t="str">
        <f t="shared" si="22"/>
        <v>Pass</v>
      </c>
      <c r="T489" s="30" t="str">
        <f t="shared" si="23"/>
        <v>FY 21-22</v>
      </c>
      <c r="U489" s="30" t="str">
        <f>VLOOKUP(MONTH(G489),Key!$F$3:$G$14,2,0)</f>
        <v>Nov</v>
      </c>
      <c r="V489" s="30" t="str">
        <f>IFERROR(IF(MATCH(F489,'Test 6'!C$5:C$9,0)&gt;0,"RP"),"NON-RP")</f>
        <v>NON-RP</v>
      </c>
    </row>
    <row r="490" spans="2:22" x14ac:dyDescent="0.5">
      <c r="B490" s="30">
        <v>486</v>
      </c>
      <c r="C490" s="30" t="s">
        <v>1068</v>
      </c>
      <c r="D490" s="31">
        <v>2122227</v>
      </c>
      <c r="E490" s="30" t="s">
        <v>1069</v>
      </c>
      <c r="F490" s="53" t="s">
        <v>84</v>
      </c>
      <c r="G490" s="32">
        <v>44527</v>
      </c>
      <c r="H490" s="33">
        <v>0.67398666385026273</v>
      </c>
      <c r="I490" s="30" t="s">
        <v>383</v>
      </c>
      <c r="J490" s="34">
        <v>39590</v>
      </c>
      <c r="K490" s="35" t="s">
        <v>17</v>
      </c>
      <c r="L490" s="36">
        <v>7126.2</v>
      </c>
      <c r="M490" s="30" t="s">
        <v>704</v>
      </c>
      <c r="N490" s="30" t="s">
        <v>28</v>
      </c>
      <c r="O490" s="30" t="s">
        <v>1542</v>
      </c>
      <c r="P490" s="30" t="s">
        <v>1542</v>
      </c>
      <c r="Q490" s="30" t="str">
        <f>VLOOKUP(WEEKDAY(G490),Key!$B$3:$C$9,2,0)</f>
        <v>Saturday</v>
      </c>
      <c r="R490" s="42" t="str">
        <f t="shared" si="21"/>
        <v>Within</v>
      </c>
      <c r="S490" s="41" t="str">
        <f t="shared" si="22"/>
        <v>Pass</v>
      </c>
      <c r="T490" s="30" t="str">
        <f t="shared" si="23"/>
        <v>FY 21-22</v>
      </c>
      <c r="U490" s="30" t="str">
        <f>VLOOKUP(MONTH(G490),Key!$F$3:$G$14,2,0)</f>
        <v>Nov</v>
      </c>
      <c r="V490" s="30" t="str">
        <f>IFERROR(IF(MATCH(F490,'Test 6'!C$5:C$9,0)&gt;0,"RP"),"NON-RP")</f>
        <v>NON-RP</v>
      </c>
    </row>
    <row r="491" spans="2:22" x14ac:dyDescent="0.5">
      <c r="B491" s="30">
        <v>487</v>
      </c>
      <c r="C491" s="30" t="s">
        <v>1070</v>
      </c>
      <c r="D491" s="31">
        <v>2122228</v>
      </c>
      <c r="E491" s="30" t="s">
        <v>1071</v>
      </c>
      <c r="F491" s="53" t="s">
        <v>156</v>
      </c>
      <c r="G491" s="32">
        <v>44527</v>
      </c>
      <c r="H491" s="33">
        <v>0.42486793319808219</v>
      </c>
      <c r="I491" s="30" t="s">
        <v>383</v>
      </c>
      <c r="J491" s="34">
        <v>24260</v>
      </c>
      <c r="K491" s="35" t="s">
        <v>17</v>
      </c>
      <c r="L491" s="36">
        <v>4366.8</v>
      </c>
      <c r="M491" s="30" t="s">
        <v>78</v>
      </c>
      <c r="N491" s="30" t="s">
        <v>28</v>
      </c>
      <c r="O491" s="30" t="s">
        <v>1542</v>
      </c>
      <c r="P491" s="30" t="s">
        <v>1542</v>
      </c>
      <c r="Q491" s="30" t="str">
        <f>VLOOKUP(WEEKDAY(G491),Key!$B$3:$C$9,2,0)</f>
        <v>Saturday</v>
      </c>
      <c r="R491" s="42" t="str">
        <f t="shared" si="21"/>
        <v>Within</v>
      </c>
      <c r="S491" s="41" t="str">
        <f t="shared" si="22"/>
        <v>Pass</v>
      </c>
      <c r="T491" s="30" t="str">
        <f t="shared" si="23"/>
        <v>FY 21-22</v>
      </c>
      <c r="U491" s="30" t="str">
        <f>VLOOKUP(MONTH(G491),Key!$F$3:$G$14,2,0)</f>
        <v>Nov</v>
      </c>
      <c r="V491" s="30" t="str">
        <f>IFERROR(IF(MATCH(F491,'Test 6'!C$5:C$9,0)&gt;0,"RP"),"NON-RP")</f>
        <v>NON-RP</v>
      </c>
    </row>
    <row r="492" spans="2:22" x14ac:dyDescent="0.5">
      <c r="B492" s="30">
        <v>488</v>
      </c>
      <c r="C492" s="30" t="s">
        <v>1072</v>
      </c>
      <c r="D492" s="31">
        <v>2122229</v>
      </c>
      <c r="E492" s="30" t="s">
        <v>1073</v>
      </c>
      <c r="F492" s="53" t="s">
        <v>84</v>
      </c>
      <c r="G492" s="32">
        <v>44529</v>
      </c>
      <c r="H492" s="33">
        <v>0.57117440483398885</v>
      </c>
      <c r="I492" s="30" t="s">
        <v>428</v>
      </c>
      <c r="J492" s="34">
        <v>25240</v>
      </c>
      <c r="K492" s="35" t="s">
        <v>17</v>
      </c>
      <c r="L492" s="36">
        <v>4543.2</v>
      </c>
      <c r="M492" s="30" t="s">
        <v>704</v>
      </c>
      <c r="N492" s="30" t="s">
        <v>32</v>
      </c>
      <c r="O492" s="30" t="s">
        <v>1542</v>
      </c>
      <c r="P492" s="30" t="s">
        <v>1542</v>
      </c>
      <c r="Q492" s="30" t="str">
        <f>VLOOKUP(WEEKDAY(G492),Key!$B$3:$C$9,2,0)</f>
        <v>Monday</v>
      </c>
      <c r="R492" s="42" t="str">
        <f t="shared" si="21"/>
        <v>Within</v>
      </c>
      <c r="S492" s="41" t="str">
        <f t="shared" si="22"/>
        <v>Pass</v>
      </c>
      <c r="T492" s="30" t="str">
        <f t="shared" si="23"/>
        <v>FY 21-22</v>
      </c>
      <c r="U492" s="30" t="str">
        <f>VLOOKUP(MONTH(G492),Key!$F$3:$G$14,2,0)</f>
        <v>Nov</v>
      </c>
      <c r="V492" s="30" t="str">
        <f>IFERROR(IF(MATCH(F492,'Test 6'!C$5:C$9,0)&gt;0,"RP"),"NON-RP")</f>
        <v>NON-RP</v>
      </c>
    </row>
    <row r="493" spans="2:22" x14ac:dyDescent="0.5">
      <c r="B493" s="30">
        <v>489</v>
      </c>
      <c r="C493" s="30" t="s">
        <v>1074</v>
      </c>
      <c r="D493" s="31">
        <v>2122230</v>
      </c>
      <c r="E493" s="30" t="s">
        <v>1075</v>
      </c>
      <c r="F493" s="53" t="s">
        <v>95</v>
      </c>
      <c r="G493" s="32">
        <v>44529</v>
      </c>
      <c r="H493" s="33">
        <v>0.46008447164322497</v>
      </c>
      <c r="I493" s="30" t="s">
        <v>428</v>
      </c>
      <c r="J493" s="34">
        <v>445560</v>
      </c>
      <c r="K493" s="35" t="s">
        <v>17</v>
      </c>
      <c r="L493" s="36">
        <v>80200.800000000003</v>
      </c>
      <c r="M493" s="30" t="s">
        <v>18</v>
      </c>
      <c r="N493" s="30" t="s">
        <v>24</v>
      </c>
      <c r="O493" s="30" t="s">
        <v>1542</v>
      </c>
      <c r="P493" s="30" t="s">
        <v>1542</v>
      </c>
      <c r="Q493" s="30" t="str">
        <f>VLOOKUP(WEEKDAY(G493),Key!$B$3:$C$9,2,0)</f>
        <v>Monday</v>
      </c>
      <c r="R493" s="42" t="str">
        <f t="shared" si="21"/>
        <v>Within</v>
      </c>
      <c r="S493" s="41" t="str">
        <f t="shared" si="22"/>
        <v>Pass</v>
      </c>
      <c r="T493" s="30" t="str">
        <f t="shared" si="23"/>
        <v>FY 21-22</v>
      </c>
      <c r="U493" s="30" t="str">
        <f>VLOOKUP(MONTH(G493),Key!$F$3:$G$14,2,0)</f>
        <v>Nov</v>
      </c>
      <c r="V493" s="30" t="str">
        <f>IFERROR(IF(MATCH(F493,'Test 6'!C$5:C$9,0)&gt;0,"RP"),"NON-RP")</f>
        <v>NON-RP</v>
      </c>
    </row>
    <row r="494" spans="2:22" x14ac:dyDescent="0.5">
      <c r="B494" s="30">
        <v>490</v>
      </c>
      <c r="C494" s="30" t="s">
        <v>1076</v>
      </c>
      <c r="D494" s="31">
        <v>2122231</v>
      </c>
      <c r="E494" s="30" t="s">
        <v>1077</v>
      </c>
      <c r="F494" s="53" t="s">
        <v>153</v>
      </c>
      <c r="G494" s="32">
        <v>44531</v>
      </c>
      <c r="H494" s="33">
        <v>0.48682650275373041</v>
      </c>
      <c r="I494" s="30" t="s">
        <v>469</v>
      </c>
      <c r="J494" s="34">
        <v>2159450</v>
      </c>
      <c r="K494" s="35" t="s">
        <v>17</v>
      </c>
      <c r="L494" s="36">
        <v>388701</v>
      </c>
      <c r="M494" s="30" t="s">
        <v>1078</v>
      </c>
      <c r="N494" s="30" t="s">
        <v>41</v>
      </c>
      <c r="O494" s="30" t="s">
        <v>1542</v>
      </c>
      <c r="P494" s="30" t="s">
        <v>1542</v>
      </c>
      <c r="Q494" s="30" t="str">
        <f>VLOOKUP(WEEKDAY(G494),Key!$B$3:$C$9,2,0)</f>
        <v>Wednesday</v>
      </c>
      <c r="R494" s="42" t="str">
        <f t="shared" si="21"/>
        <v>Within</v>
      </c>
      <c r="S494" s="41" t="str">
        <f t="shared" si="22"/>
        <v>Pass</v>
      </c>
      <c r="T494" s="30" t="str">
        <f t="shared" si="23"/>
        <v>FY 21-22</v>
      </c>
      <c r="U494" s="30" t="str">
        <f>VLOOKUP(MONTH(G494),Key!$F$3:$G$14,2,0)</f>
        <v>Dec</v>
      </c>
      <c r="V494" s="30" t="str">
        <f>IFERROR(IF(MATCH(F494,'Test 6'!C$5:C$9,0)&gt;0,"RP"),"NON-RP")</f>
        <v>NON-RP</v>
      </c>
    </row>
    <row r="495" spans="2:22" x14ac:dyDescent="0.5">
      <c r="B495" s="30">
        <v>491</v>
      </c>
      <c r="C495" s="30" t="s">
        <v>1079</v>
      </c>
      <c r="D495" s="31">
        <v>2122232</v>
      </c>
      <c r="E495" s="30" t="s">
        <v>1080</v>
      </c>
      <c r="F495" s="53" t="s">
        <v>57</v>
      </c>
      <c r="G495" s="32">
        <v>44533</v>
      </c>
      <c r="H495" s="33">
        <v>0.60341137768972097</v>
      </c>
      <c r="I495" s="30" t="s">
        <v>469</v>
      </c>
      <c r="J495" s="34">
        <v>15810</v>
      </c>
      <c r="K495" s="35" t="s">
        <v>17</v>
      </c>
      <c r="L495" s="36">
        <v>2845.7999999999997</v>
      </c>
      <c r="M495" s="30" t="s">
        <v>36</v>
      </c>
      <c r="N495" s="30" t="s">
        <v>32</v>
      </c>
      <c r="O495" s="30" t="s">
        <v>1542</v>
      </c>
      <c r="P495" s="30" t="s">
        <v>1542</v>
      </c>
      <c r="Q495" s="30" t="str">
        <f>VLOOKUP(WEEKDAY(G495),Key!$B$3:$C$9,2,0)</f>
        <v>Friday</v>
      </c>
      <c r="R495" s="42" t="str">
        <f t="shared" si="21"/>
        <v>Within</v>
      </c>
      <c r="S495" s="41" t="str">
        <f t="shared" si="22"/>
        <v>Pass</v>
      </c>
      <c r="T495" s="30" t="str">
        <f t="shared" si="23"/>
        <v>FY 21-22</v>
      </c>
      <c r="U495" s="30" t="str">
        <f>VLOOKUP(MONTH(G495),Key!$F$3:$G$14,2,0)</f>
        <v>Dec</v>
      </c>
      <c r="V495" s="30" t="str">
        <f>IFERROR(IF(MATCH(F495,'Test 6'!C$5:C$9,0)&gt;0,"RP"),"NON-RP")</f>
        <v>NON-RP</v>
      </c>
    </row>
    <row r="496" spans="2:22" x14ac:dyDescent="0.5">
      <c r="B496" s="30">
        <v>492</v>
      </c>
      <c r="C496" s="30" t="s">
        <v>1081</v>
      </c>
      <c r="D496" s="31">
        <v>2122233</v>
      </c>
      <c r="E496" s="30" t="s">
        <v>1082</v>
      </c>
      <c r="F496" s="53" t="s">
        <v>241</v>
      </c>
      <c r="G496" s="32">
        <v>44535</v>
      </c>
      <c r="H496" s="33">
        <v>0.53270794566252189</v>
      </c>
      <c r="I496" s="30" t="s">
        <v>469</v>
      </c>
      <c r="J496" s="34">
        <v>4050320</v>
      </c>
      <c r="K496" s="35" t="s">
        <v>17</v>
      </c>
      <c r="L496" s="36">
        <v>729057.6</v>
      </c>
      <c r="M496" s="30" t="s">
        <v>69</v>
      </c>
      <c r="N496" s="30" t="s">
        <v>41</v>
      </c>
      <c r="O496" s="30" t="s">
        <v>1542</v>
      </c>
      <c r="P496" s="30" t="s">
        <v>1542</v>
      </c>
      <c r="Q496" s="30" t="str">
        <f>VLOOKUP(WEEKDAY(G496),Key!$B$3:$C$9,2,0)</f>
        <v>Sunday</v>
      </c>
      <c r="R496" s="42" t="str">
        <f t="shared" si="21"/>
        <v>Within</v>
      </c>
      <c r="S496" s="41" t="str">
        <f t="shared" si="22"/>
        <v>Red Flag</v>
      </c>
      <c r="T496" s="30" t="str">
        <f t="shared" si="23"/>
        <v>FY 21-22</v>
      </c>
      <c r="U496" s="30" t="str">
        <f>VLOOKUP(MONTH(G496),Key!$F$3:$G$14,2,0)</f>
        <v>Dec</v>
      </c>
      <c r="V496" s="30" t="str">
        <f>IFERROR(IF(MATCH(F496,'Test 6'!C$5:C$9,0)&gt;0,"RP"),"NON-RP")</f>
        <v>RP</v>
      </c>
    </row>
    <row r="497" spans="2:22" x14ac:dyDescent="0.5">
      <c r="B497" s="30">
        <v>493</v>
      </c>
      <c r="C497" s="30" t="s">
        <v>1083</v>
      </c>
      <c r="D497" s="31">
        <v>2122234</v>
      </c>
      <c r="E497" s="30" t="s">
        <v>1084</v>
      </c>
      <c r="F497" s="53" t="s">
        <v>229</v>
      </c>
      <c r="G497" s="32">
        <v>44534</v>
      </c>
      <c r="H497" s="33">
        <v>0.64715606800100856</v>
      </c>
      <c r="I497" s="30" t="s">
        <v>469</v>
      </c>
      <c r="J497" s="34">
        <v>476400</v>
      </c>
      <c r="K497" s="35" t="s">
        <v>17</v>
      </c>
      <c r="L497" s="36">
        <v>85752</v>
      </c>
      <c r="M497" s="30" t="s">
        <v>18</v>
      </c>
      <c r="N497" s="30" t="s">
        <v>19</v>
      </c>
      <c r="O497" s="30" t="s">
        <v>1542</v>
      </c>
      <c r="P497" s="30" t="s">
        <v>1542</v>
      </c>
      <c r="Q497" s="30" t="str">
        <f>VLOOKUP(WEEKDAY(G497),Key!$B$3:$C$9,2,0)</f>
        <v>Saturday</v>
      </c>
      <c r="R497" s="42" t="str">
        <f t="shared" si="21"/>
        <v>Within</v>
      </c>
      <c r="S497" s="41" t="str">
        <f t="shared" si="22"/>
        <v>Pass</v>
      </c>
      <c r="T497" s="30" t="str">
        <f t="shared" si="23"/>
        <v>FY 21-22</v>
      </c>
      <c r="U497" s="30" t="str">
        <f>VLOOKUP(MONTH(G497),Key!$F$3:$G$14,2,0)</f>
        <v>Dec</v>
      </c>
      <c r="V497" s="30" t="str">
        <f>IFERROR(IF(MATCH(F497,'Test 6'!C$5:C$9,0)&gt;0,"RP"),"NON-RP")</f>
        <v>NON-RP</v>
      </c>
    </row>
    <row r="498" spans="2:22" x14ac:dyDescent="0.5">
      <c r="B498" s="30">
        <v>494</v>
      </c>
      <c r="C498" s="30" t="s">
        <v>1085</v>
      </c>
      <c r="D498" s="31">
        <v>2122235</v>
      </c>
      <c r="E498" s="30" t="s">
        <v>1086</v>
      </c>
      <c r="F498" s="53" t="s">
        <v>103</v>
      </c>
      <c r="G498" s="32">
        <v>44536</v>
      </c>
      <c r="H498" s="33">
        <v>0.71338967399305719</v>
      </c>
      <c r="I498" s="30" t="s">
        <v>469</v>
      </c>
      <c r="J498" s="34">
        <v>24170</v>
      </c>
      <c r="K498" s="35" t="s">
        <v>17</v>
      </c>
      <c r="L498" s="36">
        <v>4350.5999999999995</v>
      </c>
      <c r="M498" s="30" t="s">
        <v>78</v>
      </c>
      <c r="N498" s="30" t="s">
        <v>32</v>
      </c>
      <c r="O498" s="30" t="s">
        <v>1542</v>
      </c>
      <c r="P498" s="30" t="s">
        <v>1542</v>
      </c>
      <c r="Q498" s="30" t="str">
        <f>VLOOKUP(WEEKDAY(G498),Key!$B$3:$C$9,2,0)</f>
        <v>Monday</v>
      </c>
      <c r="R498" s="42" t="str">
        <f t="shared" si="21"/>
        <v>Within</v>
      </c>
      <c r="S498" s="41" t="str">
        <f t="shared" si="22"/>
        <v>Pass</v>
      </c>
      <c r="T498" s="30" t="str">
        <f t="shared" si="23"/>
        <v>FY 21-22</v>
      </c>
      <c r="U498" s="30" t="str">
        <f>VLOOKUP(MONTH(G498),Key!$F$3:$G$14,2,0)</f>
        <v>Dec</v>
      </c>
      <c r="V498" s="30" t="str">
        <f>IFERROR(IF(MATCH(F498,'Test 6'!C$5:C$9,0)&gt;0,"RP"),"NON-RP")</f>
        <v>NON-RP</v>
      </c>
    </row>
    <row r="499" spans="2:22" x14ac:dyDescent="0.5">
      <c r="B499" s="30">
        <v>495</v>
      </c>
      <c r="C499" s="30" t="s">
        <v>1087</v>
      </c>
      <c r="D499" s="31">
        <v>2122236</v>
      </c>
      <c r="E499" s="30" t="s">
        <v>1088</v>
      </c>
      <c r="F499" s="53" t="s">
        <v>15</v>
      </c>
      <c r="G499" s="32">
        <v>44537</v>
      </c>
      <c r="H499" s="33">
        <v>0.74661654292345347</v>
      </c>
      <c r="I499" s="30" t="s">
        <v>469</v>
      </c>
      <c r="J499" s="34">
        <v>230900</v>
      </c>
      <c r="K499" s="35" t="s">
        <v>17</v>
      </c>
      <c r="L499" s="36">
        <v>41562</v>
      </c>
      <c r="M499" s="30" t="s">
        <v>28</v>
      </c>
      <c r="N499" s="30" t="s">
        <v>68</v>
      </c>
      <c r="O499" s="30" t="s">
        <v>1542</v>
      </c>
      <c r="P499" s="30" t="s">
        <v>1542</v>
      </c>
      <c r="Q499" s="30" t="str">
        <f>VLOOKUP(WEEKDAY(G499),Key!$B$3:$C$9,2,0)</f>
        <v>Tuesday</v>
      </c>
      <c r="R499" s="42" t="str">
        <f t="shared" si="21"/>
        <v>Within</v>
      </c>
      <c r="S499" s="41" t="str">
        <f t="shared" si="22"/>
        <v>Pass</v>
      </c>
      <c r="T499" s="30" t="str">
        <f t="shared" si="23"/>
        <v>FY 21-22</v>
      </c>
      <c r="U499" s="30" t="str">
        <f>VLOOKUP(MONTH(G499),Key!$F$3:$G$14,2,0)</f>
        <v>Dec</v>
      </c>
      <c r="V499" s="30" t="str">
        <f>IFERROR(IF(MATCH(F499,'Test 6'!C$5:C$9,0)&gt;0,"RP"),"NON-RP")</f>
        <v>NON-RP</v>
      </c>
    </row>
    <row r="500" spans="2:22" x14ac:dyDescent="0.5">
      <c r="B500" s="30">
        <v>496</v>
      </c>
      <c r="C500" s="30" t="s">
        <v>1089</v>
      </c>
      <c r="D500" s="31">
        <v>2122237</v>
      </c>
      <c r="E500" s="30" t="s">
        <v>1090</v>
      </c>
      <c r="F500" s="53" t="s">
        <v>272</v>
      </c>
      <c r="G500" s="32">
        <v>44537</v>
      </c>
      <c r="H500" s="33">
        <v>0.62911343730133429</v>
      </c>
      <c r="I500" s="30" t="s">
        <v>469</v>
      </c>
      <c r="J500" s="34">
        <v>245870</v>
      </c>
      <c r="K500" s="35" t="s">
        <v>17</v>
      </c>
      <c r="L500" s="36">
        <v>44256.6</v>
      </c>
      <c r="M500" s="30" t="s">
        <v>46</v>
      </c>
      <c r="N500" s="30" t="s">
        <v>19</v>
      </c>
      <c r="O500" s="30" t="s">
        <v>1542</v>
      </c>
      <c r="P500" s="30" t="s">
        <v>1542</v>
      </c>
      <c r="Q500" s="30" t="str">
        <f>VLOOKUP(WEEKDAY(G500),Key!$B$3:$C$9,2,0)</f>
        <v>Tuesday</v>
      </c>
      <c r="R500" s="42" t="str">
        <f t="shared" si="21"/>
        <v>Within</v>
      </c>
      <c r="S500" s="41" t="str">
        <f t="shared" si="22"/>
        <v>Pass</v>
      </c>
      <c r="T500" s="30" t="str">
        <f t="shared" si="23"/>
        <v>FY 21-22</v>
      </c>
      <c r="U500" s="30" t="str">
        <f>VLOOKUP(MONTH(G500),Key!$F$3:$G$14,2,0)</f>
        <v>Dec</v>
      </c>
      <c r="V500" s="30" t="str">
        <f>IFERROR(IF(MATCH(F500,'Test 6'!C$5:C$9,0)&gt;0,"RP"),"NON-RP")</f>
        <v>NON-RP</v>
      </c>
    </row>
    <row r="501" spans="2:22" x14ac:dyDescent="0.5">
      <c r="B501" s="30">
        <v>497</v>
      </c>
      <c r="C501" s="30" t="s">
        <v>1091</v>
      </c>
      <c r="D501" s="31">
        <v>2122238</v>
      </c>
      <c r="E501" s="30" t="s">
        <v>1092</v>
      </c>
      <c r="F501" s="53" t="s">
        <v>131</v>
      </c>
      <c r="G501" s="32">
        <v>44538</v>
      </c>
      <c r="H501" s="33">
        <v>0.46384396823757129</v>
      </c>
      <c r="I501" s="30" t="s">
        <v>469</v>
      </c>
      <c r="J501" s="34">
        <v>258400</v>
      </c>
      <c r="K501" s="35" t="s">
        <v>17</v>
      </c>
      <c r="L501" s="36">
        <v>46512</v>
      </c>
      <c r="M501" s="30" t="s">
        <v>37</v>
      </c>
      <c r="N501" s="30" t="s">
        <v>51</v>
      </c>
      <c r="O501" s="30" t="s">
        <v>1542</v>
      </c>
      <c r="P501" s="30" t="s">
        <v>1542</v>
      </c>
      <c r="Q501" s="30" t="str">
        <f>VLOOKUP(WEEKDAY(G501),Key!$B$3:$C$9,2,0)</f>
        <v>Wednesday</v>
      </c>
      <c r="R501" s="42" t="str">
        <f t="shared" si="21"/>
        <v>Within</v>
      </c>
      <c r="S501" s="41" t="str">
        <f t="shared" si="22"/>
        <v>Pass</v>
      </c>
      <c r="T501" s="30" t="str">
        <f t="shared" si="23"/>
        <v>FY 21-22</v>
      </c>
      <c r="U501" s="30" t="str">
        <f>VLOOKUP(MONTH(G501),Key!$F$3:$G$14,2,0)</f>
        <v>Dec</v>
      </c>
      <c r="V501" s="30" t="str">
        <f>IFERROR(IF(MATCH(F501,'Test 6'!C$5:C$9,0)&gt;0,"RP"),"NON-RP")</f>
        <v>NON-RP</v>
      </c>
    </row>
    <row r="502" spans="2:22" x14ac:dyDescent="0.5">
      <c r="B502" s="30">
        <v>498</v>
      </c>
      <c r="C502" s="30" t="s">
        <v>1093</v>
      </c>
      <c r="D502" s="31">
        <v>2122239</v>
      </c>
      <c r="E502" s="30" t="s">
        <v>1094</v>
      </c>
      <c r="F502" s="53" t="s">
        <v>87</v>
      </c>
      <c r="G502" s="32">
        <v>44539</v>
      </c>
      <c r="H502" s="33">
        <v>0.49791866672645241</v>
      </c>
      <c r="I502" s="30" t="s">
        <v>469</v>
      </c>
      <c r="J502" s="34">
        <v>391470</v>
      </c>
      <c r="K502" s="35" t="s">
        <v>17</v>
      </c>
      <c r="L502" s="36">
        <v>70464.599999999991</v>
      </c>
      <c r="M502" s="30" t="s">
        <v>46</v>
      </c>
      <c r="N502" s="30" t="s">
        <v>47</v>
      </c>
      <c r="O502" s="30" t="s">
        <v>1542</v>
      </c>
      <c r="P502" s="30" t="s">
        <v>1542</v>
      </c>
      <c r="Q502" s="30" t="str">
        <f>VLOOKUP(WEEKDAY(G502),Key!$B$3:$C$9,2,0)</f>
        <v>Thursday</v>
      </c>
      <c r="R502" s="42" t="str">
        <f t="shared" si="21"/>
        <v>Within</v>
      </c>
      <c r="S502" s="41" t="str">
        <f t="shared" si="22"/>
        <v>Pass</v>
      </c>
      <c r="T502" s="30" t="str">
        <f t="shared" si="23"/>
        <v>FY 21-22</v>
      </c>
      <c r="U502" s="30" t="str">
        <f>VLOOKUP(MONTH(G502),Key!$F$3:$G$14,2,0)</f>
        <v>Dec</v>
      </c>
      <c r="V502" s="30" t="str">
        <f>IFERROR(IF(MATCH(F502,'Test 6'!C$5:C$9,0)&gt;0,"RP"),"NON-RP")</f>
        <v>NON-RP</v>
      </c>
    </row>
    <row r="503" spans="2:22" x14ac:dyDescent="0.5">
      <c r="B503" s="30">
        <v>499</v>
      </c>
      <c r="C503" s="30" t="s">
        <v>1095</v>
      </c>
      <c r="D503" s="31">
        <v>2122240</v>
      </c>
      <c r="E503" s="30" t="s">
        <v>1096</v>
      </c>
      <c r="F503" s="53" t="s">
        <v>308</v>
      </c>
      <c r="G503" s="32">
        <v>44542</v>
      </c>
      <c r="H503" s="33">
        <v>0.46934027777777776</v>
      </c>
      <c r="I503" s="30" t="s">
        <v>469</v>
      </c>
      <c r="J503" s="34">
        <v>4463340</v>
      </c>
      <c r="K503" s="35" t="s">
        <v>17</v>
      </c>
      <c r="L503" s="36">
        <v>803401.2</v>
      </c>
      <c r="M503" s="30" t="s">
        <v>701</v>
      </c>
      <c r="N503" s="30" t="s">
        <v>41</v>
      </c>
      <c r="O503" s="30" t="s">
        <v>1542</v>
      </c>
      <c r="P503" s="30" t="s">
        <v>1542</v>
      </c>
      <c r="Q503" s="30" t="str">
        <f>VLOOKUP(WEEKDAY(G503),Key!$B$3:$C$9,2,0)</f>
        <v>Sunday</v>
      </c>
      <c r="R503" s="42" t="str">
        <f t="shared" si="21"/>
        <v>Within</v>
      </c>
      <c r="S503" s="41" t="str">
        <f t="shared" si="22"/>
        <v>Red Flag</v>
      </c>
      <c r="T503" s="30" t="str">
        <f t="shared" si="23"/>
        <v>FY 21-22</v>
      </c>
      <c r="U503" s="30" t="str">
        <f>VLOOKUP(MONTH(G503),Key!$F$3:$G$14,2,0)</f>
        <v>Dec</v>
      </c>
      <c r="V503" s="30" t="str">
        <f>IFERROR(IF(MATCH(F503,'Test 6'!C$5:C$9,0)&gt;0,"RP"),"NON-RP")</f>
        <v>RP</v>
      </c>
    </row>
    <row r="504" spans="2:22" x14ac:dyDescent="0.5">
      <c r="B504" s="30">
        <v>500</v>
      </c>
      <c r="C504" s="30" t="s">
        <v>1097</v>
      </c>
      <c r="D504" s="31">
        <v>2122241</v>
      </c>
      <c r="E504" s="30" t="s">
        <v>1098</v>
      </c>
      <c r="F504" s="53" t="s">
        <v>22</v>
      </c>
      <c r="G504" s="32">
        <v>44541</v>
      </c>
      <c r="H504" s="33">
        <v>0.4957820669729589</v>
      </c>
      <c r="I504" s="30" t="s">
        <v>469</v>
      </c>
      <c r="J504" s="34">
        <v>446670</v>
      </c>
      <c r="K504" s="35" t="s">
        <v>17</v>
      </c>
      <c r="L504" s="36">
        <v>80400.599999999991</v>
      </c>
      <c r="M504" s="30" t="s">
        <v>18</v>
      </c>
      <c r="N504" s="30" t="s">
        <v>19</v>
      </c>
      <c r="O504" s="30" t="s">
        <v>1542</v>
      </c>
      <c r="P504" s="30" t="s">
        <v>1542</v>
      </c>
      <c r="Q504" s="30" t="str">
        <f>VLOOKUP(WEEKDAY(G504),Key!$B$3:$C$9,2,0)</f>
        <v>Saturday</v>
      </c>
      <c r="R504" s="42" t="str">
        <f t="shared" si="21"/>
        <v>Within</v>
      </c>
      <c r="S504" s="41" t="str">
        <f t="shared" si="22"/>
        <v>Pass</v>
      </c>
      <c r="T504" s="30" t="str">
        <f t="shared" si="23"/>
        <v>FY 21-22</v>
      </c>
      <c r="U504" s="30" t="str">
        <f>VLOOKUP(MONTH(G504),Key!$F$3:$G$14,2,0)</f>
        <v>Dec</v>
      </c>
      <c r="V504" s="30" t="str">
        <f>IFERROR(IF(MATCH(F504,'Test 6'!C$5:C$9,0)&gt;0,"RP"),"NON-RP")</f>
        <v>NON-RP</v>
      </c>
    </row>
    <row r="505" spans="2:22" x14ac:dyDescent="0.5">
      <c r="B505" s="30">
        <v>501</v>
      </c>
      <c r="C505" s="30" t="s">
        <v>1099</v>
      </c>
      <c r="D505" s="31">
        <v>2122242</v>
      </c>
      <c r="E505" s="30" t="s">
        <v>1100</v>
      </c>
      <c r="F505" s="53" t="s">
        <v>272</v>
      </c>
      <c r="G505" s="32">
        <v>44541</v>
      </c>
      <c r="H505" s="33">
        <v>0.631852636985194</v>
      </c>
      <c r="I505" s="30" t="s">
        <v>469</v>
      </c>
      <c r="J505" s="34">
        <v>284960</v>
      </c>
      <c r="K505" s="35" t="s">
        <v>17</v>
      </c>
      <c r="L505" s="36">
        <v>51292.799999999996</v>
      </c>
      <c r="M505" s="30" t="s">
        <v>61</v>
      </c>
      <c r="N505" s="30" t="s">
        <v>24</v>
      </c>
      <c r="O505" s="30" t="s">
        <v>1542</v>
      </c>
      <c r="P505" s="30" t="s">
        <v>1542</v>
      </c>
      <c r="Q505" s="30" t="str">
        <f>VLOOKUP(WEEKDAY(G505),Key!$B$3:$C$9,2,0)</f>
        <v>Saturday</v>
      </c>
      <c r="R505" s="42" t="str">
        <f t="shared" si="21"/>
        <v>Within</v>
      </c>
      <c r="S505" s="41" t="str">
        <f t="shared" si="22"/>
        <v>Pass</v>
      </c>
      <c r="T505" s="30" t="str">
        <f t="shared" si="23"/>
        <v>FY 21-22</v>
      </c>
      <c r="U505" s="30" t="str">
        <f>VLOOKUP(MONTH(G505),Key!$F$3:$G$14,2,0)</f>
        <v>Dec</v>
      </c>
      <c r="V505" s="30" t="str">
        <f>IFERROR(IF(MATCH(F505,'Test 6'!C$5:C$9,0)&gt;0,"RP"),"NON-RP")</f>
        <v>NON-RP</v>
      </c>
    </row>
    <row r="506" spans="2:22" x14ac:dyDescent="0.5">
      <c r="B506" s="30">
        <v>502</v>
      </c>
      <c r="C506" s="30" t="s">
        <v>1101</v>
      </c>
      <c r="D506" s="31">
        <v>2122243</v>
      </c>
      <c r="E506" s="30" t="s">
        <v>1102</v>
      </c>
      <c r="F506" s="53" t="s">
        <v>184</v>
      </c>
      <c r="G506" s="32">
        <v>44541</v>
      </c>
      <c r="H506" s="33">
        <v>0.56361765474177461</v>
      </c>
      <c r="I506" s="30" t="s">
        <v>469</v>
      </c>
      <c r="J506" s="34">
        <v>444500</v>
      </c>
      <c r="K506" s="35" t="s">
        <v>17</v>
      </c>
      <c r="L506" s="36">
        <v>80010</v>
      </c>
      <c r="M506" s="30" t="s">
        <v>18</v>
      </c>
      <c r="N506" s="30" t="s">
        <v>68</v>
      </c>
      <c r="O506" s="30" t="s">
        <v>1542</v>
      </c>
      <c r="P506" s="30" t="s">
        <v>1542</v>
      </c>
      <c r="Q506" s="30" t="str">
        <f>VLOOKUP(WEEKDAY(G506),Key!$B$3:$C$9,2,0)</f>
        <v>Saturday</v>
      </c>
      <c r="R506" s="42" t="str">
        <f t="shared" si="21"/>
        <v>Within</v>
      </c>
      <c r="S506" s="41" t="str">
        <f t="shared" si="22"/>
        <v>Pass</v>
      </c>
      <c r="T506" s="30" t="str">
        <f t="shared" si="23"/>
        <v>FY 21-22</v>
      </c>
      <c r="U506" s="30" t="str">
        <f>VLOOKUP(MONTH(G506),Key!$F$3:$G$14,2,0)</f>
        <v>Dec</v>
      </c>
      <c r="V506" s="30" t="str">
        <f>IFERROR(IF(MATCH(F506,'Test 6'!C$5:C$9,0)&gt;0,"RP"),"NON-RP")</f>
        <v>NON-RP</v>
      </c>
    </row>
    <row r="507" spans="2:22" x14ac:dyDescent="0.5">
      <c r="B507" s="30">
        <v>503</v>
      </c>
      <c r="C507" s="30" t="s">
        <v>1103</v>
      </c>
      <c r="D507" s="31">
        <v>2122244</v>
      </c>
      <c r="E507" s="30" t="s">
        <v>1104</v>
      </c>
      <c r="F507" s="53" t="s">
        <v>81</v>
      </c>
      <c r="G507" s="32">
        <v>44541</v>
      </c>
      <c r="H507" s="33">
        <v>0.64004818035475219</v>
      </c>
      <c r="I507" s="30" t="s">
        <v>469</v>
      </c>
      <c r="J507" s="34">
        <v>373180</v>
      </c>
      <c r="K507" s="35" t="s">
        <v>17</v>
      </c>
      <c r="L507" s="36">
        <v>67172.399999999994</v>
      </c>
      <c r="M507" s="30" t="s">
        <v>61</v>
      </c>
      <c r="N507" s="30" t="s">
        <v>47</v>
      </c>
      <c r="O507" s="30" t="s">
        <v>1542</v>
      </c>
      <c r="P507" s="30" t="s">
        <v>1542</v>
      </c>
      <c r="Q507" s="30" t="str">
        <f>VLOOKUP(WEEKDAY(G507),Key!$B$3:$C$9,2,0)</f>
        <v>Saturday</v>
      </c>
      <c r="R507" s="42" t="str">
        <f t="shared" si="21"/>
        <v>Within</v>
      </c>
      <c r="S507" s="41" t="str">
        <f t="shared" si="22"/>
        <v>Pass</v>
      </c>
      <c r="T507" s="30" t="str">
        <f t="shared" si="23"/>
        <v>FY 21-22</v>
      </c>
      <c r="U507" s="30" t="str">
        <f>VLOOKUP(MONTH(G507),Key!$F$3:$G$14,2,0)</f>
        <v>Dec</v>
      </c>
      <c r="V507" s="30" t="str">
        <f>IFERROR(IF(MATCH(F507,'Test 6'!C$5:C$9,0)&gt;0,"RP"),"NON-RP")</f>
        <v>NON-RP</v>
      </c>
    </row>
    <row r="508" spans="2:22" x14ac:dyDescent="0.5">
      <c r="B508" s="30">
        <v>504</v>
      </c>
      <c r="C508" s="30" t="s">
        <v>1105</v>
      </c>
      <c r="D508" s="31">
        <v>2122245</v>
      </c>
      <c r="E508" s="30" t="s">
        <v>1106</v>
      </c>
      <c r="F508" s="53" t="s">
        <v>293</v>
      </c>
      <c r="G508" s="32">
        <v>44541</v>
      </c>
      <c r="H508" s="33">
        <v>0.45689050793375563</v>
      </c>
      <c r="I508" s="30" t="s">
        <v>469</v>
      </c>
      <c r="J508" s="34">
        <v>215460</v>
      </c>
      <c r="K508" s="35" t="s">
        <v>17</v>
      </c>
      <c r="L508" s="36">
        <v>38782.799999999996</v>
      </c>
      <c r="M508" s="30" t="s">
        <v>23</v>
      </c>
      <c r="N508" s="30" t="s">
        <v>51</v>
      </c>
      <c r="O508" s="30" t="s">
        <v>1542</v>
      </c>
      <c r="P508" s="30" t="s">
        <v>1542</v>
      </c>
      <c r="Q508" s="30" t="str">
        <f>VLOOKUP(WEEKDAY(G508),Key!$B$3:$C$9,2,0)</f>
        <v>Saturday</v>
      </c>
      <c r="R508" s="42" t="str">
        <f t="shared" si="21"/>
        <v>Within</v>
      </c>
      <c r="S508" s="41" t="str">
        <f t="shared" si="22"/>
        <v>Pass</v>
      </c>
      <c r="T508" s="30" t="str">
        <f t="shared" si="23"/>
        <v>FY 21-22</v>
      </c>
      <c r="U508" s="30" t="str">
        <f>VLOOKUP(MONTH(G508),Key!$F$3:$G$14,2,0)</f>
        <v>Dec</v>
      </c>
      <c r="V508" s="30" t="str">
        <f>IFERROR(IF(MATCH(F508,'Test 6'!C$5:C$9,0)&gt;0,"RP"),"NON-RP")</f>
        <v>NON-RP</v>
      </c>
    </row>
    <row r="509" spans="2:22" x14ac:dyDescent="0.5">
      <c r="B509" s="30">
        <v>505</v>
      </c>
      <c r="C509" s="30" t="s">
        <v>1107</v>
      </c>
      <c r="D509" s="31">
        <v>2122246</v>
      </c>
      <c r="E509" s="30" t="s">
        <v>1108</v>
      </c>
      <c r="F509" s="53" t="s">
        <v>84</v>
      </c>
      <c r="G509" s="32">
        <v>44543</v>
      </c>
      <c r="H509" s="33">
        <v>0.60348679988801812</v>
      </c>
      <c r="I509" s="30" t="s">
        <v>469</v>
      </c>
      <c r="J509" s="34">
        <v>231820</v>
      </c>
      <c r="K509" s="35" t="s">
        <v>17</v>
      </c>
      <c r="L509" s="36">
        <v>41727.599999999999</v>
      </c>
      <c r="M509" s="30" t="s">
        <v>18</v>
      </c>
      <c r="N509" s="30" t="s">
        <v>68</v>
      </c>
      <c r="O509" s="30" t="s">
        <v>1542</v>
      </c>
      <c r="P509" s="30" t="s">
        <v>1542</v>
      </c>
      <c r="Q509" s="30" t="str">
        <f>VLOOKUP(WEEKDAY(G509),Key!$B$3:$C$9,2,0)</f>
        <v>Monday</v>
      </c>
      <c r="R509" s="42" t="str">
        <f t="shared" si="21"/>
        <v>Within</v>
      </c>
      <c r="S509" s="41" t="str">
        <f t="shared" si="22"/>
        <v>Pass</v>
      </c>
      <c r="T509" s="30" t="str">
        <f t="shared" si="23"/>
        <v>FY 21-22</v>
      </c>
      <c r="U509" s="30" t="str">
        <f>VLOOKUP(MONTH(G509),Key!$F$3:$G$14,2,0)</f>
        <v>Dec</v>
      </c>
      <c r="V509" s="30" t="str">
        <f>IFERROR(IF(MATCH(F509,'Test 6'!C$5:C$9,0)&gt;0,"RP"),"NON-RP")</f>
        <v>NON-RP</v>
      </c>
    </row>
    <row r="510" spans="2:22" x14ac:dyDescent="0.5">
      <c r="B510" s="30">
        <v>506</v>
      </c>
      <c r="C510" s="30" t="s">
        <v>1109</v>
      </c>
      <c r="D510" s="31">
        <v>2122247</v>
      </c>
      <c r="E510" s="30" t="s">
        <v>1110</v>
      </c>
      <c r="F510" s="53" t="s">
        <v>608</v>
      </c>
      <c r="G510" s="32">
        <v>44543</v>
      </c>
      <c r="H510" s="33">
        <v>0.44007550457379013</v>
      </c>
      <c r="I510" s="30" t="s">
        <v>469</v>
      </c>
      <c r="J510" s="34">
        <v>433600</v>
      </c>
      <c r="K510" s="35" t="s">
        <v>17</v>
      </c>
      <c r="L510" s="36">
        <v>78048</v>
      </c>
      <c r="M510" s="30" t="s">
        <v>23</v>
      </c>
      <c r="N510" s="30" t="s">
        <v>24</v>
      </c>
      <c r="O510" s="30" t="s">
        <v>1542</v>
      </c>
      <c r="P510" s="30" t="s">
        <v>1542</v>
      </c>
      <c r="Q510" s="30" t="str">
        <f>VLOOKUP(WEEKDAY(G510),Key!$B$3:$C$9,2,0)</f>
        <v>Monday</v>
      </c>
      <c r="R510" s="42" t="str">
        <f t="shared" si="21"/>
        <v>Within</v>
      </c>
      <c r="S510" s="41" t="str">
        <f t="shared" si="22"/>
        <v>Pass</v>
      </c>
      <c r="T510" s="30" t="str">
        <f t="shared" si="23"/>
        <v>FY 21-22</v>
      </c>
      <c r="U510" s="30" t="str">
        <f>VLOOKUP(MONTH(G510),Key!$F$3:$G$14,2,0)</f>
        <v>Dec</v>
      </c>
      <c r="V510" s="30" t="str">
        <f>IFERROR(IF(MATCH(F510,'Test 6'!C$5:C$9,0)&gt;0,"RP"),"NON-RP")</f>
        <v>NON-RP</v>
      </c>
    </row>
    <row r="511" spans="2:22" x14ac:dyDescent="0.5">
      <c r="B511" s="30">
        <v>507</v>
      </c>
      <c r="C511" s="30" t="s">
        <v>1111</v>
      </c>
      <c r="D511" s="31">
        <v>2122248</v>
      </c>
      <c r="E511" s="30" t="s">
        <v>1112</v>
      </c>
      <c r="F511" s="53" t="s">
        <v>57</v>
      </c>
      <c r="G511" s="32">
        <v>44543</v>
      </c>
      <c r="H511" s="33">
        <v>0.65409785133956999</v>
      </c>
      <c r="I511" s="30" t="s">
        <v>469</v>
      </c>
      <c r="J511" s="34">
        <v>6302410</v>
      </c>
      <c r="K511" s="35" t="s">
        <v>17</v>
      </c>
      <c r="L511" s="36">
        <v>1134433.8</v>
      </c>
      <c r="M511" s="30" t="s">
        <v>41</v>
      </c>
      <c r="N511" s="30" t="s">
        <v>42</v>
      </c>
      <c r="O511" s="30" t="s">
        <v>1575</v>
      </c>
      <c r="P511" s="30" t="s">
        <v>1587</v>
      </c>
      <c r="Q511" s="30" t="str">
        <f>VLOOKUP(WEEKDAY(G511),Key!$B$3:$C$9,2,0)</f>
        <v>Monday</v>
      </c>
      <c r="R511" s="42" t="str">
        <f t="shared" si="21"/>
        <v>Within</v>
      </c>
      <c r="S511" s="41" t="str">
        <f t="shared" si="22"/>
        <v>Pass</v>
      </c>
      <c r="T511" s="30" t="str">
        <f t="shared" si="23"/>
        <v>FY 21-22</v>
      </c>
      <c r="U511" s="30" t="str">
        <f>VLOOKUP(MONTH(G511),Key!$F$3:$G$14,2,0)</f>
        <v>Dec</v>
      </c>
      <c r="V511" s="30" t="str">
        <f>IFERROR(IF(MATCH(F511,'Test 6'!C$5:C$9,0)&gt;0,"RP"),"NON-RP")</f>
        <v>NON-RP</v>
      </c>
    </row>
    <row r="512" spans="2:22" x14ac:dyDescent="0.5">
      <c r="B512" s="30">
        <v>508</v>
      </c>
      <c r="C512" s="30" t="s">
        <v>1113</v>
      </c>
      <c r="D512" s="31">
        <v>2122249</v>
      </c>
      <c r="E512" s="30" t="s">
        <v>1114</v>
      </c>
      <c r="F512" s="53" t="s">
        <v>241</v>
      </c>
      <c r="G512" s="32">
        <v>44541</v>
      </c>
      <c r="H512" s="33">
        <v>0.82111111111111112</v>
      </c>
      <c r="I512" s="30" t="s">
        <v>469</v>
      </c>
      <c r="J512" s="34">
        <v>4918360</v>
      </c>
      <c r="K512" s="35" t="s">
        <v>17</v>
      </c>
      <c r="L512" s="36">
        <v>885304.79999999993</v>
      </c>
      <c r="M512" s="30" t="s">
        <v>41</v>
      </c>
      <c r="N512" s="30" t="s">
        <v>42</v>
      </c>
      <c r="O512" s="30" t="s">
        <v>1542</v>
      </c>
      <c r="P512" s="30" t="s">
        <v>1542</v>
      </c>
      <c r="Q512" s="30" t="str">
        <f>VLOOKUP(WEEKDAY(G512),Key!$B$3:$C$9,2,0)</f>
        <v>Saturday</v>
      </c>
      <c r="R512" s="42" t="str">
        <f t="shared" si="21"/>
        <v>Outside</v>
      </c>
      <c r="S512" s="41" t="str">
        <f t="shared" si="22"/>
        <v>Red Flag</v>
      </c>
      <c r="T512" s="30" t="str">
        <f t="shared" si="23"/>
        <v>FY 21-22</v>
      </c>
      <c r="U512" s="30" t="str">
        <f>VLOOKUP(MONTH(G512),Key!$F$3:$G$14,2,0)</f>
        <v>Dec</v>
      </c>
      <c r="V512" s="30" t="str">
        <f>IFERROR(IF(MATCH(F512,'Test 6'!C$5:C$9,0)&gt;0,"RP"),"NON-RP")</f>
        <v>RP</v>
      </c>
    </row>
    <row r="513" spans="2:22" x14ac:dyDescent="0.5">
      <c r="B513" s="30">
        <v>509</v>
      </c>
      <c r="C513" s="30" t="s">
        <v>1115</v>
      </c>
      <c r="D513" s="31">
        <v>2122250</v>
      </c>
      <c r="E513" s="30" t="s">
        <v>1116</v>
      </c>
      <c r="F513" s="53" t="s">
        <v>114</v>
      </c>
      <c r="G513" s="32">
        <v>44544</v>
      </c>
      <c r="H513" s="33">
        <v>0.62991358534157005</v>
      </c>
      <c r="I513" s="30" t="s">
        <v>469</v>
      </c>
      <c r="J513" s="34">
        <v>488690</v>
      </c>
      <c r="K513" s="35" t="s">
        <v>17</v>
      </c>
      <c r="L513" s="36">
        <v>87964.2</v>
      </c>
      <c r="M513" s="30" t="s">
        <v>23</v>
      </c>
      <c r="N513" s="30" t="s">
        <v>68</v>
      </c>
      <c r="O513" s="30" t="s">
        <v>1542</v>
      </c>
      <c r="P513" s="30" t="s">
        <v>1542</v>
      </c>
      <c r="Q513" s="30" t="str">
        <f>VLOOKUP(WEEKDAY(G513),Key!$B$3:$C$9,2,0)</f>
        <v>Tuesday</v>
      </c>
      <c r="R513" s="42" t="str">
        <f t="shared" si="21"/>
        <v>Within</v>
      </c>
      <c r="S513" s="41" t="str">
        <f t="shared" si="22"/>
        <v>Pass</v>
      </c>
      <c r="T513" s="30" t="str">
        <f t="shared" si="23"/>
        <v>FY 21-22</v>
      </c>
      <c r="U513" s="30" t="str">
        <f>VLOOKUP(MONTH(G513),Key!$F$3:$G$14,2,0)</f>
        <v>Dec</v>
      </c>
      <c r="V513" s="30" t="str">
        <f>IFERROR(IF(MATCH(F513,'Test 6'!C$5:C$9,0)&gt;0,"RP"),"NON-RP")</f>
        <v>NON-RP</v>
      </c>
    </row>
    <row r="514" spans="2:22" x14ac:dyDescent="0.5">
      <c r="B514" s="30">
        <v>510</v>
      </c>
      <c r="C514" s="30" t="s">
        <v>1117</v>
      </c>
      <c r="D514" s="31">
        <v>2122251</v>
      </c>
      <c r="E514" s="30" t="s">
        <v>1118</v>
      </c>
      <c r="F514" s="53" t="s">
        <v>92</v>
      </c>
      <c r="G514" s="32">
        <v>44547</v>
      </c>
      <c r="H514" s="33">
        <v>0.46363022044902374</v>
      </c>
      <c r="I514" s="30" t="s">
        <v>469</v>
      </c>
      <c r="J514" s="34">
        <v>415690</v>
      </c>
      <c r="K514" s="35" t="s">
        <v>17</v>
      </c>
      <c r="L514" s="36">
        <v>74824.2</v>
      </c>
      <c r="M514" s="30" t="s">
        <v>18</v>
      </c>
      <c r="N514" s="30" t="s">
        <v>68</v>
      </c>
      <c r="O514" s="30" t="s">
        <v>1542</v>
      </c>
      <c r="P514" s="30" t="s">
        <v>1542</v>
      </c>
      <c r="Q514" s="30" t="str">
        <f>VLOOKUP(WEEKDAY(G514),Key!$B$3:$C$9,2,0)</f>
        <v>Friday</v>
      </c>
      <c r="R514" s="42" t="str">
        <f t="shared" si="21"/>
        <v>Within</v>
      </c>
      <c r="S514" s="41" t="str">
        <f t="shared" si="22"/>
        <v>Pass</v>
      </c>
      <c r="T514" s="30" t="str">
        <f t="shared" si="23"/>
        <v>FY 21-22</v>
      </c>
      <c r="U514" s="30" t="str">
        <f>VLOOKUP(MONTH(G514),Key!$F$3:$G$14,2,0)</f>
        <v>Dec</v>
      </c>
      <c r="V514" s="30" t="str">
        <f>IFERROR(IF(MATCH(F514,'Test 6'!C$5:C$9,0)&gt;0,"RP"),"NON-RP")</f>
        <v>NON-RP</v>
      </c>
    </row>
    <row r="515" spans="2:22" x14ac:dyDescent="0.5">
      <c r="B515" s="30">
        <v>511</v>
      </c>
      <c r="C515" s="30" t="s">
        <v>1119</v>
      </c>
      <c r="D515" s="31">
        <v>2122252</v>
      </c>
      <c r="E515" s="30" t="s">
        <v>1120</v>
      </c>
      <c r="F515" s="53" t="s">
        <v>35</v>
      </c>
      <c r="G515" s="32">
        <v>44548</v>
      </c>
      <c r="H515" s="33">
        <v>0.68758768197153963</v>
      </c>
      <c r="I515" s="30" t="s">
        <v>469</v>
      </c>
      <c r="J515" s="34">
        <v>497220</v>
      </c>
      <c r="K515" s="35" t="s">
        <v>17</v>
      </c>
      <c r="L515" s="36">
        <v>89499.599999999991</v>
      </c>
      <c r="M515" s="30" t="s">
        <v>46</v>
      </c>
      <c r="N515" s="30" t="s">
        <v>68</v>
      </c>
      <c r="O515" s="30" t="s">
        <v>1542</v>
      </c>
      <c r="P515" s="30" t="s">
        <v>1542</v>
      </c>
      <c r="Q515" s="30" t="str">
        <f>VLOOKUP(WEEKDAY(G515),Key!$B$3:$C$9,2,0)</f>
        <v>Saturday</v>
      </c>
      <c r="R515" s="42" t="str">
        <f t="shared" si="21"/>
        <v>Within</v>
      </c>
      <c r="S515" s="41" t="str">
        <f t="shared" si="22"/>
        <v>Pass</v>
      </c>
      <c r="T515" s="30" t="str">
        <f t="shared" si="23"/>
        <v>FY 21-22</v>
      </c>
      <c r="U515" s="30" t="str">
        <f>VLOOKUP(MONTH(G515),Key!$F$3:$G$14,2,0)</f>
        <v>Dec</v>
      </c>
      <c r="V515" s="30" t="str">
        <f>IFERROR(IF(MATCH(F515,'Test 6'!C$5:C$9,0)&gt;0,"RP"),"NON-RP")</f>
        <v>NON-RP</v>
      </c>
    </row>
    <row r="516" spans="2:22" x14ac:dyDescent="0.5">
      <c r="B516" s="30">
        <v>512</v>
      </c>
      <c r="C516" s="30" t="s">
        <v>1121</v>
      </c>
      <c r="D516" s="31">
        <v>2122253</v>
      </c>
      <c r="E516" s="30" t="s">
        <v>1122</v>
      </c>
      <c r="F516" s="53" t="s">
        <v>175</v>
      </c>
      <c r="G516" s="32">
        <v>44550</v>
      </c>
      <c r="H516" s="33">
        <v>0.48187876318280809</v>
      </c>
      <c r="I516" s="30" t="s">
        <v>469</v>
      </c>
      <c r="J516" s="34">
        <v>273650</v>
      </c>
      <c r="K516" s="35" t="s">
        <v>17</v>
      </c>
      <c r="L516" s="36">
        <v>49257</v>
      </c>
      <c r="M516" s="30" t="s">
        <v>23</v>
      </c>
      <c r="N516" s="30" t="s">
        <v>47</v>
      </c>
      <c r="O516" s="30" t="s">
        <v>1542</v>
      </c>
      <c r="P516" s="30" t="s">
        <v>1542</v>
      </c>
      <c r="Q516" s="30" t="str">
        <f>VLOOKUP(WEEKDAY(G516),Key!$B$3:$C$9,2,0)</f>
        <v>Monday</v>
      </c>
      <c r="R516" s="42" t="str">
        <f t="shared" si="21"/>
        <v>Within</v>
      </c>
      <c r="S516" s="41" t="str">
        <f t="shared" si="22"/>
        <v>Pass</v>
      </c>
      <c r="T516" s="30" t="str">
        <f t="shared" si="23"/>
        <v>FY 21-22</v>
      </c>
      <c r="U516" s="30" t="str">
        <f>VLOOKUP(MONTH(G516),Key!$F$3:$G$14,2,0)</f>
        <v>Dec</v>
      </c>
      <c r="V516" s="30" t="str">
        <f>IFERROR(IF(MATCH(F516,'Test 6'!C$5:C$9,0)&gt;0,"RP"),"NON-RP")</f>
        <v>NON-RP</v>
      </c>
    </row>
    <row r="517" spans="2:22" x14ac:dyDescent="0.5">
      <c r="B517" s="30">
        <v>513</v>
      </c>
      <c r="C517" s="30" t="s">
        <v>1123</v>
      </c>
      <c r="D517" s="31">
        <v>2122254</v>
      </c>
      <c r="E517" s="30" t="s">
        <v>1124</v>
      </c>
      <c r="F517" s="53" t="s">
        <v>84</v>
      </c>
      <c r="G517" s="32">
        <v>44550</v>
      </c>
      <c r="H517" s="33">
        <v>0.67217310772495176</v>
      </c>
      <c r="I517" s="30" t="s">
        <v>469</v>
      </c>
      <c r="J517" s="34">
        <v>430300</v>
      </c>
      <c r="K517" s="35" t="s">
        <v>17</v>
      </c>
      <c r="L517" s="36">
        <v>77454</v>
      </c>
      <c r="M517" s="30" t="s">
        <v>61</v>
      </c>
      <c r="N517" s="30" t="s">
        <v>47</v>
      </c>
      <c r="O517" s="30" t="s">
        <v>1542</v>
      </c>
      <c r="P517" s="30" t="s">
        <v>1542</v>
      </c>
      <c r="Q517" s="30" t="str">
        <f>VLOOKUP(WEEKDAY(G517),Key!$B$3:$C$9,2,0)</f>
        <v>Monday</v>
      </c>
      <c r="R517" s="42" t="str">
        <f t="shared" ref="R517:R580" si="24">IF(AND(H517&lt;TIME(18,0,0),H517&gt;TIME(10,0,0)),"Within","Outside")</f>
        <v>Within</v>
      </c>
      <c r="S517" s="41" t="str">
        <f t="shared" si="22"/>
        <v>Pass</v>
      </c>
      <c r="T517" s="30" t="str">
        <f t="shared" si="23"/>
        <v>FY 21-22</v>
      </c>
      <c r="U517" s="30" t="str">
        <f>VLOOKUP(MONTH(G517),Key!$F$3:$G$14,2,0)</f>
        <v>Dec</v>
      </c>
      <c r="V517" s="30" t="str">
        <f>IFERROR(IF(MATCH(F517,'Test 6'!C$5:C$9,0)&gt;0,"RP"),"NON-RP")</f>
        <v>NON-RP</v>
      </c>
    </row>
    <row r="518" spans="2:22" x14ac:dyDescent="0.5">
      <c r="B518" s="30">
        <v>514</v>
      </c>
      <c r="C518" s="30" t="s">
        <v>1125</v>
      </c>
      <c r="D518" s="31">
        <v>2122255</v>
      </c>
      <c r="E518" s="30" t="s">
        <v>1126</v>
      </c>
      <c r="F518" s="53" t="s">
        <v>241</v>
      </c>
      <c r="G518" s="32">
        <v>44549</v>
      </c>
      <c r="H518" s="33">
        <v>0.54486111111111113</v>
      </c>
      <c r="I518" s="30" t="s">
        <v>469</v>
      </c>
      <c r="J518" s="34">
        <v>4924520</v>
      </c>
      <c r="K518" s="35" t="s">
        <v>17</v>
      </c>
      <c r="L518" s="36">
        <v>886413.6</v>
      </c>
      <c r="M518" s="30" t="s">
        <v>41</v>
      </c>
      <c r="N518" s="30" t="s">
        <v>42</v>
      </c>
      <c r="O518" s="30" t="s">
        <v>1542</v>
      </c>
      <c r="P518" s="30" t="s">
        <v>1542</v>
      </c>
      <c r="Q518" s="30" t="str">
        <f>VLOOKUP(WEEKDAY(G518),Key!$B$3:$C$9,2,0)</f>
        <v>Sunday</v>
      </c>
      <c r="R518" s="42" t="str">
        <f t="shared" si="24"/>
        <v>Within</v>
      </c>
      <c r="S518" s="41" t="str">
        <f t="shared" ref="S518:S581" si="25">IF(OR(Q518="Sunday",R518="outside"),"Red Flag","Pass")</f>
        <v>Red Flag</v>
      </c>
      <c r="T518" s="30" t="str">
        <f t="shared" ref="T518:T581" si="26">IF(AND(DATE(2021,4,1)&lt;=G518,G518&lt;=DATE(2022,3,31)),"FY 21-22","FY 20-21")</f>
        <v>FY 21-22</v>
      </c>
      <c r="U518" s="30" t="str">
        <f>VLOOKUP(MONTH(G518),Key!$F$3:$G$14,2,0)</f>
        <v>Dec</v>
      </c>
      <c r="V518" s="30" t="str">
        <f>IFERROR(IF(MATCH(F518,'Test 6'!C$5:C$9,0)&gt;0,"RP"),"NON-RP")</f>
        <v>RP</v>
      </c>
    </row>
    <row r="519" spans="2:22" x14ac:dyDescent="0.5">
      <c r="B519" s="30">
        <v>515</v>
      </c>
      <c r="C519" s="30" t="s">
        <v>1127</v>
      </c>
      <c r="D519" s="31">
        <v>2122256</v>
      </c>
      <c r="E519" s="30" t="s">
        <v>1128</v>
      </c>
      <c r="F519" s="53" t="s">
        <v>308</v>
      </c>
      <c r="G519" s="32">
        <v>44548</v>
      </c>
      <c r="H519" s="33">
        <v>0.80379629629629623</v>
      </c>
      <c r="I519" s="30" t="s">
        <v>469</v>
      </c>
      <c r="J519" s="34">
        <v>4823470</v>
      </c>
      <c r="K519" s="35" t="s">
        <v>17</v>
      </c>
      <c r="L519" s="36">
        <v>868224.6</v>
      </c>
      <c r="M519" s="30" t="s">
        <v>41</v>
      </c>
      <c r="N519" s="30" t="s">
        <v>42</v>
      </c>
      <c r="O519" s="30" t="s">
        <v>1542</v>
      </c>
      <c r="P519" s="30" t="s">
        <v>1542</v>
      </c>
      <c r="Q519" s="30" t="str">
        <f>VLOOKUP(WEEKDAY(G519),Key!$B$3:$C$9,2,0)</f>
        <v>Saturday</v>
      </c>
      <c r="R519" s="42" t="str">
        <f t="shared" si="24"/>
        <v>Outside</v>
      </c>
      <c r="S519" s="41" t="str">
        <f t="shared" si="25"/>
        <v>Red Flag</v>
      </c>
      <c r="T519" s="30" t="str">
        <f t="shared" si="26"/>
        <v>FY 21-22</v>
      </c>
      <c r="U519" s="30" t="str">
        <f>VLOOKUP(MONTH(G519),Key!$F$3:$G$14,2,0)</f>
        <v>Dec</v>
      </c>
      <c r="V519" s="30" t="str">
        <f>IFERROR(IF(MATCH(F519,'Test 6'!C$5:C$9,0)&gt;0,"RP"),"NON-RP")</f>
        <v>RP</v>
      </c>
    </row>
    <row r="520" spans="2:22" x14ac:dyDescent="0.5">
      <c r="B520" s="30">
        <v>516</v>
      </c>
      <c r="C520" s="30" t="s">
        <v>1129</v>
      </c>
      <c r="D520" s="31">
        <v>2122257</v>
      </c>
      <c r="E520" s="30" t="s">
        <v>1130</v>
      </c>
      <c r="F520" s="53" t="s">
        <v>269</v>
      </c>
      <c r="G520" s="32">
        <v>44551</v>
      </c>
      <c r="H520" s="33">
        <v>0.67548954209508616</v>
      </c>
      <c r="I520" s="30" t="s">
        <v>469</v>
      </c>
      <c r="J520" s="34">
        <v>206810</v>
      </c>
      <c r="K520" s="35" t="s">
        <v>17</v>
      </c>
      <c r="L520" s="36">
        <v>37225.799999999996</v>
      </c>
      <c r="M520" s="30" t="s">
        <v>23</v>
      </c>
      <c r="N520" s="30" t="s">
        <v>68</v>
      </c>
      <c r="O520" s="30" t="s">
        <v>1542</v>
      </c>
      <c r="P520" s="30" t="s">
        <v>1542</v>
      </c>
      <c r="Q520" s="30" t="str">
        <f>VLOOKUP(WEEKDAY(G520),Key!$B$3:$C$9,2,0)</f>
        <v>Tuesday</v>
      </c>
      <c r="R520" s="42" t="str">
        <f t="shared" si="24"/>
        <v>Within</v>
      </c>
      <c r="S520" s="41" t="str">
        <f t="shared" si="25"/>
        <v>Pass</v>
      </c>
      <c r="T520" s="30" t="str">
        <f t="shared" si="26"/>
        <v>FY 21-22</v>
      </c>
      <c r="U520" s="30" t="str">
        <f>VLOOKUP(MONTH(G520),Key!$F$3:$G$14,2,0)</f>
        <v>Dec</v>
      </c>
      <c r="V520" s="30" t="str">
        <f>IFERROR(IF(MATCH(F520,'Test 6'!C$5:C$9,0)&gt;0,"RP"),"NON-RP")</f>
        <v>NON-RP</v>
      </c>
    </row>
    <row r="521" spans="2:22" x14ac:dyDescent="0.5">
      <c r="B521" s="30">
        <v>517</v>
      </c>
      <c r="C521" s="30" t="s">
        <v>1131</v>
      </c>
      <c r="D521" s="31">
        <v>2122258</v>
      </c>
      <c r="E521" s="30" t="s">
        <v>1132</v>
      </c>
      <c r="F521" s="53" t="s">
        <v>332</v>
      </c>
      <c r="G521" s="32">
        <v>44552</v>
      </c>
      <c r="H521" s="33">
        <v>0.6873555626303478</v>
      </c>
      <c r="I521" s="30" t="s">
        <v>469</v>
      </c>
      <c r="J521" s="34">
        <v>434540</v>
      </c>
      <c r="K521" s="35" t="s">
        <v>17</v>
      </c>
      <c r="L521" s="36">
        <v>78217.2</v>
      </c>
      <c r="M521" s="30" t="s">
        <v>28</v>
      </c>
      <c r="N521" s="30" t="s">
        <v>19</v>
      </c>
      <c r="O521" s="30" t="s">
        <v>1542</v>
      </c>
      <c r="P521" s="30" t="s">
        <v>1542</v>
      </c>
      <c r="Q521" s="30" t="str">
        <f>VLOOKUP(WEEKDAY(G521),Key!$B$3:$C$9,2,0)</f>
        <v>Wednesday</v>
      </c>
      <c r="R521" s="42" t="str">
        <f t="shared" si="24"/>
        <v>Within</v>
      </c>
      <c r="S521" s="41" t="str">
        <f t="shared" si="25"/>
        <v>Pass</v>
      </c>
      <c r="T521" s="30" t="str">
        <f t="shared" si="26"/>
        <v>FY 21-22</v>
      </c>
      <c r="U521" s="30" t="str">
        <f>VLOOKUP(MONTH(G521),Key!$F$3:$G$14,2,0)</f>
        <v>Dec</v>
      </c>
      <c r="V521" s="30" t="str">
        <f>IFERROR(IF(MATCH(F521,'Test 6'!C$5:C$9,0)&gt;0,"RP"),"NON-RP")</f>
        <v>NON-RP</v>
      </c>
    </row>
    <row r="522" spans="2:22" x14ac:dyDescent="0.5">
      <c r="B522" s="30">
        <v>518</v>
      </c>
      <c r="C522" s="30" t="s">
        <v>1133</v>
      </c>
      <c r="D522" s="31">
        <v>2122259</v>
      </c>
      <c r="E522" s="30" t="s">
        <v>1134</v>
      </c>
      <c r="F522" s="53" t="s">
        <v>50</v>
      </c>
      <c r="G522" s="32">
        <v>44552</v>
      </c>
      <c r="H522" s="33">
        <v>0.64697167376266995</v>
      </c>
      <c r="I522" s="30" t="s">
        <v>469</v>
      </c>
      <c r="J522" s="34">
        <v>386590</v>
      </c>
      <c r="K522" s="35" t="s">
        <v>17</v>
      </c>
      <c r="L522" s="36">
        <v>69586.2</v>
      </c>
      <c r="M522" s="30" t="s">
        <v>37</v>
      </c>
      <c r="N522" s="30" t="s">
        <v>19</v>
      </c>
      <c r="O522" s="30" t="s">
        <v>1542</v>
      </c>
      <c r="P522" s="30" t="s">
        <v>1542</v>
      </c>
      <c r="Q522" s="30" t="str">
        <f>VLOOKUP(WEEKDAY(G522),Key!$B$3:$C$9,2,0)</f>
        <v>Wednesday</v>
      </c>
      <c r="R522" s="42" t="str">
        <f t="shared" si="24"/>
        <v>Within</v>
      </c>
      <c r="S522" s="41" t="str">
        <f t="shared" si="25"/>
        <v>Pass</v>
      </c>
      <c r="T522" s="30" t="str">
        <f t="shared" si="26"/>
        <v>FY 21-22</v>
      </c>
      <c r="U522" s="30" t="str">
        <f>VLOOKUP(MONTH(G522),Key!$F$3:$G$14,2,0)</f>
        <v>Dec</v>
      </c>
      <c r="V522" s="30" t="str">
        <f>IFERROR(IF(MATCH(F522,'Test 6'!C$5:C$9,0)&gt;0,"RP"),"NON-RP")</f>
        <v>NON-RP</v>
      </c>
    </row>
    <row r="523" spans="2:22" x14ac:dyDescent="0.5">
      <c r="B523" s="30">
        <v>519</v>
      </c>
      <c r="C523" s="30" t="s">
        <v>1135</v>
      </c>
      <c r="D523" s="31">
        <v>2122260</v>
      </c>
      <c r="E523" s="30" t="s">
        <v>1136</v>
      </c>
      <c r="F523" s="53" t="s">
        <v>332</v>
      </c>
      <c r="G523" s="32">
        <v>44553</v>
      </c>
      <c r="H523" s="33">
        <v>0.73128276944864501</v>
      </c>
      <c r="I523" s="30" t="s">
        <v>469</v>
      </c>
      <c r="J523" s="34">
        <v>250140</v>
      </c>
      <c r="K523" s="35" t="s">
        <v>17</v>
      </c>
      <c r="L523" s="36">
        <v>45025.2</v>
      </c>
      <c r="M523" s="30" t="s">
        <v>28</v>
      </c>
      <c r="N523" s="30" t="s">
        <v>51</v>
      </c>
      <c r="O523" s="30" t="s">
        <v>1542</v>
      </c>
      <c r="P523" s="30" t="s">
        <v>1542</v>
      </c>
      <c r="Q523" s="30" t="str">
        <f>VLOOKUP(WEEKDAY(G523),Key!$B$3:$C$9,2,0)</f>
        <v>Thursday</v>
      </c>
      <c r="R523" s="42" t="str">
        <f t="shared" si="24"/>
        <v>Within</v>
      </c>
      <c r="S523" s="41" t="str">
        <f t="shared" si="25"/>
        <v>Pass</v>
      </c>
      <c r="T523" s="30" t="str">
        <f t="shared" si="26"/>
        <v>FY 21-22</v>
      </c>
      <c r="U523" s="30" t="str">
        <f>VLOOKUP(MONTH(G523),Key!$F$3:$G$14,2,0)</f>
        <v>Dec</v>
      </c>
      <c r="V523" s="30" t="str">
        <f>IFERROR(IF(MATCH(F523,'Test 6'!C$5:C$9,0)&gt;0,"RP"),"NON-RP")</f>
        <v>NON-RP</v>
      </c>
    </row>
    <row r="524" spans="2:22" x14ac:dyDescent="0.5">
      <c r="B524" s="30">
        <v>520</v>
      </c>
      <c r="C524" s="30" t="s">
        <v>1137</v>
      </c>
      <c r="D524" s="31">
        <v>2122261</v>
      </c>
      <c r="E524" s="30" t="s">
        <v>1138</v>
      </c>
      <c r="F524" s="53" t="s">
        <v>54</v>
      </c>
      <c r="G524" s="32">
        <v>44557</v>
      </c>
      <c r="H524" s="33">
        <v>0.43735005870240723</v>
      </c>
      <c r="I524" s="30" t="s">
        <v>469</v>
      </c>
      <c r="J524" s="34">
        <v>282660</v>
      </c>
      <c r="K524" s="35" t="s">
        <v>17</v>
      </c>
      <c r="L524" s="36">
        <v>50878.799999999996</v>
      </c>
      <c r="M524" s="30" t="s">
        <v>23</v>
      </c>
      <c r="N524" s="30" t="s">
        <v>51</v>
      </c>
      <c r="O524" s="30" t="s">
        <v>1542</v>
      </c>
      <c r="P524" s="30" t="s">
        <v>1542</v>
      </c>
      <c r="Q524" s="30" t="str">
        <f>VLOOKUP(WEEKDAY(G524),Key!$B$3:$C$9,2,0)</f>
        <v>Monday</v>
      </c>
      <c r="R524" s="42" t="str">
        <f t="shared" si="24"/>
        <v>Within</v>
      </c>
      <c r="S524" s="41" t="str">
        <f t="shared" si="25"/>
        <v>Pass</v>
      </c>
      <c r="T524" s="30" t="str">
        <f t="shared" si="26"/>
        <v>FY 21-22</v>
      </c>
      <c r="U524" s="30" t="str">
        <f>VLOOKUP(MONTH(G524),Key!$F$3:$G$14,2,0)</f>
        <v>Dec</v>
      </c>
      <c r="V524" s="30" t="str">
        <f>IFERROR(IF(MATCH(F524,'Test 6'!C$5:C$9,0)&gt;0,"RP"),"NON-RP")</f>
        <v>NON-RP</v>
      </c>
    </row>
    <row r="525" spans="2:22" x14ac:dyDescent="0.5">
      <c r="B525" s="30">
        <v>521</v>
      </c>
      <c r="C525" s="30" t="s">
        <v>1139</v>
      </c>
      <c r="D525" s="31">
        <v>2122262</v>
      </c>
      <c r="E525" s="30" t="s">
        <v>1140</v>
      </c>
      <c r="F525" s="53" t="s">
        <v>114</v>
      </c>
      <c r="G525" s="32">
        <v>44557</v>
      </c>
      <c r="H525" s="33">
        <v>0.71888043870161955</v>
      </c>
      <c r="I525" s="30" t="s">
        <v>469</v>
      </c>
      <c r="J525" s="34">
        <v>501580</v>
      </c>
      <c r="K525" s="35" t="s">
        <v>17</v>
      </c>
      <c r="L525" s="36">
        <v>90284.4</v>
      </c>
      <c r="M525" s="30" t="s">
        <v>24</v>
      </c>
      <c r="N525" s="30" t="s">
        <v>1078</v>
      </c>
      <c r="O525" s="30" t="s">
        <v>1542</v>
      </c>
      <c r="P525" s="30" t="s">
        <v>1542</v>
      </c>
      <c r="Q525" s="30" t="str">
        <f>VLOOKUP(WEEKDAY(G525),Key!$B$3:$C$9,2,0)</f>
        <v>Monday</v>
      </c>
      <c r="R525" s="42" t="str">
        <f t="shared" si="24"/>
        <v>Within</v>
      </c>
      <c r="S525" s="41" t="str">
        <f t="shared" si="25"/>
        <v>Pass</v>
      </c>
      <c r="T525" s="30" t="str">
        <f t="shared" si="26"/>
        <v>FY 21-22</v>
      </c>
      <c r="U525" s="30" t="str">
        <f>VLOOKUP(MONTH(G525),Key!$F$3:$G$14,2,0)</f>
        <v>Dec</v>
      </c>
      <c r="V525" s="30" t="str">
        <f>IFERROR(IF(MATCH(F525,'Test 6'!C$5:C$9,0)&gt;0,"RP"),"NON-RP")</f>
        <v>NON-RP</v>
      </c>
    </row>
    <row r="526" spans="2:22" x14ac:dyDescent="0.5">
      <c r="B526" s="30">
        <v>522</v>
      </c>
      <c r="C526" s="30" t="s">
        <v>1141</v>
      </c>
      <c r="D526" s="31">
        <v>2122263</v>
      </c>
      <c r="E526" s="30" t="s">
        <v>1142</v>
      </c>
      <c r="F526" s="53" t="s">
        <v>15</v>
      </c>
      <c r="G526" s="32">
        <v>44558</v>
      </c>
      <c r="H526" s="33">
        <v>0.49011731843005801</v>
      </c>
      <c r="I526" s="30" t="s">
        <v>469</v>
      </c>
      <c r="J526" s="34">
        <v>486120</v>
      </c>
      <c r="K526" s="35" t="s">
        <v>17</v>
      </c>
      <c r="L526" s="36">
        <v>87501.599999999991</v>
      </c>
      <c r="M526" s="30" t="s">
        <v>28</v>
      </c>
      <c r="N526" s="30" t="s">
        <v>51</v>
      </c>
      <c r="O526" s="30" t="s">
        <v>1542</v>
      </c>
      <c r="P526" s="30" t="s">
        <v>1542</v>
      </c>
      <c r="Q526" s="30" t="str">
        <f>VLOOKUP(WEEKDAY(G526),Key!$B$3:$C$9,2,0)</f>
        <v>Tuesday</v>
      </c>
      <c r="R526" s="42" t="str">
        <f t="shared" si="24"/>
        <v>Within</v>
      </c>
      <c r="S526" s="41" t="str">
        <f t="shared" si="25"/>
        <v>Pass</v>
      </c>
      <c r="T526" s="30" t="str">
        <f t="shared" si="26"/>
        <v>FY 21-22</v>
      </c>
      <c r="U526" s="30" t="str">
        <f>VLOOKUP(MONTH(G526),Key!$F$3:$G$14,2,0)</f>
        <v>Dec</v>
      </c>
      <c r="V526" s="30" t="str">
        <f>IFERROR(IF(MATCH(F526,'Test 6'!C$5:C$9,0)&gt;0,"RP"),"NON-RP")</f>
        <v>NON-RP</v>
      </c>
    </row>
    <row r="527" spans="2:22" x14ac:dyDescent="0.5">
      <c r="B527" s="30">
        <v>523</v>
      </c>
      <c r="C527" s="30" t="s">
        <v>1143</v>
      </c>
      <c r="D527" s="31">
        <v>2122264</v>
      </c>
      <c r="E527" s="30" t="s">
        <v>1144</v>
      </c>
      <c r="F527" s="53" t="s">
        <v>103</v>
      </c>
      <c r="G527" s="32">
        <v>44558</v>
      </c>
      <c r="H527" s="33">
        <v>0.42640629054326773</v>
      </c>
      <c r="I527" s="30" t="s">
        <v>469</v>
      </c>
      <c r="J527" s="34">
        <v>448080</v>
      </c>
      <c r="K527" s="35" t="s">
        <v>17</v>
      </c>
      <c r="L527" s="36">
        <v>80654.399999999994</v>
      </c>
      <c r="M527" s="30" t="s">
        <v>32</v>
      </c>
      <c r="N527" s="30" t="s">
        <v>68</v>
      </c>
      <c r="O527" s="30" t="s">
        <v>1542</v>
      </c>
      <c r="P527" s="30" t="s">
        <v>1542</v>
      </c>
      <c r="Q527" s="30" t="str">
        <f>VLOOKUP(WEEKDAY(G527),Key!$B$3:$C$9,2,0)</f>
        <v>Tuesday</v>
      </c>
      <c r="R527" s="42" t="str">
        <f t="shared" si="24"/>
        <v>Within</v>
      </c>
      <c r="S527" s="41" t="str">
        <f t="shared" si="25"/>
        <v>Pass</v>
      </c>
      <c r="T527" s="30" t="str">
        <f t="shared" si="26"/>
        <v>FY 21-22</v>
      </c>
      <c r="U527" s="30" t="str">
        <f>VLOOKUP(MONTH(G527),Key!$F$3:$G$14,2,0)</f>
        <v>Dec</v>
      </c>
      <c r="V527" s="30" t="str">
        <f>IFERROR(IF(MATCH(F527,'Test 6'!C$5:C$9,0)&gt;0,"RP"),"NON-RP")</f>
        <v>NON-RP</v>
      </c>
    </row>
    <row r="528" spans="2:22" x14ac:dyDescent="0.5">
      <c r="B528" s="30">
        <v>524</v>
      </c>
      <c r="C528" s="30" t="s">
        <v>1145</v>
      </c>
      <c r="D528" s="31">
        <v>2122265</v>
      </c>
      <c r="E528" s="30" t="s">
        <v>1146</v>
      </c>
      <c r="F528" s="53" t="s">
        <v>378</v>
      </c>
      <c r="G528" s="32">
        <v>44563</v>
      </c>
      <c r="H528" s="33">
        <v>0.49816425610188075</v>
      </c>
      <c r="I528" s="30" t="s">
        <v>502</v>
      </c>
      <c r="J528" s="34">
        <v>4363500</v>
      </c>
      <c r="K528" s="35" t="s">
        <v>17</v>
      </c>
      <c r="L528" s="36">
        <v>785430</v>
      </c>
      <c r="M528" s="30" t="s">
        <v>701</v>
      </c>
      <c r="N528" s="30" t="s">
        <v>41</v>
      </c>
      <c r="O528" s="30" t="s">
        <v>1542</v>
      </c>
      <c r="P528" s="30" t="s">
        <v>1542</v>
      </c>
      <c r="Q528" s="30" t="str">
        <f>VLOOKUP(WEEKDAY(G528),Key!$B$3:$C$9,2,0)</f>
        <v>Sunday</v>
      </c>
      <c r="R528" s="42" t="str">
        <f t="shared" si="24"/>
        <v>Within</v>
      </c>
      <c r="S528" s="41" t="str">
        <f t="shared" si="25"/>
        <v>Red Flag</v>
      </c>
      <c r="T528" s="30" t="str">
        <f t="shared" si="26"/>
        <v>FY 21-22</v>
      </c>
      <c r="U528" s="30" t="str">
        <f>VLOOKUP(MONTH(G528),Key!$F$3:$G$14,2,0)</f>
        <v>Jan</v>
      </c>
      <c r="V528" s="30" t="str">
        <f>IFERROR(IF(MATCH(F528,'Test 6'!C$5:C$9,0)&gt;0,"RP"),"NON-RP")</f>
        <v>RP</v>
      </c>
    </row>
    <row r="529" spans="2:22" x14ac:dyDescent="0.5">
      <c r="B529" s="30">
        <v>525</v>
      </c>
      <c r="C529" s="30" t="s">
        <v>1147</v>
      </c>
      <c r="D529" s="31">
        <v>2122266</v>
      </c>
      <c r="E529" s="30" t="s">
        <v>1148</v>
      </c>
      <c r="F529" s="53" t="s">
        <v>229</v>
      </c>
      <c r="G529" s="32">
        <v>44564</v>
      </c>
      <c r="H529" s="33">
        <v>0.5269293694255397</v>
      </c>
      <c r="I529" s="30" t="s">
        <v>502</v>
      </c>
      <c r="J529" s="34">
        <v>210400</v>
      </c>
      <c r="K529" s="35" t="s">
        <v>17</v>
      </c>
      <c r="L529" s="36">
        <v>37872</v>
      </c>
      <c r="M529" s="30" t="s">
        <v>23</v>
      </c>
      <c r="N529" s="30" t="s">
        <v>19</v>
      </c>
      <c r="O529" s="30" t="s">
        <v>1542</v>
      </c>
      <c r="P529" s="30" t="s">
        <v>1542</v>
      </c>
      <c r="Q529" s="30" t="str">
        <f>VLOOKUP(WEEKDAY(G529),Key!$B$3:$C$9,2,0)</f>
        <v>Monday</v>
      </c>
      <c r="R529" s="42" t="str">
        <f t="shared" si="24"/>
        <v>Within</v>
      </c>
      <c r="S529" s="41" t="str">
        <f t="shared" si="25"/>
        <v>Pass</v>
      </c>
      <c r="T529" s="30" t="str">
        <f t="shared" si="26"/>
        <v>FY 21-22</v>
      </c>
      <c r="U529" s="30" t="str">
        <f>VLOOKUP(MONTH(G529),Key!$F$3:$G$14,2,0)</f>
        <v>Jan</v>
      </c>
      <c r="V529" s="30" t="str">
        <f>IFERROR(IF(MATCH(F529,'Test 6'!C$5:C$9,0)&gt;0,"RP"),"NON-RP")</f>
        <v>NON-RP</v>
      </c>
    </row>
    <row r="530" spans="2:22" x14ac:dyDescent="0.5">
      <c r="B530" s="30">
        <v>526</v>
      </c>
      <c r="C530" s="30" t="s">
        <v>1149</v>
      </c>
      <c r="D530" s="31">
        <v>2122267</v>
      </c>
      <c r="E530" s="30" t="s">
        <v>1150</v>
      </c>
      <c r="F530" s="53" t="s">
        <v>64</v>
      </c>
      <c r="G530" s="32">
        <v>44567</v>
      </c>
      <c r="H530" s="33">
        <v>0.52032610025430759</v>
      </c>
      <c r="I530" s="30" t="s">
        <v>502</v>
      </c>
      <c r="J530" s="34">
        <v>208970</v>
      </c>
      <c r="K530" s="35" t="s">
        <v>17</v>
      </c>
      <c r="L530" s="36">
        <v>37614.6</v>
      </c>
      <c r="M530" s="30" t="s">
        <v>61</v>
      </c>
      <c r="N530" s="30" t="s">
        <v>19</v>
      </c>
      <c r="O530" s="30" t="s">
        <v>1542</v>
      </c>
      <c r="P530" s="30" t="s">
        <v>1542</v>
      </c>
      <c r="Q530" s="30" t="str">
        <f>VLOOKUP(WEEKDAY(G530),Key!$B$3:$C$9,2,0)</f>
        <v>Thursday</v>
      </c>
      <c r="R530" s="42" t="str">
        <f t="shared" si="24"/>
        <v>Within</v>
      </c>
      <c r="S530" s="41" t="str">
        <f t="shared" si="25"/>
        <v>Pass</v>
      </c>
      <c r="T530" s="30" t="str">
        <f t="shared" si="26"/>
        <v>FY 21-22</v>
      </c>
      <c r="U530" s="30" t="str">
        <f>VLOOKUP(MONTH(G530),Key!$F$3:$G$14,2,0)</f>
        <v>Jan</v>
      </c>
      <c r="V530" s="30" t="str">
        <f>IFERROR(IF(MATCH(F530,'Test 6'!C$5:C$9,0)&gt;0,"RP"),"NON-RP")</f>
        <v>NON-RP</v>
      </c>
    </row>
    <row r="531" spans="2:22" x14ac:dyDescent="0.5">
      <c r="B531" s="30">
        <v>527</v>
      </c>
      <c r="C531" s="30" t="s">
        <v>1151</v>
      </c>
      <c r="D531" s="31">
        <v>2122268</v>
      </c>
      <c r="E531" s="30" t="s">
        <v>1152</v>
      </c>
      <c r="F531" s="53" t="s">
        <v>95</v>
      </c>
      <c r="G531" s="32">
        <v>44571</v>
      </c>
      <c r="H531" s="33">
        <v>0.48839646648569324</v>
      </c>
      <c r="I531" s="30" t="s">
        <v>502</v>
      </c>
      <c r="J531" s="34">
        <v>338270</v>
      </c>
      <c r="K531" s="35" t="s">
        <v>17</v>
      </c>
      <c r="L531" s="36">
        <v>60888.6</v>
      </c>
      <c r="M531" s="30" t="s">
        <v>23</v>
      </c>
      <c r="N531" s="30" t="s">
        <v>68</v>
      </c>
      <c r="O531" s="30" t="s">
        <v>1542</v>
      </c>
      <c r="P531" s="30" t="s">
        <v>1542</v>
      </c>
      <c r="Q531" s="30" t="str">
        <f>VLOOKUP(WEEKDAY(G531),Key!$B$3:$C$9,2,0)</f>
        <v>Monday</v>
      </c>
      <c r="R531" s="42" t="str">
        <f t="shared" si="24"/>
        <v>Within</v>
      </c>
      <c r="S531" s="41" t="str">
        <f t="shared" si="25"/>
        <v>Pass</v>
      </c>
      <c r="T531" s="30" t="str">
        <f t="shared" si="26"/>
        <v>FY 21-22</v>
      </c>
      <c r="U531" s="30" t="str">
        <f>VLOOKUP(MONTH(G531),Key!$F$3:$G$14,2,0)</f>
        <v>Jan</v>
      </c>
      <c r="V531" s="30" t="str">
        <f>IFERROR(IF(MATCH(F531,'Test 6'!C$5:C$9,0)&gt;0,"RP"),"NON-RP")</f>
        <v>NON-RP</v>
      </c>
    </row>
    <row r="532" spans="2:22" x14ac:dyDescent="0.5">
      <c r="B532" s="30">
        <v>528</v>
      </c>
      <c r="C532" s="30" t="s">
        <v>1153</v>
      </c>
      <c r="D532" s="31">
        <v>2122269</v>
      </c>
      <c r="E532" s="30" t="s">
        <v>1154</v>
      </c>
      <c r="F532" s="53" t="s">
        <v>195</v>
      </c>
      <c r="G532" s="32">
        <v>44571</v>
      </c>
      <c r="H532" s="33">
        <v>0.67963732188706305</v>
      </c>
      <c r="I532" s="30" t="s">
        <v>502</v>
      </c>
      <c r="J532" s="34">
        <v>373910</v>
      </c>
      <c r="K532" s="35" t="s">
        <v>17</v>
      </c>
      <c r="L532" s="36">
        <v>67303.8</v>
      </c>
      <c r="M532" s="30" t="s">
        <v>32</v>
      </c>
      <c r="N532" s="30" t="s">
        <v>19</v>
      </c>
      <c r="O532" s="30" t="s">
        <v>1542</v>
      </c>
      <c r="P532" s="30" t="s">
        <v>1542</v>
      </c>
      <c r="Q532" s="30" t="str">
        <f>VLOOKUP(WEEKDAY(G532),Key!$B$3:$C$9,2,0)</f>
        <v>Monday</v>
      </c>
      <c r="R532" s="42" t="str">
        <f t="shared" si="24"/>
        <v>Within</v>
      </c>
      <c r="S532" s="41" t="str">
        <f t="shared" si="25"/>
        <v>Pass</v>
      </c>
      <c r="T532" s="30" t="str">
        <f t="shared" si="26"/>
        <v>FY 21-22</v>
      </c>
      <c r="U532" s="30" t="str">
        <f>VLOOKUP(MONTH(G532),Key!$F$3:$G$14,2,0)</f>
        <v>Jan</v>
      </c>
      <c r="V532" s="30" t="str">
        <f>IFERROR(IF(MATCH(F532,'Test 6'!C$5:C$9,0)&gt;0,"RP"),"NON-RP")</f>
        <v>NON-RP</v>
      </c>
    </row>
    <row r="533" spans="2:22" x14ac:dyDescent="0.5">
      <c r="B533" s="30">
        <v>529</v>
      </c>
      <c r="C533" s="30" t="s">
        <v>1155</v>
      </c>
      <c r="D533" s="31">
        <v>2122270</v>
      </c>
      <c r="E533" s="30" t="s">
        <v>1156</v>
      </c>
      <c r="F533" s="53" t="s">
        <v>125</v>
      </c>
      <c r="G533" s="32">
        <v>44571</v>
      </c>
      <c r="H533" s="33">
        <v>0.73129511557217497</v>
      </c>
      <c r="I533" s="30" t="s">
        <v>502</v>
      </c>
      <c r="J533" s="34">
        <v>462870</v>
      </c>
      <c r="K533" s="35" t="s">
        <v>17</v>
      </c>
      <c r="L533" s="36">
        <v>83316.599999999991</v>
      </c>
      <c r="M533" s="30" t="s">
        <v>18</v>
      </c>
      <c r="N533" s="30" t="s">
        <v>47</v>
      </c>
      <c r="O533" s="30" t="s">
        <v>1542</v>
      </c>
      <c r="P533" s="30" t="s">
        <v>1542</v>
      </c>
      <c r="Q533" s="30" t="str">
        <f>VLOOKUP(WEEKDAY(G533),Key!$B$3:$C$9,2,0)</f>
        <v>Monday</v>
      </c>
      <c r="R533" s="42" t="str">
        <f t="shared" si="24"/>
        <v>Within</v>
      </c>
      <c r="S533" s="41" t="str">
        <f t="shared" si="25"/>
        <v>Pass</v>
      </c>
      <c r="T533" s="30" t="str">
        <f t="shared" si="26"/>
        <v>FY 21-22</v>
      </c>
      <c r="U533" s="30" t="str">
        <f>VLOOKUP(MONTH(G533),Key!$F$3:$G$14,2,0)</f>
        <v>Jan</v>
      </c>
      <c r="V533" s="30" t="str">
        <f>IFERROR(IF(MATCH(F533,'Test 6'!C$5:C$9,0)&gt;0,"RP"),"NON-RP")</f>
        <v>NON-RP</v>
      </c>
    </row>
    <row r="534" spans="2:22" x14ac:dyDescent="0.5">
      <c r="B534" s="30">
        <v>530</v>
      </c>
      <c r="C534" s="30" t="s">
        <v>1157</v>
      </c>
      <c r="D534" s="31">
        <v>2122271</v>
      </c>
      <c r="E534" s="30" t="s">
        <v>1158</v>
      </c>
      <c r="F534" s="53" t="s">
        <v>35</v>
      </c>
      <c r="G534" s="32">
        <v>44572</v>
      </c>
      <c r="H534" s="33">
        <v>0.69320494931606225</v>
      </c>
      <c r="I534" s="30" t="s">
        <v>502</v>
      </c>
      <c r="J534" s="34">
        <v>352840</v>
      </c>
      <c r="K534" s="35" t="s">
        <v>17</v>
      </c>
      <c r="L534" s="36">
        <v>63511.199999999997</v>
      </c>
      <c r="M534" s="30" t="s">
        <v>23</v>
      </c>
      <c r="N534" s="30" t="s">
        <v>68</v>
      </c>
      <c r="O534" s="30" t="s">
        <v>1542</v>
      </c>
      <c r="P534" s="30" t="s">
        <v>1542</v>
      </c>
      <c r="Q534" s="30" t="str">
        <f>VLOOKUP(WEEKDAY(G534),Key!$B$3:$C$9,2,0)</f>
        <v>Tuesday</v>
      </c>
      <c r="R534" s="42" t="str">
        <f t="shared" si="24"/>
        <v>Within</v>
      </c>
      <c r="S534" s="41" t="str">
        <f t="shared" si="25"/>
        <v>Pass</v>
      </c>
      <c r="T534" s="30" t="str">
        <f t="shared" si="26"/>
        <v>FY 21-22</v>
      </c>
      <c r="U534" s="30" t="str">
        <f>VLOOKUP(MONTH(G534),Key!$F$3:$G$14,2,0)</f>
        <v>Jan</v>
      </c>
      <c r="V534" s="30" t="str">
        <f>IFERROR(IF(MATCH(F534,'Test 6'!C$5:C$9,0)&gt;0,"RP"),"NON-RP")</f>
        <v>NON-RP</v>
      </c>
    </row>
    <row r="535" spans="2:22" x14ac:dyDescent="0.5">
      <c r="B535" s="30">
        <v>531</v>
      </c>
      <c r="C535" s="30" t="s">
        <v>1159</v>
      </c>
      <c r="D535" s="31">
        <v>2122272</v>
      </c>
      <c r="E535" s="30" t="s">
        <v>1160</v>
      </c>
      <c r="F535" s="53" t="s">
        <v>103</v>
      </c>
      <c r="G535" s="32">
        <v>44572</v>
      </c>
      <c r="H535" s="33">
        <v>0.5808335635647861</v>
      </c>
      <c r="I535" s="30" t="s">
        <v>502</v>
      </c>
      <c r="J535" s="34">
        <v>303440</v>
      </c>
      <c r="K535" s="35" t="s">
        <v>17</v>
      </c>
      <c r="L535" s="36">
        <v>54619.199999999997</v>
      </c>
      <c r="M535" s="30" t="s">
        <v>37</v>
      </c>
      <c r="N535" s="30" t="s">
        <v>51</v>
      </c>
      <c r="O535" s="30" t="s">
        <v>1542</v>
      </c>
      <c r="P535" s="30" t="s">
        <v>1542</v>
      </c>
      <c r="Q535" s="30" t="str">
        <f>VLOOKUP(WEEKDAY(G535),Key!$B$3:$C$9,2,0)</f>
        <v>Tuesday</v>
      </c>
      <c r="R535" s="42" t="str">
        <f t="shared" si="24"/>
        <v>Within</v>
      </c>
      <c r="S535" s="41" t="str">
        <f t="shared" si="25"/>
        <v>Pass</v>
      </c>
      <c r="T535" s="30" t="str">
        <f t="shared" si="26"/>
        <v>FY 21-22</v>
      </c>
      <c r="U535" s="30" t="str">
        <f>VLOOKUP(MONTH(G535),Key!$F$3:$G$14,2,0)</f>
        <v>Jan</v>
      </c>
      <c r="V535" s="30" t="str">
        <f>IFERROR(IF(MATCH(F535,'Test 6'!C$5:C$9,0)&gt;0,"RP"),"NON-RP")</f>
        <v>NON-RP</v>
      </c>
    </row>
    <row r="536" spans="2:22" x14ac:dyDescent="0.5">
      <c r="B536" s="30">
        <v>532</v>
      </c>
      <c r="C536" s="30" t="s">
        <v>1161</v>
      </c>
      <c r="D536" s="31">
        <v>2122273</v>
      </c>
      <c r="E536" s="30" t="s">
        <v>1162</v>
      </c>
      <c r="F536" s="53" t="s">
        <v>40</v>
      </c>
      <c r="G536" s="32">
        <v>44573</v>
      </c>
      <c r="H536" s="33">
        <v>0.47938106746752573</v>
      </c>
      <c r="I536" s="30" t="s">
        <v>502</v>
      </c>
      <c r="J536" s="34">
        <v>492290</v>
      </c>
      <c r="K536" s="35" t="s">
        <v>17</v>
      </c>
      <c r="L536" s="36">
        <v>88612.2</v>
      </c>
      <c r="M536" s="30" t="s">
        <v>61</v>
      </c>
      <c r="N536" s="30" t="s">
        <v>24</v>
      </c>
      <c r="O536" s="30" t="s">
        <v>1542</v>
      </c>
      <c r="P536" s="30" t="s">
        <v>1542</v>
      </c>
      <c r="Q536" s="30" t="str">
        <f>VLOOKUP(WEEKDAY(G536),Key!$B$3:$C$9,2,0)</f>
        <v>Wednesday</v>
      </c>
      <c r="R536" s="42" t="str">
        <f t="shared" si="24"/>
        <v>Within</v>
      </c>
      <c r="S536" s="41" t="str">
        <f t="shared" si="25"/>
        <v>Pass</v>
      </c>
      <c r="T536" s="30" t="str">
        <f t="shared" si="26"/>
        <v>FY 21-22</v>
      </c>
      <c r="U536" s="30" t="str">
        <f>VLOOKUP(MONTH(G536),Key!$F$3:$G$14,2,0)</f>
        <v>Jan</v>
      </c>
      <c r="V536" s="30" t="str">
        <f>IFERROR(IF(MATCH(F536,'Test 6'!C$5:C$9,0)&gt;0,"RP"),"NON-RP")</f>
        <v>NON-RP</v>
      </c>
    </row>
    <row r="537" spans="2:22" x14ac:dyDescent="0.5">
      <c r="B537" s="30">
        <v>533</v>
      </c>
      <c r="C537" s="30" t="s">
        <v>1163</v>
      </c>
      <c r="D537" s="31">
        <v>2122274</v>
      </c>
      <c r="E537" s="30" t="s">
        <v>1164</v>
      </c>
      <c r="F537" s="53" t="s">
        <v>272</v>
      </c>
      <c r="G537" s="32">
        <v>44573</v>
      </c>
      <c r="H537" s="33">
        <v>0.5630954189001578</v>
      </c>
      <c r="I537" s="30" t="s">
        <v>502</v>
      </c>
      <c r="J537" s="34">
        <v>307090</v>
      </c>
      <c r="K537" s="35" t="s">
        <v>17</v>
      </c>
      <c r="L537" s="36">
        <v>55276.2</v>
      </c>
      <c r="M537" s="30" t="s">
        <v>28</v>
      </c>
      <c r="N537" s="30" t="s">
        <v>19</v>
      </c>
      <c r="O537" s="30" t="s">
        <v>1542</v>
      </c>
      <c r="P537" s="30" t="s">
        <v>1542</v>
      </c>
      <c r="Q537" s="30" t="str">
        <f>VLOOKUP(WEEKDAY(G537),Key!$B$3:$C$9,2,0)</f>
        <v>Wednesday</v>
      </c>
      <c r="R537" s="42" t="str">
        <f t="shared" si="24"/>
        <v>Within</v>
      </c>
      <c r="S537" s="41" t="str">
        <f t="shared" si="25"/>
        <v>Pass</v>
      </c>
      <c r="T537" s="30" t="str">
        <f t="shared" si="26"/>
        <v>FY 21-22</v>
      </c>
      <c r="U537" s="30" t="str">
        <f>VLOOKUP(MONTH(G537),Key!$F$3:$G$14,2,0)</f>
        <v>Jan</v>
      </c>
      <c r="V537" s="30" t="str">
        <f>IFERROR(IF(MATCH(F537,'Test 6'!C$5:C$9,0)&gt;0,"RP"),"NON-RP")</f>
        <v>NON-RP</v>
      </c>
    </row>
    <row r="538" spans="2:22" x14ac:dyDescent="0.5">
      <c r="B538" s="30">
        <v>534</v>
      </c>
      <c r="C538" s="30" t="s">
        <v>1165</v>
      </c>
      <c r="D538" s="31">
        <v>2122275</v>
      </c>
      <c r="E538" s="30" t="s">
        <v>1166</v>
      </c>
      <c r="F538" s="53" t="s">
        <v>577</v>
      </c>
      <c r="G538" s="32">
        <v>44577</v>
      </c>
      <c r="H538" s="33">
        <v>0.51827546296296301</v>
      </c>
      <c r="I538" s="30" t="s">
        <v>502</v>
      </c>
      <c r="J538" s="34">
        <v>4847720</v>
      </c>
      <c r="K538" s="35" t="s">
        <v>17</v>
      </c>
      <c r="L538" s="36">
        <v>872589.6</v>
      </c>
      <c r="M538" s="30" t="s">
        <v>41</v>
      </c>
      <c r="N538" s="30" t="s">
        <v>42</v>
      </c>
      <c r="O538" s="30" t="s">
        <v>1542</v>
      </c>
      <c r="P538" s="30" t="s">
        <v>1542</v>
      </c>
      <c r="Q538" s="30" t="str">
        <f>VLOOKUP(WEEKDAY(G538),Key!$B$3:$C$9,2,0)</f>
        <v>Sunday</v>
      </c>
      <c r="R538" s="42" t="str">
        <f t="shared" si="24"/>
        <v>Within</v>
      </c>
      <c r="S538" s="41" t="str">
        <f t="shared" si="25"/>
        <v>Red Flag</v>
      </c>
      <c r="T538" s="30" t="str">
        <f t="shared" si="26"/>
        <v>FY 21-22</v>
      </c>
      <c r="U538" s="30" t="str">
        <f>VLOOKUP(MONTH(G538),Key!$F$3:$G$14,2,0)</f>
        <v>Jan</v>
      </c>
      <c r="V538" s="30" t="str">
        <f>IFERROR(IF(MATCH(F538,'Test 6'!C$5:C$9,0)&gt;0,"RP"),"NON-RP")</f>
        <v>RP</v>
      </c>
    </row>
    <row r="539" spans="2:22" x14ac:dyDescent="0.5">
      <c r="B539" s="30">
        <v>535</v>
      </c>
      <c r="C539" s="30" t="s">
        <v>1167</v>
      </c>
      <c r="D539" s="31">
        <v>2122276</v>
      </c>
      <c r="E539" s="30" t="s">
        <v>1168</v>
      </c>
      <c r="F539" s="53" t="s">
        <v>290</v>
      </c>
      <c r="G539" s="32">
        <v>44574</v>
      </c>
      <c r="H539" s="33">
        <v>0.52417851567147666</v>
      </c>
      <c r="I539" s="30" t="s">
        <v>502</v>
      </c>
      <c r="J539" s="34">
        <v>434150</v>
      </c>
      <c r="K539" s="35" t="s">
        <v>17</v>
      </c>
      <c r="L539" s="36">
        <v>78147</v>
      </c>
      <c r="M539" s="30" t="s">
        <v>18</v>
      </c>
      <c r="N539" s="30" t="s">
        <v>68</v>
      </c>
      <c r="O539" s="30" t="s">
        <v>1542</v>
      </c>
      <c r="P539" s="30" t="s">
        <v>1542</v>
      </c>
      <c r="Q539" s="30" t="str">
        <f>VLOOKUP(WEEKDAY(G539),Key!$B$3:$C$9,2,0)</f>
        <v>Thursday</v>
      </c>
      <c r="R539" s="42" t="str">
        <f t="shared" si="24"/>
        <v>Within</v>
      </c>
      <c r="S539" s="41" t="str">
        <f t="shared" si="25"/>
        <v>Pass</v>
      </c>
      <c r="T539" s="30" t="str">
        <f t="shared" si="26"/>
        <v>FY 21-22</v>
      </c>
      <c r="U539" s="30" t="str">
        <f>VLOOKUP(MONTH(G539),Key!$F$3:$G$14,2,0)</f>
        <v>Jan</v>
      </c>
      <c r="V539" s="30" t="str">
        <f>IFERROR(IF(MATCH(F539,'Test 6'!C$5:C$9,0)&gt;0,"RP"),"NON-RP")</f>
        <v>NON-RP</v>
      </c>
    </row>
    <row r="540" spans="2:22" x14ac:dyDescent="0.5">
      <c r="B540" s="30">
        <v>536</v>
      </c>
      <c r="C540" s="30" t="s">
        <v>1169</v>
      </c>
      <c r="D540" s="31">
        <v>2122277</v>
      </c>
      <c r="E540" s="30" t="s">
        <v>1170</v>
      </c>
      <c r="F540" s="53" t="s">
        <v>272</v>
      </c>
      <c r="G540" s="32">
        <v>44575</v>
      </c>
      <c r="H540" s="33">
        <v>0.55684730361555712</v>
      </c>
      <c r="I540" s="30" t="s">
        <v>502</v>
      </c>
      <c r="J540" s="34">
        <v>220400</v>
      </c>
      <c r="K540" s="35" t="s">
        <v>17</v>
      </c>
      <c r="L540" s="36">
        <v>39672</v>
      </c>
      <c r="M540" s="30" t="s">
        <v>18</v>
      </c>
      <c r="N540" s="30" t="s">
        <v>51</v>
      </c>
      <c r="O540" s="30" t="s">
        <v>1542</v>
      </c>
      <c r="P540" s="30" t="s">
        <v>1542</v>
      </c>
      <c r="Q540" s="30" t="str">
        <f>VLOOKUP(WEEKDAY(G540),Key!$B$3:$C$9,2,0)</f>
        <v>Friday</v>
      </c>
      <c r="R540" s="42" t="str">
        <f t="shared" si="24"/>
        <v>Within</v>
      </c>
      <c r="S540" s="41" t="str">
        <f t="shared" si="25"/>
        <v>Pass</v>
      </c>
      <c r="T540" s="30" t="str">
        <f t="shared" si="26"/>
        <v>FY 21-22</v>
      </c>
      <c r="U540" s="30" t="str">
        <f>VLOOKUP(MONTH(G540),Key!$F$3:$G$14,2,0)</f>
        <v>Jan</v>
      </c>
      <c r="V540" s="30" t="str">
        <f>IFERROR(IF(MATCH(F540,'Test 6'!C$5:C$9,0)&gt;0,"RP"),"NON-RP")</f>
        <v>NON-RP</v>
      </c>
    </row>
    <row r="541" spans="2:22" x14ac:dyDescent="0.5">
      <c r="B541" s="30">
        <v>537</v>
      </c>
      <c r="C541" s="30" t="s">
        <v>1171</v>
      </c>
      <c r="D541" s="31">
        <v>2122278</v>
      </c>
      <c r="E541" s="30" t="s">
        <v>1172</v>
      </c>
      <c r="F541" s="53" t="s">
        <v>50</v>
      </c>
      <c r="G541" s="32">
        <v>44576</v>
      </c>
      <c r="H541" s="33">
        <v>0.67099310307218185</v>
      </c>
      <c r="I541" s="30" t="s">
        <v>502</v>
      </c>
      <c r="J541" s="34">
        <v>35350</v>
      </c>
      <c r="K541" s="35" t="s">
        <v>17</v>
      </c>
      <c r="L541" s="36">
        <v>6363</v>
      </c>
      <c r="M541" s="30" t="s">
        <v>704</v>
      </c>
      <c r="N541" s="30" t="s">
        <v>18</v>
      </c>
      <c r="O541" s="30" t="s">
        <v>1542</v>
      </c>
      <c r="P541" s="30" t="s">
        <v>1542</v>
      </c>
      <c r="Q541" s="30" t="str">
        <f>VLOOKUP(WEEKDAY(G541),Key!$B$3:$C$9,2,0)</f>
        <v>Saturday</v>
      </c>
      <c r="R541" s="42" t="str">
        <f t="shared" si="24"/>
        <v>Within</v>
      </c>
      <c r="S541" s="41" t="str">
        <f t="shared" si="25"/>
        <v>Pass</v>
      </c>
      <c r="T541" s="30" t="str">
        <f t="shared" si="26"/>
        <v>FY 21-22</v>
      </c>
      <c r="U541" s="30" t="str">
        <f>VLOOKUP(MONTH(G541),Key!$F$3:$G$14,2,0)</f>
        <v>Jan</v>
      </c>
      <c r="V541" s="30" t="str">
        <f>IFERROR(IF(MATCH(F541,'Test 6'!C$5:C$9,0)&gt;0,"RP"),"NON-RP")</f>
        <v>NON-RP</v>
      </c>
    </row>
    <row r="542" spans="2:22" x14ac:dyDescent="0.5">
      <c r="B542" s="30">
        <v>538</v>
      </c>
      <c r="C542" s="30" t="s">
        <v>1173</v>
      </c>
      <c r="D542" s="31">
        <v>2122279</v>
      </c>
      <c r="E542" s="30" t="s">
        <v>1174</v>
      </c>
      <c r="F542" s="53" t="s">
        <v>238</v>
      </c>
      <c r="G542" s="32">
        <v>44578</v>
      </c>
      <c r="H542" s="33">
        <v>0.57271462437300202</v>
      </c>
      <c r="I542" s="30" t="s">
        <v>502</v>
      </c>
      <c r="J542" s="34">
        <v>461940</v>
      </c>
      <c r="K542" s="35" t="s">
        <v>17</v>
      </c>
      <c r="L542" s="36">
        <v>83149.2</v>
      </c>
      <c r="M542" s="30" t="s">
        <v>46</v>
      </c>
      <c r="N542" s="30" t="s">
        <v>19</v>
      </c>
      <c r="O542" s="30" t="s">
        <v>1542</v>
      </c>
      <c r="P542" s="30" t="s">
        <v>1542</v>
      </c>
      <c r="Q542" s="30" t="str">
        <f>VLOOKUP(WEEKDAY(G542),Key!$B$3:$C$9,2,0)</f>
        <v>Monday</v>
      </c>
      <c r="R542" s="42" t="str">
        <f t="shared" si="24"/>
        <v>Within</v>
      </c>
      <c r="S542" s="41" t="str">
        <f t="shared" si="25"/>
        <v>Pass</v>
      </c>
      <c r="T542" s="30" t="str">
        <f t="shared" si="26"/>
        <v>FY 21-22</v>
      </c>
      <c r="U542" s="30" t="str">
        <f>VLOOKUP(MONTH(G542),Key!$F$3:$G$14,2,0)</f>
        <v>Jan</v>
      </c>
      <c r="V542" s="30" t="str">
        <f>IFERROR(IF(MATCH(F542,'Test 6'!C$5:C$9,0)&gt;0,"RP"),"NON-RP")</f>
        <v>NON-RP</v>
      </c>
    </row>
    <row r="543" spans="2:22" x14ac:dyDescent="0.5">
      <c r="B543" s="30">
        <v>539</v>
      </c>
      <c r="C543" s="30" t="s">
        <v>1175</v>
      </c>
      <c r="D543" s="31">
        <v>2122280</v>
      </c>
      <c r="E543" s="30" t="s">
        <v>1176</v>
      </c>
      <c r="F543" s="53" t="s">
        <v>67</v>
      </c>
      <c r="G543" s="32">
        <v>44578</v>
      </c>
      <c r="H543" s="33">
        <v>0.74788015468932745</v>
      </c>
      <c r="I543" s="30" t="s">
        <v>502</v>
      </c>
      <c r="J543" s="34">
        <v>36930</v>
      </c>
      <c r="K543" s="35" t="s">
        <v>17</v>
      </c>
      <c r="L543" s="36">
        <v>6647.4</v>
      </c>
      <c r="M543" s="30" t="s">
        <v>923</v>
      </c>
      <c r="N543" s="30" t="s">
        <v>61</v>
      </c>
      <c r="O543" s="30" t="s">
        <v>1542</v>
      </c>
      <c r="P543" s="30" t="s">
        <v>1542</v>
      </c>
      <c r="Q543" s="30" t="str">
        <f>VLOOKUP(WEEKDAY(G543),Key!$B$3:$C$9,2,0)</f>
        <v>Monday</v>
      </c>
      <c r="R543" s="42" t="str">
        <f t="shared" si="24"/>
        <v>Within</v>
      </c>
      <c r="S543" s="41" t="str">
        <f t="shared" si="25"/>
        <v>Pass</v>
      </c>
      <c r="T543" s="30" t="str">
        <f t="shared" si="26"/>
        <v>FY 21-22</v>
      </c>
      <c r="U543" s="30" t="str">
        <f>VLOOKUP(MONTH(G543),Key!$F$3:$G$14,2,0)</f>
        <v>Jan</v>
      </c>
      <c r="V543" s="30" t="str">
        <f>IFERROR(IF(MATCH(F543,'Test 6'!C$5:C$9,0)&gt;0,"RP"),"NON-RP")</f>
        <v>NON-RP</v>
      </c>
    </row>
    <row r="544" spans="2:22" x14ac:dyDescent="0.5">
      <c r="B544" s="30">
        <v>540</v>
      </c>
      <c r="C544" s="30" t="s">
        <v>1177</v>
      </c>
      <c r="D544" s="31">
        <v>2122281</v>
      </c>
      <c r="E544" s="30" t="s">
        <v>1178</v>
      </c>
      <c r="F544" s="53" t="s">
        <v>111</v>
      </c>
      <c r="G544" s="32">
        <v>44583</v>
      </c>
      <c r="H544" s="33">
        <v>0.80902777777777779</v>
      </c>
      <c r="I544" s="30" t="s">
        <v>502</v>
      </c>
      <c r="J544" s="34">
        <v>4651520</v>
      </c>
      <c r="K544" s="35" t="s">
        <v>17</v>
      </c>
      <c r="L544" s="36">
        <v>837273.59999999998</v>
      </c>
      <c r="M544" s="30" t="s">
        <v>41</v>
      </c>
      <c r="N544" s="30" t="s">
        <v>42</v>
      </c>
      <c r="O544" s="30" t="s">
        <v>1542</v>
      </c>
      <c r="P544" s="30" t="s">
        <v>1542</v>
      </c>
      <c r="Q544" s="30" t="str">
        <f>VLOOKUP(WEEKDAY(G544),Key!$B$3:$C$9,2,0)</f>
        <v>Saturday</v>
      </c>
      <c r="R544" s="42" t="str">
        <f t="shared" si="24"/>
        <v>Outside</v>
      </c>
      <c r="S544" s="41" t="str">
        <f t="shared" si="25"/>
        <v>Red Flag</v>
      </c>
      <c r="T544" s="30" t="str">
        <f t="shared" si="26"/>
        <v>FY 21-22</v>
      </c>
      <c r="U544" s="30" t="str">
        <f>VLOOKUP(MONTH(G544),Key!$F$3:$G$14,2,0)</f>
        <v>Jan</v>
      </c>
      <c r="V544" s="30" t="str">
        <f>IFERROR(IF(MATCH(F544,'Test 6'!C$5:C$9,0)&gt;0,"RP"),"NON-RP")</f>
        <v>RP</v>
      </c>
    </row>
    <row r="545" spans="2:22" x14ac:dyDescent="0.5">
      <c r="B545" s="30">
        <v>541</v>
      </c>
      <c r="C545" s="30" t="s">
        <v>1179</v>
      </c>
      <c r="D545" s="31">
        <v>2122282</v>
      </c>
      <c r="E545" s="30" t="s">
        <v>1180</v>
      </c>
      <c r="F545" s="53" t="s">
        <v>67</v>
      </c>
      <c r="G545" s="32">
        <v>44580</v>
      </c>
      <c r="H545" s="33">
        <v>0.63889528449701616</v>
      </c>
      <c r="I545" s="30" t="s">
        <v>502</v>
      </c>
      <c r="J545" s="34">
        <v>23120</v>
      </c>
      <c r="K545" s="35" t="s">
        <v>17</v>
      </c>
      <c r="L545" s="36">
        <v>4161.5999999999995</v>
      </c>
      <c r="M545" s="30" t="s">
        <v>78</v>
      </c>
      <c r="N545" s="30" t="s">
        <v>23</v>
      </c>
      <c r="O545" s="30" t="s">
        <v>1542</v>
      </c>
      <c r="P545" s="30" t="s">
        <v>1542</v>
      </c>
      <c r="Q545" s="30" t="str">
        <f>VLOOKUP(WEEKDAY(G545),Key!$B$3:$C$9,2,0)</f>
        <v>Wednesday</v>
      </c>
      <c r="R545" s="42" t="str">
        <f t="shared" si="24"/>
        <v>Within</v>
      </c>
      <c r="S545" s="41" t="str">
        <f t="shared" si="25"/>
        <v>Pass</v>
      </c>
      <c r="T545" s="30" t="str">
        <f t="shared" si="26"/>
        <v>FY 21-22</v>
      </c>
      <c r="U545" s="30" t="str">
        <f>VLOOKUP(MONTH(G545),Key!$F$3:$G$14,2,0)</f>
        <v>Jan</v>
      </c>
      <c r="V545" s="30" t="str">
        <f>IFERROR(IF(MATCH(F545,'Test 6'!C$5:C$9,0)&gt;0,"RP"),"NON-RP")</f>
        <v>NON-RP</v>
      </c>
    </row>
    <row r="546" spans="2:22" x14ac:dyDescent="0.5">
      <c r="B546" s="30">
        <v>542</v>
      </c>
      <c r="C546" s="30" t="s">
        <v>1181</v>
      </c>
      <c r="D546" s="31">
        <v>2122283</v>
      </c>
      <c r="E546" s="30" t="s">
        <v>1182</v>
      </c>
      <c r="F546" s="53" t="s">
        <v>203</v>
      </c>
      <c r="G546" s="32">
        <v>44581</v>
      </c>
      <c r="H546" s="33">
        <v>0.52612145290869672</v>
      </c>
      <c r="I546" s="30" t="s">
        <v>502</v>
      </c>
      <c r="J546" s="34">
        <v>427480</v>
      </c>
      <c r="K546" s="35" t="s">
        <v>17</v>
      </c>
      <c r="L546" s="36">
        <v>76946.399999999994</v>
      </c>
      <c r="M546" s="30" t="s">
        <v>37</v>
      </c>
      <c r="N546" s="30" t="s">
        <v>47</v>
      </c>
      <c r="O546" s="30" t="s">
        <v>1542</v>
      </c>
      <c r="P546" s="30" t="s">
        <v>1542</v>
      </c>
      <c r="Q546" s="30" t="str">
        <f>VLOOKUP(WEEKDAY(G546),Key!$B$3:$C$9,2,0)</f>
        <v>Thursday</v>
      </c>
      <c r="R546" s="42" t="str">
        <f t="shared" si="24"/>
        <v>Within</v>
      </c>
      <c r="S546" s="41" t="str">
        <f t="shared" si="25"/>
        <v>Pass</v>
      </c>
      <c r="T546" s="30" t="str">
        <f t="shared" si="26"/>
        <v>FY 21-22</v>
      </c>
      <c r="U546" s="30" t="str">
        <f>VLOOKUP(MONTH(G546),Key!$F$3:$G$14,2,0)</f>
        <v>Jan</v>
      </c>
      <c r="V546" s="30" t="str">
        <f>IFERROR(IF(MATCH(F546,'Test 6'!C$5:C$9,0)&gt;0,"RP"),"NON-RP")</f>
        <v>NON-RP</v>
      </c>
    </row>
    <row r="547" spans="2:22" x14ac:dyDescent="0.5">
      <c r="B547" s="30">
        <v>543</v>
      </c>
      <c r="C547" s="30" t="s">
        <v>1183</v>
      </c>
      <c r="D547" s="31">
        <v>2122284</v>
      </c>
      <c r="E547" s="30" t="s">
        <v>1184</v>
      </c>
      <c r="F547" s="53" t="s">
        <v>114</v>
      </c>
      <c r="G547" s="32">
        <v>44581</v>
      </c>
      <c r="H547" s="33">
        <v>0.70922302333720766</v>
      </c>
      <c r="I547" s="30" t="s">
        <v>502</v>
      </c>
      <c r="J547" s="34">
        <v>29260</v>
      </c>
      <c r="K547" s="35" t="s">
        <v>17</v>
      </c>
      <c r="L547" s="36">
        <v>5266.8</v>
      </c>
      <c r="M547" s="30" t="s">
        <v>168</v>
      </c>
      <c r="N547" s="30" t="s">
        <v>23</v>
      </c>
      <c r="O547" s="30" t="s">
        <v>1542</v>
      </c>
      <c r="P547" s="30" t="s">
        <v>1542</v>
      </c>
      <c r="Q547" s="30" t="str">
        <f>VLOOKUP(WEEKDAY(G547),Key!$B$3:$C$9,2,0)</f>
        <v>Thursday</v>
      </c>
      <c r="R547" s="42" t="str">
        <f t="shared" si="24"/>
        <v>Within</v>
      </c>
      <c r="S547" s="41" t="str">
        <f t="shared" si="25"/>
        <v>Pass</v>
      </c>
      <c r="T547" s="30" t="str">
        <f t="shared" si="26"/>
        <v>FY 21-22</v>
      </c>
      <c r="U547" s="30" t="str">
        <f>VLOOKUP(MONTH(G547),Key!$F$3:$G$14,2,0)</f>
        <v>Jan</v>
      </c>
      <c r="V547" s="30" t="str">
        <f>IFERROR(IF(MATCH(F547,'Test 6'!C$5:C$9,0)&gt;0,"RP"),"NON-RP")</f>
        <v>NON-RP</v>
      </c>
    </row>
    <row r="548" spans="2:22" x14ac:dyDescent="0.5">
      <c r="B548" s="30">
        <v>544</v>
      </c>
      <c r="C548" s="30" t="s">
        <v>1185</v>
      </c>
      <c r="D548" s="31">
        <v>2122285</v>
      </c>
      <c r="E548" s="30" t="s">
        <v>1186</v>
      </c>
      <c r="F548" s="53" t="s">
        <v>40</v>
      </c>
      <c r="G548" s="32">
        <v>44581</v>
      </c>
      <c r="H548" s="33">
        <v>0.4461086673403708</v>
      </c>
      <c r="I548" s="30" t="s">
        <v>502</v>
      </c>
      <c r="J548" s="34">
        <v>6181180</v>
      </c>
      <c r="K548" s="35" t="s">
        <v>17</v>
      </c>
      <c r="L548" s="36">
        <v>1112612.3999999999</v>
      </c>
      <c r="M548" s="30" t="s">
        <v>41</v>
      </c>
      <c r="N548" s="30" t="s">
        <v>42</v>
      </c>
      <c r="O548" s="30" t="s">
        <v>1575</v>
      </c>
      <c r="P548" s="30" t="s">
        <v>1588</v>
      </c>
      <c r="Q548" s="30" t="str">
        <f>VLOOKUP(WEEKDAY(G548),Key!$B$3:$C$9,2,0)</f>
        <v>Thursday</v>
      </c>
      <c r="R548" s="42" t="str">
        <f t="shared" si="24"/>
        <v>Within</v>
      </c>
      <c r="S548" s="41" t="str">
        <f t="shared" si="25"/>
        <v>Pass</v>
      </c>
      <c r="T548" s="30" t="str">
        <f t="shared" si="26"/>
        <v>FY 21-22</v>
      </c>
      <c r="U548" s="30" t="str">
        <f>VLOOKUP(MONTH(G548),Key!$F$3:$G$14,2,0)</f>
        <v>Jan</v>
      </c>
      <c r="V548" s="30" t="str">
        <f>IFERROR(IF(MATCH(F548,'Test 6'!C$5:C$9,0)&gt;0,"RP"),"NON-RP")</f>
        <v>NON-RP</v>
      </c>
    </row>
    <row r="549" spans="2:22" x14ac:dyDescent="0.5">
      <c r="B549" s="30">
        <v>545</v>
      </c>
      <c r="C549" s="30" t="s">
        <v>1187</v>
      </c>
      <c r="D549" s="31">
        <v>2122286</v>
      </c>
      <c r="E549" s="30" t="s">
        <v>1188</v>
      </c>
      <c r="F549" s="53" t="s">
        <v>92</v>
      </c>
      <c r="G549" s="32">
        <v>44583</v>
      </c>
      <c r="H549" s="33">
        <v>0.4964387706259128</v>
      </c>
      <c r="I549" s="30" t="s">
        <v>502</v>
      </c>
      <c r="J549" s="34">
        <v>41050</v>
      </c>
      <c r="K549" s="35" t="s">
        <v>17</v>
      </c>
      <c r="L549" s="36">
        <v>7389</v>
      </c>
      <c r="M549" s="30" t="s">
        <v>134</v>
      </c>
      <c r="N549" s="30" t="s">
        <v>37</v>
      </c>
      <c r="O549" s="30" t="s">
        <v>1542</v>
      </c>
      <c r="P549" s="30" t="s">
        <v>1542</v>
      </c>
      <c r="Q549" s="30" t="str">
        <f>VLOOKUP(WEEKDAY(G549),Key!$B$3:$C$9,2,0)</f>
        <v>Saturday</v>
      </c>
      <c r="R549" s="42" t="str">
        <f t="shared" si="24"/>
        <v>Within</v>
      </c>
      <c r="S549" s="41" t="str">
        <f t="shared" si="25"/>
        <v>Pass</v>
      </c>
      <c r="T549" s="30" t="str">
        <f t="shared" si="26"/>
        <v>FY 21-22</v>
      </c>
      <c r="U549" s="30" t="str">
        <f>VLOOKUP(MONTH(G549),Key!$F$3:$G$14,2,0)</f>
        <v>Jan</v>
      </c>
      <c r="V549" s="30" t="str">
        <f>IFERROR(IF(MATCH(F549,'Test 6'!C$5:C$9,0)&gt;0,"RP"),"NON-RP")</f>
        <v>NON-RP</v>
      </c>
    </row>
    <row r="550" spans="2:22" x14ac:dyDescent="0.5">
      <c r="B550" s="30">
        <v>546</v>
      </c>
      <c r="C550" s="30" t="s">
        <v>1189</v>
      </c>
      <c r="D550" s="31">
        <v>2122287</v>
      </c>
      <c r="E550" s="30" t="s">
        <v>1190</v>
      </c>
      <c r="F550" s="53" t="s">
        <v>67</v>
      </c>
      <c r="G550" s="32">
        <v>44583</v>
      </c>
      <c r="H550" s="33">
        <v>0.50951002245425525</v>
      </c>
      <c r="I550" s="30" t="s">
        <v>502</v>
      </c>
      <c r="J550" s="34">
        <v>470540</v>
      </c>
      <c r="K550" s="35" t="s">
        <v>17</v>
      </c>
      <c r="L550" s="36">
        <v>84697.2</v>
      </c>
      <c r="M550" s="30" t="s">
        <v>61</v>
      </c>
      <c r="N550" s="30" t="s">
        <v>51</v>
      </c>
      <c r="O550" s="30" t="s">
        <v>1542</v>
      </c>
      <c r="P550" s="30" t="s">
        <v>1542</v>
      </c>
      <c r="Q550" s="30" t="str">
        <f>VLOOKUP(WEEKDAY(G550),Key!$B$3:$C$9,2,0)</f>
        <v>Saturday</v>
      </c>
      <c r="R550" s="42" t="str">
        <f t="shared" si="24"/>
        <v>Within</v>
      </c>
      <c r="S550" s="41" t="str">
        <f t="shared" si="25"/>
        <v>Pass</v>
      </c>
      <c r="T550" s="30" t="str">
        <f t="shared" si="26"/>
        <v>FY 21-22</v>
      </c>
      <c r="U550" s="30" t="str">
        <f>VLOOKUP(MONTH(G550),Key!$F$3:$G$14,2,0)</f>
        <v>Jan</v>
      </c>
      <c r="V550" s="30" t="str">
        <f>IFERROR(IF(MATCH(F550,'Test 6'!C$5:C$9,0)&gt;0,"RP"),"NON-RP")</f>
        <v>NON-RP</v>
      </c>
    </row>
    <row r="551" spans="2:22" x14ac:dyDescent="0.5">
      <c r="B551" s="30">
        <v>547</v>
      </c>
      <c r="C551" s="30" t="s">
        <v>1191</v>
      </c>
      <c r="D551" s="31">
        <v>2122288</v>
      </c>
      <c r="E551" s="30" t="s">
        <v>1192</v>
      </c>
      <c r="F551" s="53" t="s">
        <v>153</v>
      </c>
      <c r="G551" s="32">
        <v>44585</v>
      </c>
      <c r="H551" s="33">
        <v>0.49384183057419068</v>
      </c>
      <c r="I551" s="30" t="s">
        <v>502</v>
      </c>
      <c r="J551" s="34">
        <v>37310</v>
      </c>
      <c r="K551" s="35" t="s">
        <v>17</v>
      </c>
      <c r="L551" s="36">
        <v>6715.8</v>
      </c>
      <c r="M551" s="30" t="s">
        <v>168</v>
      </c>
      <c r="N551" s="30" t="s">
        <v>18</v>
      </c>
      <c r="O551" s="30" t="s">
        <v>1542</v>
      </c>
      <c r="P551" s="30" t="s">
        <v>1542</v>
      </c>
      <c r="Q551" s="30" t="str">
        <f>VLOOKUP(WEEKDAY(G551),Key!$B$3:$C$9,2,0)</f>
        <v>Monday</v>
      </c>
      <c r="R551" s="42" t="str">
        <f t="shared" si="24"/>
        <v>Within</v>
      </c>
      <c r="S551" s="41" t="str">
        <f t="shared" si="25"/>
        <v>Pass</v>
      </c>
      <c r="T551" s="30" t="str">
        <f t="shared" si="26"/>
        <v>FY 21-22</v>
      </c>
      <c r="U551" s="30" t="str">
        <f>VLOOKUP(MONTH(G551),Key!$F$3:$G$14,2,0)</f>
        <v>Jan</v>
      </c>
      <c r="V551" s="30" t="str">
        <f>IFERROR(IF(MATCH(F551,'Test 6'!C$5:C$9,0)&gt;0,"RP"),"NON-RP")</f>
        <v>NON-RP</v>
      </c>
    </row>
    <row r="552" spans="2:22" x14ac:dyDescent="0.5">
      <c r="B552" s="30">
        <v>548</v>
      </c>
      <c r="C552" s="30" t="s">
        <v>1193</v>
      </c>
      <c r="D552" s="31">
        <v>2122289</v>
      </c>
      <c r="E552" s="30" t="s">
        <v>1194</v>
      </c>
      <c r="F552" s="53" t="s">
        <v>156</v>
      </c>
      <c r="G552" s="32">
        <v>44586</v>
      </c>
      <c r="H552" s="33">
        <v>0.48546576721042001</v>
      </c>
      <c r="I552" s="30" t="s">
        <v>502</v>
      </c>
      <c r="J552" s="34">
        <v>4724620</v>
      </c>
      <c r="K552" s="35" t="s">
        <v>17</v>
      </c>
      <c r="L552" s="36">
        <v>850431.6</v>
      </c>
      <c r="M552" s="30" t="s">
        <v>41</v>
      </c>
      <c r="N552" s="30" t="s">
        <v>42</v>
      </c>
      <c r="O552" s="30" t="s">
        <v>1542</v>
      </c>
      <c r="P552" s="30" t="s">
        <v>1542</v>
      </c>
      <c r="Q552" s="30" t="str">
        <f>VLOOKUP(WEEKDAY(G552),Key!$B$3:$C$9,2,0)</f>
        <v>Tuesday</v>
      </c>
      <c r="R552" s="42" t="str">
        <f t="shared" si="24"/>
        <v>Within</v>
      </c>
      <c r="S552" s="41" t="str">
        <f t="shared" si="25"/>
        <v>Pass</v>
      </c>
      <c r="T552" s="30" t="str">
        <f t="shared" si="26"/>
        <v>FY 21-22</v>
      </c>
      <c r="U552" s="30" t="str">
        <f>VLOOKUP(MONTH(G552),Key!$F$3:$G$14,2,0)</f>
        <v>Jan</v>
      </c>
      <c r="V552" s="30" t="str">
        <f>IFERROR(IF(MATCH(F552,'Test 6'!C$5:C$9,0)&gt;0,"RP"),"NON-RP")</f>
        <v>NON-RP</v>
      </c>
    </row>
    <row r="553" spans="2:22" x14ac:dyDescent="0.5">
      <c r="B553" s="30">
        <v>549</v>
      </c>
      <c r="C553" s="30" t="s">
        <v>1195</v>
      </c>
      <c r="D553" s="31">
        <v>2122290</v>
      </c>
      <c r="E553" s="30" t="s">
        <v>1196</v>
      </c>
      <c r="F553" s="53" t="s">
        <v>114</v>
      </c>
      <c r="G553" s="32">
        <v>44586</v>
      </c>
      <c r="H553" s="33">
        <v>0.73766878262906443</v>
      </c>
      <c r="I553" s="30" t="s">
        <v>502</v>
      </c>
      <c r="J553" s="34">
        <v>33250</v>
      </c>
      <c r="K553" s="35" t="s">
        <v>17</v>
      </c>
      <c r="L553" s="36">
        <v>5985</v>
      </c>
      <c r="M553" s="30" t="s">
        <v>134</v>
      </c>
      <c r="N553" s="30" t="s">
        <v>46</v>
      </c>
      <c r="O553" s="30" t="s">
        <v>1542</v>
      </c>
      <c r="P553" s="30" t="s">
        <v>1542</v>
      </c>
      <c r="Q553" s="30" t="str">
        <f>VLOOKUP(WEEKDAY(G553),Key!$B$3:$C$9,2,0)</f>
        <v>Tuesday</v>
      </c>
      <c r="R553" s="42" t="str">
        <f t="shared" si="24"/>
        <v>Within</v>
      </c>
      <c r="S553" s="41" t="str">
        <f t="shared" si="25"/>
        <v>Pass</v>
      </c>
      <c r="T553" s="30" t="str">
        <f t="shared" si="26"/>
        <v>FY 21-22</v>
      </c>
      <c r="U553" s="30" t="str">
        <f>VLOOKUP(MONTH(G553),Key!$F$3:$G$14,2,0)</f>
        <v>Jan</v>
      </c>
      <c r="V553" s="30" t="str">
        <f>IFERROR(IF(MATCH(F553,'Test 6'!C$5:C$9,0)&gt;0,"RP"),"NON-RP")</f>
        <v>NON-RP</v>
      </c>
    </row>
    <row r="554" spans="2:22" x14ac:dyDescent="0.5">
      <c r="B554" s="30">
        <v>550</v>
      </c>
      <c r="C554" s="30" t="s">
        <v>1197</v>
      </c>
      <c r="D554" s="31">
        <v>2122291</v>
      </c>
      <c r="E554" s="30" t="s">
        <v>1198</v>
      </c>
      <c r="F554" s="53" t="s">
        <v>35</v>
      </c>
      <c r="G554" s="32">
        <v>44587</v>
      </c>
      <c r="H554" s="33">
        <v>0.59488817435235919</v>
      </c>
      <c r="I554" s="30" t="s">
        <v>502</v>
      </c>
      <c r="J554" s="34">
        <v>41260</v>
      </c>
      <c r="K554" s="35" t="s">
        <v>17</v>
      </c>
      <c r="L554" s="36">
        <v>7426.7999999999993</v>
      </c>
      <c r="M554" s="30" t="s">
        <v>200</v>
      </c>
      <c r="N554" s="30" t="s">
        <v>28</v>
      </c>
      <c r="O554" s="30" t="s">
        <v>1542</v>
      </c>
      <c r="P554" s="30" t="s">
        <v>1542</v>
      </c>
      <c r="Q554" s="30" t="str">
        <f>VLOOKUP(WEEKDAY(G554),Key!$B$3:$C$9,2,0)</f>
        <v>Wednesday</v>
      </c>
      <c r="R554" s="42" t="str">
        <f t="shared" si="24"/>
        <v>Within</v>
      </c>
      <c r="S554" s="41" t="str">
        <f t="shared" si="25"/>
        <v>Pass</v>
      </c>
      <c r="T554" s="30" t="str">
        <f t="shared" si="26"/>
        <v>FY 21-22</v>
      </c>
      <c r="U554" s="30" t="str">
        <f>VLOOKUP(MONTH(G554),Key!$F$3:$G$14,2,0)</f>
        <v>Jan</v>
      </c>
      <c r="V554" s="30" t="str">
        <f>IFERROR(IF(MATCH(F554,'Test 6'!C$5:C$9,0)&gt;0,"RP"),"NON-RP")</f>
        <v>NON-RP</v>
      </c>
    </row>
    <row r="555" spans="2:22" x14ac:dyDescent="0.5">
      <c r="B555" s="30">
        <v>551</v>
      </c>
      <c r="C555" s="30" t="s">
        <v>1199</v>
      </c>
      <c r="D555" s="31">
        <v>2122292</v>
      </c>
      <c r="E555" s="30" t="s">
        <v>1200</v>
      </c>
      <c r="F555" s="53" t="s">
        <v>35</v>
      </c>
      <c r="G555" s="32">
        <v>44588</v>
      </c>
      <c r="H555" s="33">
        <v>0.63665095368759261</v>
      </c>
      <c r="I555" s="30" t="s">
        <v>502</v>
      </c>
      <c r="J555" s="34">
        <v>375630</v>
      </c>
      <c r="K555" s="35" t="s">
        <v>17</v>
      </c>
      <c r="L555" s="36">
        <v>67613.399999999994</v>
      </c>
      <c r="M555" s="30" t="s">
        <v>32</v>
      </c>
      <c r="N555" s="30" t="s">
        <v>68</v>
      </c>
      <c r="O555" s="30" t="s">
        <v>1542</v>
      </c>
      <c r="P555" s="30" t="s">
        <v>1542</v>
      </c>
      <c r="Q555" s="30" t="str">
        <f>VLOOKUP(WEEKDAY(G555),Key!$B$3:$C$9,2,0)</f>
        <v>Thursday</v>
      </c>
      <c r="R555" s="42" t="str">
        <f t="shared" si="24"/>
        <v>Within</v>
      </c>
      <c r="S555" s="41" t="str">
        <f t="shared" si="25"/>
        <v>Pass</v>
      </c>
      <c r="T555" s="30" t="str">
        <f t="shared" si="26"/>
        <v>FY 21-22</v>
      </c>
      <c r="U555" s="30" t="str">
        <f>VLOOKUP(MONTH(G555),Key!$F$3:$G$14,2,0)</f>
        <v>Jan</v>
      </c>
      <c r="V555" s="30" t="str">
        <f>IFERROR(IF(MATCH(F555,'Test 6'!C$5:C$9,0)&gt;0,"RP"),"NON-RP")</f>
        <v>NON-RP</v>
      </c>
    </row>
    <row r="556" spans="2:22" x14ac:dyDescent="0.5">
      <c r="B556" s="30">
        <v>552</v>
      </c>
      <c r="C556" s="30" t="s">
        <v>1201</v>
      </c>
      <c r="D556" s="31">
        <v>2122293</v>
      </c>
      <c r="E556" s="30" t="s">
        <v>1202</v>
      </c>
      <c r="F556" s="53" t="s">
        <v>64</v>
      </c>
      <c r="G556" s="32">
        <v>44589</v>
      </c>
      <c r="H556" s="33">
        <v>0.50704257927687513</v>
      </c>
      <c r="I556" s="30" t="s">
        <v>502</v>
      </c>
      <c r="J556" s="34">
        <v>258730</v>
      </c>
      <c r="K556" s="35" t="s">
        <v>17</v>
      </c>
      <c r="L556" s="36">
        <v>46571.4</v>
      </c>
      <c r="M556" s="30" t="s">
        <v>32</v>
      </c>
      <c r="N556" s="30" t="s">
        <v>68</v>
      </c>
      <c r="O556" s="30" t="s">
        <v>1542</v>
      </c>
      <c r="P556" s="30" t="s">
        <v>1542</v>
      </c>
      <c r="Q556" s="30" t="str">
        <f>VLOOKUP(WEEKDAY(G556),Key!$B$3:$C$9,2,0)</f>
        <v>Friday</v>
      </c>
      <c r="R556" s="42" t="str">
        <f t="shared" si="24"/>
        <v>Within</v>
      </c>
      <c r="S556" s="41" t="str">
        <f t="shared" si="25"/>
        <v>Pass</v>
      </c>
      <c r="T556" s="30" t="str">
        <f t="shared" si="26"/>
        <v>FY 21-22</v>
      </c>
      <c r="U556" s="30" t="str">
        <f>VLOOKUP(MONTH(G556),Key!$F$3:$G$14,2,0)</f>
        <v>Jan</v>
      </c>
      <c r="V556" s="30" t="str">
        <f>IFERROR(IF(MATCH(F556,'Test 6'!C$5:C$9,0)&gt;0,"RP"),"NON-RP")</f>
        <v>NON-RP</v>
      </c>
    </row>
    <row r="557" spans="2:22" x14ac:dyDescent="0.5">
      <c r="B557" s="30">
        <v>553</v>
      </c>
      <c r="C557" s="30" t="s">
        <v>1203</v>
      </c>
      <c r="D557" s="31">
        <v>2122294</v>
      </c>
      <c r="E557" s="30" t="s">
        <v>1204</v>
      </c>
      <c r="F557" s="53" t="s">
        <v>238</v>
      </c>
      <c r="G557" s="32">
        <v>44590</v>
      </c>
      <c r="H557" s="33">
        <v>0.73743649942233924</v>
      </c>
      <c r="I557" s="30" t="s">
        <v>502</v>
      </c>
      <c r="J557" s="34">
        <v>474250</v>
      </c>
      <c r="K557" s="35" t="s">
        <v>17</v>
      </c>
      <c r="L557" s="36">
        <v>85365</v>
      </c>
      <c r="M557" s="30" t="s">
        <v>23</v>
      </c>
      <c r="N557" s="30" t="s">
        <v>47</v>
      </c>
      <c r="O557" s="30" t="s">
        <v>1542</v>
      </c>
      <c r="P557" s="30" t="s">
        <v>1542</v>
      </c>
      <c r="Q557" s="30" t="str">
        <f>VLOOKUP(WEEKDAY(G557),Key!$B$3:$C$9,2,0)</f>
        <v>Saturday</v>
      </c>
      <c r="R557" s="42" t="str">
        <f t="shared" si="24"/>
        <v>Within</v>
      </c>
      <c r="S557" s="41" t="str">
        <f t="shared" si="25"/>
        <v>Pass</v>
      </c>
      <c r="T557" s="30" t="str">
        <f t="shared" si="26"/>
        <v>FY 21-22</v>
      </c>
      <c r="U557" s="30" t="str">
        <f>VLOOKUP(MONTH(G557),Key!$F$3:$G$14,2,0)</f>
        <v>Jan</v>
      </c>
      <c r="V557" s="30" t="str">
        <f>IFERROR(IF(MATCH(F557,'Test 6'!C$5:C$9,0)&gt;0,"RP"),"NON-RP")</f>
        <v>NON-RP</v>
      </c>
    </row>
    <row r="558" spans="2:22" x14ac:dyDescent="0.5">
      <c r="B558" s="30">
        <v>554</v>
      </c>
      <c r="C558" s="30" t="s">
        <v>1205</v>
      </c>
      <c r="D558" s="31">
        <v>2122295</v>
      </c>
      <c r="E558" s="30" t="s">
        <v>1206</v>
      </c>
      <c r="F558" s="53" t="s">
        <v>27</v>
      </c>
      <c r="G558" s="32">
        <v>44592</v>
      </c>
      <c r="H558" s="33">
        <v>0.53106952824774156</v>
      </c>
      <c r="I558" s="30" t="s">
        <v>502</v>
      </c>
      <c r="J558" s="34">
        <v>469070</v>
      </c>
      <c r="K558" s="35" t="s">
        <v>17</v>
      </c>
      <c r="L558" s="36">
        <v>84432.599999999991</v>
      </c>
      <c r="M558" s="30" t="s">
        <v>46</v>
      </c>
      <c r="N558" s="30" t="s">
        <v>47</v>
      </c>
      <c r="O558" s="30" t="s">
        <v>1542</v>
      </c>
      <c r="P558" s="30" t="s">
        <v>1542</v>
      </c>
      <c r="Q558" s="30" t="str">
        <f>VLOOKUP(WEEKDAY(G558),Key!$B$3:$C$9,2,0)</f>
        <v>Monday</v>
      </c>
      <c r="R558" s="42" t="str">
        <f t="shared" si="24"/>
        <v>Within</v>
      </c>
      <c r="S558" s="41" t="str">
        <f t="shared" si="25"/>
        <v>Pass</v>
      </c>
      <c r="T558" s="30" t="str">
        <f t="shared" si="26"/>
        <v>FY 21-22</v>
      </c>
      <c r="U558" s="30" t="str">
        <f>VLOOKUP(MONTH(G558),Key!$F$3:$G$14,2,0)</f>
        <v>Jan</v>
      </c>
      <c r="V558" s="30" t="str">
        <f>IFERROR(IF(MATCH(F558,'Test 6'!C$5:C$9,0)&gt;0,"RP"),"NON-RP")</f>
        <v>NON-RP</v>
      </c>
    </row>
    <row r="559" spans="2:22" x14ac:dyDescent="0.5">
      <c r="B559" s="30">
        <v>555</v>
      </c>
      <c r="C559" s="30" t="s">
        <v>1207</v>
      </c>
      <c r="D559" s="31">
        <v>2122296</v>
      </c>
      <c r="E559" s="30" t="s">
        <v>1208</v>
      </c>
      <c r="F559" s="53" t="s">
        <v>60</v>
      </c>
      <c r="G559" s="32">
        <v>44592</v>
      </c>
      <c r="H559" s="33">
        <v>0.4346866079075169</v>
      </c>
      <c r="I559" s="30" t="s">
        <v>502</v>
      </c>
      <c r="J559" s="34">
        <v>374000</v>
      </c>
      <c r="K559" s="35" t="s">
        <v>17</v>
      </c>
      <c r="L559" s="36">
        <v>67320</v>
      </c>
      <c r="M559" s="30" t="s">
        <v>32</v>
      </c>
      <c r="N559" s="30" t="s">
        <v>68</v>
      </c>
      <c r="O559" s="30" t="s">
        <v>1542</v>
      </c>
      <c r="P559" s="30" t="s">
        <v>1542</v>
      </c>
      <c r="Q559" s="30" t="str">
        <f>VLOOKUP(WEEKDAY(G559),Key!$B$3:$C$9,2,0)</f>
        <v>Monday</v>
      </c>
      <c r="R559" s="42" t="str">
        <f t="shared" si="24"/>
        <v>Within</v>
      </c>
      <c r="S559" s="41" t="str">
        <f t="shared" si="25"/>
        <v>Pass</v>
      </c>
      <c r="T559" s="30" t="str">
        <f t="shared" si="26"/>
        <v>FY 21-22</v>
      </c>
      <c r="U559" s="30" t="str">
        <f>VLOOKUP(MONTH(G559),Key!$F$3:$G$14,2,0)</f>
        <v>Jan</v>
      </c>
      <c r="V559" s="30" t="str">
        <f>IFERROR(IF(MATCH(F559,'Test 6'!C$5:C$9,0)&gt;0,"RP"),"NON-RP")</f>
        <v>NON-RP</v>
      </c>
    </row>
    <row r="560" spans="2:22" x14ac:dyDescent="0.5">
      <c r="B560" s="30">
        <v>556</v>
      </c>
      <c r="C560" s="30" t="s">
        <v>1209</v>
      </c>
      <c r="D560" s="31">
        <v>2122297</v>
      </c>
      <c r="E560" s="30" t="s">
        <v>1210</v>
      </c>
      <c r="F560" s="53" t="s">
        <v>195</v>
      </c>
      <c r="G560" s="32">
        <v>44594</v>
      </c>
      <c r="H560" s="33">
        <v>0.51210587935776353</v>
      </c>
      <c r="I560" s="30" t="s">
        <v>535</v>
      </c>
      <c r="J560" s="34">
        <v>309640</v>
      </c>
      <c r="K560" s="35" t="s">
        <v>17</v>
      </c>
      <c r="L560" s="36">
        <v>55735.199999999997</v>
      </c>
      <c r="M560" s="30" t="s">
        <v>32</v>
      </c>
      <c r="N560" s="30" t="s">
        <v>24</v>
      </c>
      <c r="O560" s="30" t="s">
        <v>1542</v>
      </c>
      <c r="P560" s="30" t="s">
        <v>1542</v>
      </c>
      <c r="Q560" s="30" t="str">
        <f>VLOOKUP(WEEKDAY(G560),Key!$B$3:$C$9,2,0)</f>
        <v>Wednesday</v>
      </c>
      <c r="R560" s="42" t="str">
        <f t="shared" si="24"/>
        <v>Within</v>
      </c>
      <c r="S560" s="41" t="str">
        <f t="shared" si="25"/>
        <v>Pass</v>
      </c>
      <c r="T560" s="30" t="str">
        <f t="shared" si="26"/>
        <v>FY 21-22</v>
      </c>
      <c r="U560" s="30" t="str">
        <f>VLOOKUP(MONTH(G560),Key!$F$3:$G$14,2,0)</f>
        <v>Feb</v>
      </c>
      <c r="V560" s="30" t="str">
        <f>IFERROR(IF(MATCH(F560,'Test 6'!C$5:C$9,0)&gt;0,"RP"),"NON-RP")</f>
        <v>NON-RP</v>
      </c>
    </row>
    <row r="561" spans="2:22" x14ac:dyDescent="0.5">
      <c r="B561" s="30">
        <v>557</v>
      </c>
      <c r="C561" s="30" t="s">
        <v>1211</v>
      </c>
      <c r="D561" s="31">
        <v>2122298</v>
      </c>
      <c r="E561" s="30" t="s">
        <v>1212</v>
      </c>
      <c r="F561" s="53" t="s">
        <v>125</v>
      </c>
      <c r="G561" s="32">
        <v>44594</v>
      </c>
      <c r="H561" s="33">
        <v>0.68510061482512774</v>
      </c>
      <c r="I561" s="30" t="s">
        <v>535</v>
      </c>
      <c r="J561" s="34">
        <v>334090</v>
      </c>
      <c r="K561" s="35" t="s">
        <v>17</v>
      </c>
      <c r="L561" s="36">
        <v>60136.2</v>
      </c>
      <c r="M561" s="30" t="s">
        <v>23</v>
      </c>
      <c r="N561" s="30" t="s">
        <v>47</v>
      </c>
      <c r="O561" s="30" t="s">
        <v>1542</v>
      </c>
      <c r="P561" s="30" t="s">
        <v>1542</v>
      </c>
      <c r="Q561" s="30" t="str">
        <f>VLOOKUP(WEEKDAY(G561),Key!$B$3:$C$9,2,0)</f>
        <v>Wednesday</v>
      </c>
      <c r="R561" s="42" t="str">
        <f t="shared" si="24"/>
        <v>Within</v>
      </c>
      <c r="S561" s="41" t="str">
        <f t="shared" si="25"/>
        <v>Pass</v>
      </c>
      <c r="T561" s="30" t="str">
        <f t="shared" si="26"/>
        <v>FY 21-22</v>
      </c>
      <c r="U561" s="30" t="str">
        <f>VLOOKUP(MONTH(G561),Key!$F$3:$G$14,2,0)</f>
        <v>Feb</v>
      </c>
      <c r="V561" s="30" t="str">
        <f>IFERROR(IF(MATCH(F561,'Test 6'!C$5:C$9,0)&gt;0,"RP"),"NON-RP")</f>
        <v>NON-RP</v>
      </c>
    </row>
    <row r="562" spans="2:22" x14ac:dyDescent="0.5">
      <c r="B562" s="30">
        <v>558</v>
      </c>
      <c r="C562" s="30" t="s">
        <v>1213</v>
      </c>
      <c r="D562" s="31">
        <v>2122299</v>
      </c>
      <c r="E562" s="30" t="s">
        <v>1214</v>
      </c>
      <c r="F562" s="53" t="s">
        <v>203</v>
      </c>
      <c r="G562" s="32">
        <v>44595</v>
      </c>
      <c r="H562" s="33">
        <v>0.6600104438449903</v>
      </c>
      <c r="I562" s="30" t="s">
        <v>535</v>
      </c>
      <c r="J562" s="34">
        <v>390070</v>
      </c>
      <c r="K562" s="35" t="s">
        <v>17</v>
      </c>
      <c r="L562" s="36">
        <v>70212.599999999991</v>
      </c>
      <c r="M562" s="30" t="s">
        <v>23</v>
      </c>
      <c r="N562" s="30" t="s">
        <v>68</v>
      </c>
      <c r="O562" s="30" t="s">
        <v>1542</v>
      </c>
      <c r="P562" s="30" t="s">
        <v>1542</v>
      </c>
      <c r="Q562" s="30" t="str">
        <f>VLOOKUP(WEEKDAY(G562),Key!$B$3:$C$9,2,0)</f>
        <v>Thursday</v>
      </c>
      <c r="R562" s="42" t="str">
        <f t="shared" si="24"/>
        <v>Within</v>
      </c>
      <c r="S562" s="41" t="str">
        <f t="shared" si="25"/>
        <v>Pass</v>
      </c>
      <c r="T562" s="30" t="str">
        <f t="shared" si="26"/>
        <v>FY 21-22</v>
      </c>
      <c r="U562" s="30" t="str">
        <f>VLOOKUP(MONTH(G562),Key!$F$3:$G$14,2,0)</f>
        <v>Feb</v>
      </c>
      <c r="V562" s="30" t="str">
        <f>IFERROR(IF(MATCH(F562,'Test 6'!C$5:C$9,0)&gt;0,"RP"),"NON-RP")</f>
        <v>NON-RP</v>
      </c>
    </row>
    <row r="563" spans="2:22" x14ac:dyDescent="0.5">
      <c r="B563" s="30">
        <v>559</v>
      </c>
      <c r="C563" s="30" t="s">
        <v>1215</v>
      </c>
      <c r="D563" s="31">
        <v>2122300</v>
      </c>
      <c r="E563" s="30" t="s">
        <v>1216</v>
      </c>
      <c r="F563" s="53" t="s">
        <v>378</v>
      </c>
      <c r="G563" s="32">
        <v>44596</v>
      </c>
      <c r="H563" s="33">
        <v>0.73956960462760035</v>
      </c>
      <c r="I563" s="30" t="s">
        <v>535</v>
      </c>
      <c r="J563" s="34">
        <v>493930</v>
      </c>
      <c r="K563" s="35" t="s">
        <v>17</v>
      </c>
      <c r="L563" s="36">
        <v>88907.4</v>
      </c>
      <c r="M563" s="30" t="s">
        <v>46</v>
      </c>
      <c r="N563" s="30" t="s">
        <v>51</v>
      </c>
      <c r="O563" s="30" t="s">
        <v>1542</v>
      </c>
      <c r="P563" s="30" t="s">
        <v>1542</v>
      </c>
      <c r="Q563" s="30" t="str">
        <f>VLOOKUP(WEEKDAY(G563),Key!$B$3:$C$9,2,0)</f>
        <v>Friday</v>
      </c>
      <c r="R563" s="42" t="str">
        <f t="shared" si="24"/>
        <v>Within</v>
      </c>
      <c r="S563" s="41" t="str">
        <f t="shared" si="25"/>
        <v>Pass</v>
      </c>
      <c r="T563" s="30" t="str">
        <f t="shared" si="26"/>
        <v>FY 21-22</v>
      </c>
      <c r="U563" s="30" t="str">
        <f>VLOOKUP(MONTH(G563),Key!$F$3:$G$14,2,0)</f>
        <v>Feb</v>
      </c>
      <c r="V563" s="30" t="str">
        <f>IFERROR(IF(MATCH(F563,'Test 6'!C$5:C$9,0)&gt;0,"RP"),"NON-RP")</f>
        <v>RP</v>
      </c>
    </row>
    <row r="564" spans="2:22" x14ac:dyDescent="0.5">
      <c r="B564" s="30">
        <v>560</v>
      </c>
      <c r="C564" s="30" t="s">
        <v>1217</v>
      </c>
      <c r="D564" s="31">
        <v>2122301</v>
      </c>
      <c r="E564" s="30" t="s">
        <v>1218</v>
      </c>
      <c r="F564" s="53" t="s">
        <v>95</v>
      </c>
      <c r="G564" s="32">
        <v>44596</v>
      </c>
      <c r="H564" s="33">
        <v>0.58712967333499433</v>
      </c>
      <c r="I564" s="30" t="s">
        <v>535</v>
      </c>
      <c r="J564" s="34">
        <v>331430</v>
      </c>
      <c r="K564" s="35" t="s">
        <v>17</v>
      </c>
      <c r="L564" s="36">
        <v>59657.399999999994</v>
      </c>
      <c r="M564" s="30" t="s">
        <v>37</v>
      </c>
      <c r="N564" s="30" t="s">
        <v>47</v>
      </c>
      <c r="O564" s="30" t="s">
        <v>1542</v>
      </c>
      <c r="P564" s="30" t="s">
        <v>1542</v>
      </c>
      <c r="Q564" s="30" t="str">
        <f>VLOOKUP(WEEKDAY(G564),Key!$B$3:$C$9,2,0)</f>
        <v>Friday</v>
      </c>
      <c r="R564" s="42" t="str">
        <f t="shared" si="24"/>
        <v>Within</v>
      </c>
      <c r="S564" s="41" t="str">
        <f t="shared" si="25"/>
        <v>Pass</v>
      </c>
      <c r="T564" s="30" t="str">
        <f t="shared" si="26"/>
        <v>FY 21-22</v>
      </c>
      <c r="U564" s="30" t="str">
        <f>VLOOKUP(MONTH(G564),Key!$F$3:$G$14,2,0)</f>
        <v>Feb</v>
      </c>
      <c r="V564" s="30" t="str">
        <f>IFERROR(IF(MATCH(F564,'Test 6'!C$5:C$9,0)&gt;0,"RP"),"NON-RP")</f>
        <v>NON-RP</v>
      </c>
    </row>
    <row r="565" spans="2:22" x14ac:dyDescent="0.5">
      <c r="B565" s="30">
        <v>561</v>
      </c>
      <c r="C565" s="30" t="s">
        <v>1219</v>
      </c>
      <c r="D565" s="31">
        <v>2122302</v>
      </c>
      <c r="E565" s="30" t="s">
        <v>1220</v>
      </c>
      <c r="F565" s="53" t="s">
        <v>27</v>
      </c>
      <c r="G565" s="32">
        <v>44599</v>
      </c>
      <c r="H565" s="33">
        <v>0.62607209728287139</v>
      </c>
      <c r="I565" s="30" t="s">
        <v>535</v>
      </c>
      <c r="J565" s="34">
        <v>214780</v>
      </c>
      <c r="K565" s="35" t="s">
        <v>17</v>
      </c>
      <c r="L565" s="36">
        <v>38660.400000000001</v>
      </c>
      <c r="M565" s="30" t="s">
        <v>46</v>
      </c>
      <c r="N565" s="30" t="s">
        <v>68</v>
      </c>
      <c r="O565" s="30" t="s">
        <v>1542</v>
      </c>
      <c r="P565" s="30" t="s">
        <v>1542</v>
      </c>
      <c r="Q565" s="30" t="str">
        <f>VLOOKUP(WEEKDAY(G565),Key!$B$3:$C$9,2,0)</f>
        <v>Monday</v>
      </c>
      <c r="R565" s="42" t="str">
        <f t="shared" si="24"/>
        <v>Within</v>
      </c>
      <c r="S565" s="41" t="str">
        <f t="shared" si="25"/>
        <v>Pass</v>
      </c>
      <c r="T565" s="30" t="str">
        <f t="shared" si="26"/>
        <v>FY 21-22</v>
      </c>
      <c r="U565" s="30" t="str">
        <f>VLOOKUP(MONTH(G565),Key!$F$3:$G$14,2,0)</f>
        <v>Feb</v>
      </c>
      <c r="V565" s="30" t="str">
        <f>IFERROR(IF(MATCH(F565,'Test 6'!C$5:C$9,0)&gt;0,"RP"),"NON-RP")</f>
        <v>NON-RP</v>
      </c>
    </row>
    <row r="566" spans="2:22" x14ac:dyDescent="0.5">
      <c r="B566" s="30">
        <v>562</v>
      </c>
      <c r="C566" s="30" t="s">
        <v>1221</v>
      </c>
      <c r="D566" s="31">
        <v>2122303</v>
      </c>
      <c r="E566" s="30" t="s">
        <v>1222</v>
      </c>
      <c r="F566" s="53" t="s">
        <v>54</v>
      </c>
      <c r="G566" s="32">
        <v>44599</v>
      </c>
      <c r="H566" s="33">
        <v>0.627361958711109</v>
      </c>
      <c r="I566" s="30" t="s">
        <v>535</v>
      </c>
      <c r="J566" s="34">
        <v>391210</v>
      </c>
      <c r="K566" s="35" t="s">
        <v>17</v>
      </c>
      <c r="L566" s="36">
        <v>70417.8</v>
      </c>
      <c r="M566" s="30" t="s">
        <v>18</v>
      </c>
      <c r="N566" s="30" t="s">
        <v>68</v>
      </c>
      <c r="O566" s="30" t="s">
        <v>1542</v>
      </c>
      <c r="P566" s="30" t="s">
        <v>1542</v>
      </c>
      <c r="Q566" s="30" t="str">
        <f>VLOOKUP(WEEKDAY(G566),Key!$B$3:$C$9,2,0)</f>
        <v>Monday</v>
      </c>
      <c r="R566" s="42" t="str">
        <f t="shared" si="24"/>
        <v>Within</v>
      </c>
      <c r="S566" s="41" t="str">
        <f t="shared" si="25"/>
        <v>Pass</v>
      </c>
      <c r="T566" s="30" t="str">
        <f t="shared" si="26"/>
        <v>FY 21-22</v>
      </c>
      <c r="U566" s="30" t="str">
        <f>VLOOKUP(MONTH(G566),Key!$F$3:$G$14,2,0)</f>
        <v>Feb</v>
      </c>
      <c r="V566" s="30" t="str">
        <f>IFERROR(IF(MATCH(F566,'Test 6'!C$5:C$9,0)&gt;0,"RP"),"NON-RP")</f>
        <v>NON-RP</v>
      </c>
    </row>
    <row r="567" spans="2:22" x14ac:dyDescent="0.5">
      <c r="B567" s="30">
        <v>563</v>
      </c>
      <c r="C567" s="30" t="s">
        <v>1223</v>
      </c>
      <c r="D567" s="31">
        <v>2122304</v>
      </c>
      <c r="E567" s="30" t="s">
        <v>1224</v>
      </c>
      <c r="F567" s="53" t="s">
        <v>184</v>
      </c>
      <c r="G567" s="32">
        <v>44600</v>
      </c>
      <c r="H567" s="33">
        <v>0.6154989078828641</v>
      </c>
      <c r="I567" s="30" t="s">
        <v>535</v>
      </c>
      <c r="J567" s="34">
        <v>375580</v>
      </c>
      <c r="K567" s="35" t="s">
        <v>17</v>
      </c>
      <c r="L567" s="36">
        <v>67604.399999999994</v>
      </c>
      <c r="M567" s="30" t="s">
        <v>23</v>
      </c>
      <c r="N567" s="30" t="s">
        <v>19</v>
      </c>
      <c r="O567" s="30" t="s">
        <v>1542</v>
      </c>
      <c r="P567" s="30" t="s">
        <v>1542</v>
      </c>
      <c r="Q567" s="30" t="str">
        <f>VLOOKUP(WEEKDAY(G567),Key!$B$3:$C$9,2,0)</f>
        <v>Tuesday</v>
      </c>
      <c r="R567" s="42" t="str">
        <f t="shared" si="24"/>
        <v>Within</v>
      </c>
      <c r="S567" s="41" t="str">
        <f t="shared" si="25"/>
        <v>Pass</v>
      </c>
      <c r="T567" s="30" t="str">
        <f t="shared" si="26"/>
        <v>FY 21-22</v>
      </c>
      <c r="U567" s="30" t="str">
        <f>VLOOKUP(MONTH(G567),Key!$F$3:$G$14,2,0)</f>
        <v>Feb</v>
      </c>
      <c r="V567" s="30" t="str">
        <f>IFERROR(IF(MATCH(F567,'Test 6'!C$5:C$9,0)&gt;0,"RP"),"NON-RP")</f>
        <v>NON-RP</v>
      </c>
    </row>
    <row r="568" spans="2:22" x14ac:dyDescent="0.5">
      <c r="B568" s="30">
        <v>564</v>
      </c>
      <c r="C568" s="30" t="s">
        <v>1225</v>
      </c>
      <c r="D568" s="31">
        <v>2122305</v>
      </c>
      <c r="E568" s="30" t="s">
        <v>1226</v>
      </c>
      <c r="F568" s="53" t="s">
        <v>308</v>
      </c>
      <c r="G568" s="32">
        <v>44602</v>
      </c>
      <c r="H568" s="33">
        <v>0.4529505430896128</v>
      </c>
      <c r="I568" s="30" t="s">
        <v>535</v>
      </c>
      <c r="J568" s="34">
        <v>42400</v>
      </c>
      <c r="K568" s="35" t="s">
        <v>17</v>
      </c>
      <c r="L568" s="36">
        <v>7632</v>
      </c>
      <c r="M568" s="30" t="s">
        <v>31</v>
      </c>
      <c r="N568" s="30" t="s">
        <v>18</v>
      </c>
      <c r="O568" s="30" t="s">
        <v>1542</v>
      </c>
      <c r="P568" s="30" t="s">
        <v>1542</v>
      </c>
      <c r="Q568" s="30" t="str">
        <f>VLOOKUP(WEEKDAY(G568),Key!$B$3:$C$9,2,0)</f>
        <v>Thursday</v>
      </c>
      <c r="R568" s="42" t="str">
        <f t="shared" si="24"/>
        <v>Within</v>
      </c>
      <c r="S568" s="41" t="str">
        <f t="shared" si="25"/>
        <v>Pass</v>
      </c>
      <c r="T568" s="30" t="str">
        <f t="shared" si="26"/>
        <v>FY 21-22</v>
      </c>
      <c r="U568" s="30" t="str">
        <f>VLOOKUP(MONTH(G568),Key!$F$3:$G$14,2,0)</f>
        <v>Feb</v>
      </c>
      <c r="V568" s="30" t="str">
        <f>IFERROR(IF(MATCH(F568,'Test 6'!C$5:C$9,0)&gt;0,"RP"),"NON-RP")</f>
        <v>RP</v>
      </c>
    </row>
    <row r="569" spans="2:22" x14ac:dyDescent="0.5">
      <c r="B569" s="30">
        <v>565</v>
      </c>
      <c r="C569" s="30" t="s">
        <v>1227</v>
      </c>
      <c r="D569" s="31">
        <v>2122306</v>
      </c>
      <c r="E569" s="30" t="s">
        <v>1228</v>
      </c>
      <c r="F569" s="53" t="s">
        <v>262</v>
      </c>
      <c r="G569" s="32">
        <v>44604</v>
      </c>
      <c r="H569" s="33">
        <v>0.62843185273349733</v>
      </c>
      <c r="I569" s="30" t="s">
        <v>535</v>
      </c>
      <c r="J569" s="34">
        <v>36250</v>
      </c>
      <c r="K569" s="35" t="s">
        <v>17</v>
      </c>
      <c r="L569" s="36">
        <v>6525</v>
      </c>
      <c r="M569" s="30" t="s">
        <v>704</v>
      </c>
      <c r="N569" s="30" t="s">
        <v>28</v>
      </c>
      <c r="O569" s="30" t="s">
        <v>1542</v>
      </c>
      <c r="P569" s="30" t="s">
        <v>1542</v>
      </c>
      <c r="Q569" s="30" t="str">
        <f>VLOOKUP(WEEKDAY(G569),Key!$B$3:$C$9,2,0)</f>
        <v>Saturday</v>
      </c>
      <c r="R569" s="42" t="str">
        <f t="shared" si="24"/>
        <v>Within</v>
      </c>
      <c r="S569" s="41" t="str">
        <f t="shared" si="25"/>
        <v>Pass</v>
      </c>
      <c r="T569" s="30" t="str">
        <f t="shared" si="26"/>
        <v>FY 21-22</v>
      </c>
      <c r="U569" s="30" t="str">
        <f>VLOOKUP(MONTH(G569),Key!$F$3:$G$14,2,0)</f>
        <v>Feb</v>
      </c>
      <c r="V569" s="30" t="str">
        <f>IFERROR(IF(MATCH(F569,'Test 6'!C$5:C$9,0)&gt;0,"RP"),"NON-RP")</f>
        <v>NON-RP</v>
      </c>
    </row>
    <row r="570" spans="2:22" x14ac:dyDescent="0.5">
      <c r="B570" s="30">
        <v>566</v>
      </c>
      <c r="C570" s="30" t="s">
        <v>1229</v>
      </c>
      <c r="D570" s="31">
        <v>2122307</v>
      </c>
      <c r="E570" s="30" t="s">
        <v>1230</v>
      </c>
      <c r="F570" s="53" t="s">
        <v>143</v>
      </c>
      <c r="G570" s="32">
        <v>44604</v>
      </c>
      <c r="H570" s="33">
        <v>0.58943940501908054</v>
      </c>
      <c r="I570" s="30" t="s">
        <v>535</v>
      </c>
      <c r="J570" s="34">
        <v>36140</v>
      </c>
      <c r="K570" s="35" t="s">
        <v>17</v>
      </c>
      <c r="L570" s="36">
        <v>6505.2</v>
      </c>
      <c r="M570" s="30" t="s">
        <v>78</v>
      </c>
      <c r="N570" s="30" t="s">
        <v>61</v>
      </c>
      <c r="O570" s="30" t="s">
        <v>1542</v>
      </c>
      <c r="P570" s="30" t="s">
        <v>1542</v>
      </c>
      <c r="Q570" s="30" t="str">
        <f>VLOOKUP(WEEKDAY(G570),Key!$B$3:$C$9,2,0)</f>
        <v>Saturday</v>
      </c>
      <c r="R570" s="42" t="str">
        <f t="shared" si="24"/>
        <v>Within</v>
      </c>
      <c r="S570" s="41" t="str">
        <f t="shared" si="25"/>
        <v>Pass</v>
      </c>
      <c r="T570" s="30" t="str">
        <f t="shared" si="26"/>
        <v>FY 21-22</v>
      </c>
      <c r="U570" s="30" t="str">
        <f>VLOOKUP(MONTH(G570),Key!$F$3:$G$14,2,0)</f>
        <v>Feb</v>
      </c>
      <c r="V570" s="30" t="str">
        <f>IFERROR(IF(MATCH(F570,'Test 6'!C$5:C$9,0)&gt;0,"RP"),"NON-RP")</f>
        <v>NON-RP</v>
      </c>
    </row>
    <row r="571" spans="2:22" x14ac:dyDescent="0.5">
      <c r="B571" s="30">
        <v>567</v>
      </c>
      <c r="C571" s="30" t="s">
        <v>1231</v>
      </c>
      <c r="D571" s="31">
        <v>2122308</v>
      </c>
      <c r="E571" s="30" t="s">
        <v>1232</v>
      </c>
      <c r="F571" s="53" t="s">
        <v>577</v>
      </c>
      <c r="G571" s="32">
        <v>44606</v>
      </c>
      <c r="H571" s="33">
        <v>0.72684281516332139</v>
      </c>
      <c r="I571" s="30" t="s">
        <v>535</v>
      </c>
      <c r="J571" s="34">
        <v>49630</v>
      </c>
      <c r="K571" s="35" t="s">
        <v>17</v>
      </c>
      <c r="L571" s="36">
        <v>8933.4</v>
      </c>
      <c r="M571" s="30" t="s">
        <v>168</v>
      </c>
      <c r="N571" s="30" t="s">
        <v>61</v>
      </c>
      <c r="O571" s="30" t="s">
        <v>1542</v>
      </c>
      <c r="P571" s="30" t="s">
        <v>1542</v>
      </c>
      <c r="Q571" s="30" t="str">
        <f>VLOOKUP(WEEKDAY(G571),Key!$B$3:$C$9,2,0)</f>
        <v>Monday</v>
      </c>
      <c r="R571" s="42" t="str">
        <f t="shared" si="24"/>
        <v>Within</v>
      </c>
      <c r="S571" s="41" t="str">
        <f t="shared" si="25"/>
        <v>Pass</v>
      </c>
      <c r="T571" s="30" t="str">
        <f t="shared" si="26"/>
        <v>FY 21-22</v>
      </c>
      <c r="U571" s="30" t="str">
        <f>VLOOKUP(MONTH(G571),Key!$F$3:$G$14,2,0)</f>
        <v>Feb</v>
      </c>
      <c r="V571" s="30" t="str">
        <f>IFERROR(IF(MATCH(F571,'Test 6'!C$5:C$9,0)&gt;0,"RP"),"NON-RP")</f>
        <v>RP</v>
      </c>
    </row>
    <row r="572" spans="2:22" x14ac:dyDescent="0.5">
      <c r="B572" s="30">
        <v>568</v>
      </c>
      <c r="C572" s="30" t="s">
        <v>1233</v>
      </c>
      <c r="D572" s="31">
        <v>2122309</v>
      </c>
      <c r="E572" s="30" t="s">
        <v>1234</v>
      </c>
      <c r="F572" s="53" t="s">
        <v>122</v>
      </c>
      <c r="G572" s="32">
        <v>44607</v>
      </c>
      <c r="H572" s="33">
        <v>0.73515066413788266</v>
      </c>
      <c r="I572" s="30" t="s">
        <v>502</v>
      </c>
      <c r="J572" s="34">
        <v>37690</v>
      </c>
      <c r="K572" s="35" t="s">
        <v>17</v>
      </c>
      <c r="L572" s="36">
        <v>6784.2</v>
      </c>
      <c r="M572" s="30" t="s">
        <v>31</v>
      </c>
      <c r="N572" s="30" t="s">
        <v>32</v>
      </c>
      <c r="O572" s="30" t="s">
        <v>1542</v>
      </c>
      <c r="P572" s="30" t="s">
        <v>1542</v>
      </c>
      <c r="Q572" s="30" t="str">
        <f>VLOOKUP(WEEKDAY(G572),Key!$B$3:$C$9,2,0)</f>
        <v>Tuesday</v>
      </c>
      <c r="R572" s="42" t="str">
        <f t="shared" si="24"/>
        <v>Within</v>
      </c>
      <c r="S572" s="41" t="str">
        <f t="shared" si="25"/>
        <v>Pass</v>
      </c>
      <c r="T572" s="30" t="str">
        <f t="shared" si="26"/>
        <v>FY 21-22</v>
      </c>
      <c r="U572" s="30" t="str">
        <f>VLOOKUP(MONTH(G572),Key!$F$3:$G$14,2,0)</f>
        <v>Feb</v>
      </c>
      <c r="V572" s="30" t="str">
        <f>IFERROR(IF(MATCH(F572,'Test 6'!C$5:C$9,0)&gt;0,"RP"),"NON-RP")</f>
        <v>NON-RP</v>
      </c>
    </row>
    <row r="573" spans="2:22" x14ac:dyDescent="0.5">
      <c r="B573" s="30">
        <v>569</v>
      </c>
      <c r="C573" s="30" t="s">
        <v>1235</v>
      </c>
      <c r="D573" s="31">
        <v>2122310</v>
      </c>
      <c r="E573" s="30" t="s">
        <v>1236</v>
      </c>
      <c r="F573" s="53" t="s">
        <v>332</v>
      </c>
      <c r="G573" s="32">
        <v>44607</v>
      </c>
      <c r="H573" s="33">
        <v>0.51823131798215993</v>
      </c>
      <c r="I573" s="30" t="s">
        <v>535</v>
      </c>
      <c r="J573" s="34">
        <v>28720</v>
      </c>
      <c r="K573" s="35" t="s">
        <v>17</v>
      </c>
      <c r="L573" s="36">
        <v>5169.5999999999995</v>
      </c>
      <c r="M573" s="30" t="s">
        <v>737</v>
      </c>
      <c r="N573" s="30" t="s">
        <v>28</v>
      </c>
      <c r="O573" s="30" t="s">
        <v>1542</v>
      </c>
      <c r="P573" s="30" t="s">
        <v>1542</v>
      </c>
      <c r="Q573" s="30" t="str">
        <f>VLOOKUP(WEEKDAY(G573),Key!$B$3:$C$9,2,0)</f>
        <v>Tuesday</v>
      </c>
      <c r="R573" s="42" t="str">
        <f t="shared" si="24"/>
        <v>Within</v>
      </c>
      <c r="S573" s="41" t="str">
        <f t="shared" si="25"/>
        <v>Pass</v>
      </c>
      <c r="T573" s="30" t="str">
        <f t="shared" si="26"/>
        <v>FY 21-22</v>
      </c>
      <c r="U573" s="30" t="str">
        <f>VLOOKUP(MONTH(G573),Key!$F$3:$G$14,2,0)</f>
        <v>Feb</v>
      </c>
      <c r="V573" s="30" t="str">
        <f>IFERROR(IF(MATCH(F573,'Test 6'!C$5:C$9,0)&gt;0,"RP"),"NON-RP")</f>
        <v>NON-RP</v>
      </c>
    </row>
    <row r="574" spans="2:22" x14ac:dyDescent="0.5">
      <c r="B574" s="30">
        <v>570</v>
      </c>
      <c r="C574" s="30" t="s">
        <v>1237</v>
      </c>
      <c r="D574" s="31">
        <v>2122311</v>
      </c>
      <c r="E574" s="30" t="s">
        <v>1238</v>
      </c>
      <c r="F574" s="53" t="s">
        <v>131</v>
      </c>
      <c r="G574" s="32">
        <v>44608</v>
      </c>
      <c r="H574" s="33">
        <v>0.5711793805172426</v>
      </c>
      <c r="I574" s="30" t="s">
        <v>535</v>
      </c>
      <c r="J574" s="34">
        <v>28380</v>
      </c>
      <c r="K574" s="35" t="s">
        <v>17</v>
      </c>
      <c r="L574" s="36">
        <v>5108.3999999999996</v>
      </c>
      <c r="M574" s="30" t="s">
        <v>200</v>
      </c>
      <c r="N574" s="30" t="s">
        <v>28</v>
      </c>
      <c r="O574" s="30" t="s">
        <v>1542</v>
      </c>
      <c r="P574" s="30" t="s">
        <v>1542</v>
      </c>
      <c r="Q574" s="30" t="str">
        <f>VLOOKUP(WEEKDAY(G574),Key!$B$3:$C$9,2,0)</f>
        <v>Wednesday</v>
      </c>
      <c r="R574" s="42" t="str">
        <f t="shared" si="24"/>
        <v>Within</v>
      </c>
      <c r="S574" s="41" t="str">
        <f t="shared" si="25"/>
        <v>Pass</v>
      </c>
      <c r="T574" s="30" t="str">
        <f t="shared" si="26"/>
        <v>FY 21-22</v>
      </c>
      <c r="U574" s="30" t="str">
        <f>VLOOKUP(MONTH(G574),Key!$F$3:$G$14,2,0)</f>
        <v>Feb</v>
      </c>
      <c r="V574" s="30" t="str">
        <f>IFERROR(IF(MATCH(F574,'Test 6'!C$5:C$9,0)&gt;0,"RP"),"NON-RP")</f>
        <v>NON-RP</v>
      </c>
    </row>
    <row r="575" spans="2:22" x14ac:dyDescent="0.5">
      <c r="B575" s="30">
        <v>571</v>
      </c>
      <c r="C575" s="30" t="s">
        <v>1239</v>
      </c>
      <c r="D575" s="31">
        <v>2122312</v>
      </c>
      <c r="E575" s="30" t="s">
        <v>1240</v>
      </c>
      <c r="F575" s="53" t="s">
        <v>608</v>
      </c>
      <c r="G575" s="32">
        <v>44610</v>
      </c>
      <c r="H575" s="33">
        <v>0.48658567348083093</v>
      </c>
      <c r="I575" s="30" t="s">
        <v>535</v>
      </c>
      <c r="J575" s="34">
        <v>25650</v>
      </c>
      <c r="K575" s="35" t="s">
        <v>17</v>
      </c>
      <c r="L575" s="36">
        <v>4617</v>
      </c>
      <c r="M575" s="30" t="s">
        <v>31</v>
      </c>
      <c r="N575" s="30" t="s">
        <v>46</v>
      </c>
      <c r="O575" s="30" t="s">
        <v>1542</v>
      </c>
      <c r="P575" s="30" t="s">
        <v>1542</v>
      </c>
      <c r="Q575" s="30" t="str">
        <f>VLOOKUP(WEEKDAY(G575),Key!$B$3:$C$9,2,0)</f>
        <v>Friday</v>
      </c>
      <c r="R575" s="42" t="str">
        <f t="shared" si="24"/>
        <v>Within</v>
      </c>
      <c r="S575" s="41" t="str">
        <f t="shared" si="25"/>
        <v>Pass</v>
      </c>
      <c r="T575" s="30" t="str">
        <f t="shared" si="26"/>
        <v>FY 21-22</v>
      </c>
      <c r="U575" s="30" t="str">
        <f>VLOOKUP(MONTH(G575),Key!$F$3:$G$14,2,0)</f>
        <v>Feb</v>
      </c>
      <c r="V575" s="30" t="str">
        <f>IFERROR(IF(MATCH(F575,'Test 6'!C$5:C$9,0)&gt;0,"RP"),"NON-RP")</f>
        <v>NON-RP</v>
      </c>
    </row>
    <row r="576" spans="2:22" x14ac:dyDescent="0.5">
      <c r="B576" s="30">
        <v>572</v>
      </c>
      <c r="C576" s="30" t="s">
        <v>1241</v>
      </c>
      <c r="D576" s="31">
        <v>2122313</v>
      </c>
      <c r="E576" s="30" t="s">
        <v>1242</v>
      </c>
      <c r="F576" s="53" t="s">
        <v>290</v>
      </c>
      <c r="G576" s="32">
        <v>44610</v>
      </c>
      <c r="H576" s="33">
        <v>0.59470368813959984</v>
      </c>
      <c r="I576" s="30" t="s">
        <v>535</v>
      </c>
      <c r="J576" s="34">
        <v>40930</v>
      </c>
      <c r="K576" s="35" t="s">
        <v>17</v>
      </c>
      <c r="L576" s="36">
        <v>7367.4</v>
      </c>
      <c r="M576" s="30" t="s">
        <v>134</v>
      </c>
      <c r="N576" s="30" t="s">
        <v>37</v>
      </c>
      <c r="O576" s="30" t="s">
        <v>1542</v>
      </c>
      <c r="P576" s="30" t="s">
        <v>1542</v>
      </c>
      <c r="Q576" s="30" t="str">
        <f>VLOOKUP(WEEKDAY(G576),Key!$B$3:$C$9,2,0)</f>
        <v>Friday</v>
      </c>
      <c r="R576" s="42" t="str">
        <f t="shared" si="24"/>
        <v>Within</v>
      </c>
      <c r="S576" s="41" t="str">
        <f t="shared" si="25"/>
        <v>Pass</v>
      </c>
      <c r="T576" s="30" t="str">
        <f t="shared" si="26"/>
        <v>FY 21-22</v>
      </c>
      <c r="U576" s="30" t="str">
        <f>VLOOKUP(MONTH(G576),Key!$F$3:$G$14,2,0)</f>
        <v>Feb</v>
      </c>
      <c r="V576" s="30" t="str">
        <f>IFERROR(IF(MATCH(F576,'Test 6'!C$5:C$9,0)&gt;0,"RP"),"NON-RP")</f>
        <v>NON-RP</v>
      </c>
    </row>
    <row r="577" spans="2:22" x14ac:dyDescent="0.5">
      <c r="B577" s="30">
        <v>573</v>
      </c>
      <c r="C577" s="30" t="s">
        <v>1243</v>
      </c>
      <c r="D577" s="31">
        <v>2122314</v>
      </c>
      <c r="E577" s="30" t="s">
        <v>1244</v>
      </c>
      <c r="F577" s="53" t="s">
        <v>238</v>
      </c>
      <c r="G577" s="32">
        <v>44611</v>
      </c>
      <c r="H577" s="33">
        <v>0.44245526930848494</v>
      </c>
      <c r="I577" s="30" t="s">
        <v>502</v>
      </c>
      <c r="J577" s="34">
        <v>29840</v>
      </c>
      <c r="K577" s="35" t="s">
        <v>17</v>
      </c>
      <c r="L577" s="36">
        <v>5371.2</v>
      </c>
      <c r="M577" s="30" t="s">
        <v>78</v>
      </c>
      <c r="N577" s="30" t="s">
        <v>37</v>
      </c>
      <c r="O577" s="30" t="s">
        <v>1542</v>
      </c>
      <c r="P577" s="30" t="s">
        <v>1542</v>
      </c>
      <c r="Q577" s="30" t="str">
        <f>VLOOKUP(WEEKDAY(G577),Key!$B$3:$C$9,2,0)</f>
        <v>Saturday</v>
      </c>
      <c r="R577" s="42" t="str">
        <f t="shared" si="24"/>
        <v>Within</v>
      </c>
      <c r="S577" s="41" t="str">
        <f t="shared" si="25"/>
        <v>Pass</v>
      </c>
      <c r="T577" s="30" t="str">
        <f t="shared" si="26"/>
        <v>FY 21-22</v>
      </c>
      <c r="U577" s="30" t="str">
        <f>VLOOKUP(MONTH(G577),Key!$F$3:$G$14,2,0)</f>
        <v>Feb</v>
      </c>
      <c r="V577" s="30" t="str">
        <f>IFERROR(IF(MATCH(F577,'Test 6'!C$5:C$9,0)&gt;0,"RP"),"NON-RP")</f>
        <v>NON-RP</v>
      </c>
    </row>
    <row r="578" spans="2:22" x14ac:dyDescent="0.5">
      <c r="B578" s="30">
        <v>574</v>
      </c>
      <c r="C578" s="30" t="s">
        <v>1245</v>
      </c>
      <c r="D578" s="31">
        <v>2122315</v>
      </c>
      <c r="E578" s="30" t="s">
        <v>1246</v>
      </c>
      <c r="F578" s="53" t="s">
        <v>293</v>
      </c>
      <c r="G578" s="32">
        <v>44613</v>
      </c>
      <c r="H578" s="33">
        <v>0.59943210747032893</v>
      </c>
      <c r="I578" s="30" t="s">
        <v>535</v>
      </c>
      <c r="J578" s="34">
        <v>328880</v>
      </c>
      <c r="K578" s="35" t="s">
        <v>17</v>
      </c>
      <c r="L578" s="36">
        <v>59198.399999999994</v>
      </c>
      <c r="M578" s="30" t="s">
        <v>32</v>
      </c>
      <c r="N578" s="30" t="s">
        <v>51</v>
      </c>
      <c r="O578" s="30" t="s">
        <v>1542</v>
      </c>
      <c r="P578" s="30" t="s">
        <v>1542</v>
      </c>
      <c r="Q578" s="30" t="str">
        <f>VLOOKUP(WEEKDAY(G578),Key!$B$3:$C$9,2,0)</f>
        <v>Monday</v>
      </c>
      <c r="R578" s="42" t="str">
        <f t="shared" si="24"/>
        <v>Within</v>
      </c>
      <c r="S578" s="41" t="str">
        <f t="shared" si="25"/>
        <v>Pass</v>
      </c>
      <c r="T578" s="30" t="str">
        <f t="shared" si="26"/>
        <v>FY 21-22</v>
      </c>
      <c r="U578" s="30" t="str">
        <f>VLOOKUP(MONTH(G578),Key!$F$3:$G$14,2,0)</f>
        <v>Feb</v>
      </c>
      <c r="V578" s="30" t="str">
        <f>IFERROR(IF(MATCH(F578,'Test 6'!C$5:C$9,0)&gt;0,"RP"),"NON-RP")</f>
        <v>NON-RP</v>
      </c>
    </row>
    <row r="579" spans="2:22" x14ac:dyDescent="0.5">
      <c r="B579" s="30">
        <v>575</v>
      </c>
      <c r="C579" s="30" t="s">
        <v>1247</v>
      </c>
      <c r="D579" s="31">
        <v>2122316</v>
      </c>
      <c r="E579" s="30" t="s">
        <v>1248</v>
      </c>
      <c r="F579" s="53" t="s">
        <v>92</v>
      </c>
      <c r="G579" s="32">
        <v>44613</v>
      </c>
      <c r="H579" s="33">
        <v>0.41706375658300154</v>
      </c>
      <c r="I579" s="30" t="s">
        <v>535</v>
      </c>
      <c r="J579" s="34">
        <v>4474800</v>
      </c>
      <c r="K579" s="35" t="s">
        <v>17</v>
      </c>
      <c r="L579" s="36">
        <v>805464</v>
      </c>
      <c r="M579" s="30" t="s">
        <v>1078</v>
      </c>
      <c r="N579" s="30" t="s">
        <v>41</v>
      </c>
      <c r="O579" s="30" t="s">
        <v>1542</v>
      </c>
      <c r="P579" s="30" t="s">
        <v>1542</v>
      </c>
      <c r="Q579" s="30" t="str">
        <f>VLOOKUP(WEEKDAY(G579),Key!$B$3:$C$9,2,0)</f>
        <v>Monday</v>
      </c>
      <c r="R579" s="42" t="str">
        <f t="shared" si="24"/>
        <v>Within</v>
      </c>
      <c r="S579" s="41" t="str">
        <f t="shared" si="25"/>
        <v>Pass</v>
      </c>
      <c r="T579" s="30" t="str">
        <f t="shared" si="26"/>
        <v>FY 21-22</v>
      </c>
      <c r="U579" s="30" t="str">
        <f>VLOOKUP(MONTH(G579),Key!$F$3:$G$14,2,0)</f>
        <v>Feb</v>
      </c>
      <c r="V579" s="30" t="str">
        <f>IFERROR(IF(MATCH(F579,'Test 6'!C$5:C$9,0)&gt;0,"RP"),"NON-RP")</f>
        <v>NON-RP</v>
      </c>
    </row>
    <row r="580" spans="2:22" x14ac:dyDescent="0.5">
      <c r="B580" s="30">
        <v>576</v>
      </c>
      <c r="C580" s="30" t="s">
        <v>1249</v>
      </c>
      <c r="D580" s="31">
        <v>2122317</v>
      </c>
      <c r="E580" s="30" t="s">
        <v>1250</v>
      </c>
      <c r="F580" s="53" t="s">
        <v>119</v>
      </c>
      <c r="G580" s="32">
        <v>44616</v>
      </c>
      <c r="H580" s="33">
        <v>0.74976455426263466</v>
      </c>
      <c r="I580" s="30" t="s">
        <v>535</v>
      </c>
      <c r="J580" s="34">
        <v>226040</v>
      </c>
      <c r="K580" s="35" t="s">
        <v>17</v>
      </c>
      <c r="L580" s="36">
        <v>40687.199999999997</v>
      </c>
      <c r="M580" s="30" t="s">
        <v>32</v>
      </c>
      <c r="N580" s="30" t="s">
        <v>68</v>
      </c>
      <c r="O580" s="30" t="s">
        <v>1542</v>
      </c>
      <c r="P580" s="30" t="s">
        <v>1542</v>
      </c>
      <c r="Q580" s="30" t="str">
        <f>VLOOKUP(WEEKDAY(G580),Key!$B$3:$C$9,2,0)</f>
        <v>Thursday</v>
      </c>
      <c r="R580" s="42" t="str">
        <f t="shared" si="24"/>
        <v>Within</v>
      </c>
      <c r="S580" s="41" t="str">
        <f t="shared" si="25"/>
        <v>Pass</v>
      </c>
      <c r="T580" s="30" t="str">
        <f t="shared" si="26"/>
        <v>FY 21-22</v>
      </c>
      <c r="U580" s="30" t="str">
        <f>VLOOKUP(MONTH(G580),Key!$F$3:$G$14,2,0)</f>
        <v>Feb</v>
      </c>
      <c r="V580" s="30" t="str">
        <f>IFERROR(IF(MATCH(F580,'Test 6'!C$5:C$9,0)&gt;0,"RP"),"NON-RP")</f>
        <v>NON-RP</v>
      </c>
    </row>
    <row r="581" spans="2:22" x14ac:dyDescent="0.5">
      <c r="B581" s="30">
        <v>577</v>
      </c>
      <c r="C581" s="30" t="s">
        <v>1251</v>
      </c>
      <c r="D581" s="31">
        <v>2122318</v>
      </c>
      <c r="E581" s="30" t="s">
        <v>1252</v>
      </c>
      <c r="F581" s="53" t="s">
        <v>195</v>
      </c>
      <c r="G581" s="32">
        <v>44616</v>
      </c>
      <c r="H581" s="33">
        <v>0.49452222214671043</v>
      </c>
      <c r="I581" s="30" t="s">
        <v>535</v>
      </c>
      <c r="J581" s="34">
        <v>287210</v>
      </c>
      <c r="K581" s="35" t="s">
        <v>17</v>
      </c>
      <c r="L581" s="36">
        <v>51697.799999999996</v>
      </c>
      <c r="M581" s="30" t="s">
        <v>61</v>
      </c>
      <c r="N581" s="30" t="s">
        <v>51</v>
      </c>
      <c r="O581" s="30" t="s">
        <v>1542</v>
      </c>
      <c r="P581" s="30" t="s">
        <v>1542</v>
      </c>
      <c r="Q581" s="30" t="str">
        <f>VLOOKUP(WEEKDAY(G581),Key!$B$3:$C$9,2,0)</f>
        <v>Thursday</v>
      </c>
      <c r="R581" s="42" t="str">
        <f t="shared" ref="R581:R604" si="27">IF(AND(H581&lt;TIME(18,0,0),H581&gt;TIME(10,0,0)),"Within","Outside")</f>
        <v>Within</v>
      </c>
      <c r="S581" s="41" t="str">
        <f t="shared" si="25"/>
        <v>Pass</v>
      </c>
      <c r="T581" s="30" t="str">
        <f t="shared" si="26"/>
        <v>FY 21-22</v>
      </c>
      <c r="U581" s="30" t="str">
        <f>VLOOKUP(MONTH(G581),Key!$F$3:$G$14,2,0)</f>
        <v>Feb</v>
      </c>
      <c r="V581" s="30" t="str">
        <f>IFERROR(IF(MATCH(F581,'Test 6'!C$5:C$9,0)&gt;0,"RP"),"NON-RP")</f>
        <v>NON-RP</v>
      </c>
    </row>
    <row r="582" spans="2:22" x14ac:dyDescent="0.5">
      <c r="B582" s="30">
        <v>578</v>
      </c>
      <c r="C582" s="30" t="s">
        <v>1253</v>
      </c>
      <c r="D582" s="31">
        <v>2122319</v>
      </c>
      <c r="E582" s="30" t="s">
        <v>1254</v>
      </c>
      <c r="F582" s="53" t="s">
        <v>103</v>
      </c>
      <c r="G582" s="32">
        <v>44618</v>
      </c>
      <c r="H582" s="33">
        <v>0.67965913437570735</v>
      </c>
      <c r="I582" s="30" t="s">
        <v>535</v>
      </c>
      <c r="J582" s="34">
        <v>44400</v>
      </c>
      <c r="K582" s="35" t="s">
        <v>17</v>
      </c>
      <c r="L582" s="36">
        <v>7992</v>
      </c>
      <c r="M582" s="30" t="s">
        <v>168</v>
      </c>
      <c r="N582" s="30" t="s">
        <v>32</v>
      </c>
      <c r="O582" s="30" t="s">
        <v>1542</v>
      </c>
      <c r="P582" s="30" t="s">
        <v>1542</v>
      </c>
      <c r="Q582" s="30" t="str">
        <f>VLOOKUP(WEEKDAY(G582),Key!$B$3:$C$9,2,0)</f>
        <v>Saturday</v>
      </c>
      <c r="R582" s="42" t="str">
        <f t="shared" si="27"/>
        <v>Within</v>
      </c>
      <c r="S582" s="41" t="str">
        <f t="shared" ref="S582:S604" si="28">IF(OR(Q582="Sunday",R582="outside"),"Red Flag","Pass")</f>
        <v>Pass</v>
      </c>
      <c r="T582" s="30" t="str">
        <f t="shared" ref="T582:T604" si="29">IF(AND(DATE(2021,4,1)&lt;=G582,G582&lt;=DATE(2022,3,31)),"FY 21-22","FY 20-21")</f>
        <v>FY 21-22</v>
      </c>
      <c r="U582" s="30" t="str">
        <f>VLOOKUP(MONTH(G582),Key!$F$3:$G$14,2,0)</f>
        <v>Feb</v>
      </c>
      <c r="V582" s="30" t="str">
        <f>IFERROR(IF(MATCH(F582,'Test 6'!C$5:C$9,0)&gt;0,"RP"),"NON-RP")</f>
        <v>NON-RP</v>
      </c>
    </row>
    <row r="583" spans="2:22" x14ac:dyDescent="0.5">
      <c r="B583" s="30">
        <v>579</v>
      </c>
      <c r="C583" s="30" t="s">
        <v>1255</v>
      </c>
      <c r="D583" s="31">
        <v>2122320</v>
      </c>
      <c r="E583" s="30" t="s">
        <v>1256</v>
      </c>
      <c r="F583" s="53" t="s">
        <v>378</v>
      </c>
      <c r="G583" s="32">
        <v>44620</v>
      </c>
      <c r="H583" s="33">
        <v>0.50438303529454331</v>
      </c>
      <c r="I583" s="30" t="s">
        <v>502</v>
      </c>
      <c r="J583" s="34">
        <v>364910</v>
      </c>
      <c r="K583" s="35" t="s">
        <v>17</v>
      </c>
      <c r="L583" s="36">
        <v>65683.8</v>
      </c>
      <c r="M583" s="30" t="s">
        <v>61</v>
      </c>
      <c r="N583" s="30" t="s">
        <v>24</v>
      </c>
      <c r="O583" s="30" t="s">
        <v>1542</v>
      </c>
      <c r="P583" s="30" t="s">
        <v>1542</v>
      </c>
      <c r="Q583" s="30" t="str">
        <f>VLOOKUP(WEEKDAY(G583),Key!$B$3:$C$9,2,0)</f>
        <v>Monday</v>
      </c>
      <c r="R583" s="42" t="str">
        <f t="shared" si="27"/>
        <v>Within</v>
      </c>
      <c r="S583" s="41" t="str">
        <f t="shared" si="28"/>
        <v>Pass</v>
      </c>
      <c r="T583" s="30" t="str">
        <f t="shared" si="29"/>
        <v>FY 21-22</v>
      </c>
      <c r="U583" s="30" t="str">
        <f>VLOOKUP(MONTH(G583),Key!$F$3:$G$14,2,0)</f>
        <v>Feb</v>
      </c>
      <c r="V583" s="30" t="str">
        <f>IFERROR(IF(MATCH(F583,'Test 6'!C$5:C$9,0)&gt;0,"RP"),"NON-RP")</f>
        <v>RP</v>
      </c>
    </row>
    <row r="584" spans="2:22" x14ac:dyDescent="0.5">
      <c r="B584" s="30">
        <v>580</v>
      </c>
      <c r="C584" s="30" t="s">
        <v>1257</v>
      </c>
      <c r="D584" s="31">
        <v>2122321</v>
      </c>
      <c r="E584" s="30" t="s">
        <v>1258</v>
      </c>
      <c r="F584" s="53" t="s">
        <v>35</v>
      </c>
      <c r="G584" s="32">
        <v>44620</v>
      </c>
      <c r="H584" s="33">
        <v>0.73683019109141878</v>
      </c>
      <c r="I584" s="30" t="s">
        <v>535</v>
      </c>
      <c r="J584" s="34">
        <v>372850</v>
      </c>
      <c r="K584" s="35" t="s">
        <v>17</v>
      </c>
      <c r="L584" s="36">
        <v>67113</v>
      </c>
      <c r="M584" s="30" t="s">
        <v>32</v>
      </c>
      <c r="N584" s="30" t="s">
        <v>19</v>
      </c>
      <c r="O584" s="30" t="s">
        <v>1542</v>
      </c>
      <c r="P584" s="30" t="s">
        <v>1542</v>
      </c>
      <c r="Q584" s="30" t="str">
        <f>VLOOKUP(WEEKDAY(G584),Key!$B$3:$C$9,2,0)</f>
        <v>Monday</v>
      </c>
      <c r="R584" s="42" t="str">
        <f t="shared" si="27"/>
        <v>Within</v>
      </c>
      <c r="S584" s="41" t="str">
        <f t="shared" si="28"/>
        <v>Pass</v>
      </c>
      <c r="T584" s="30" t="str">
        <f t="shared" si="29"/>
        <v>FY 21-22</v>
      </c>
      <c r="U584" s="30" t="str">
        <f>VLOOKUP(MONTH(G584),Key!$F$3:$G$14,2,0)</f>
        <v>Feb</v>
      </c>
      <c r="V584" s="30" t="str">
        <f>IFERROR(IF(MATCH(F584,'Test 6'!C$5:C$9,0)&gt;0,"RP"),"NON-RP")</f>
        <v>NON-RP</v>
      </c>
    </row>
    <row r="585" spans="2:22" x14ac:dyDescent="0.5">
      <c r="B585" s="30">
        <v>581</v>
      </c>
      <c r="C585" s="30" t="s">
        <v>1259</v>
      </c>
      <c r="D585" s="31">
        <v>2122322</v>
      </c>
      <c r="E585" s="30" t="s">
        <v>1260</v>
      </c>
      <c r="F585" s="53" t="s">
        <v>92</v>
      </c>
      <c r="G585" s="32">
        <v>44620</v>
      </c>
      <c r="H585" s="33">
        <v>0.5251770942009768</v>
      </c>
      <c r="I585" s="30" t="s">
        <v>535</v>
      </c>
      <c r="J585" s="34">
        <v>2734330</v>
      </c>
      <c r="K585" s="35" t="s">
        <v>17</v>
      </c>
      <c r="L585" s="36">
        <v>492179.39999999997</v>
      </c>
      <c r="M585" s="30" t="s">
        <v>701</v>
      </c>
      <c r="N585" s="30" t="s">
        <v>41</v>
      </c>
      <c r="O585" s="30" t="s">
        <v>1542</v>
      </c>
      <c r="P585" s="30" t="s">
        <v>1542</v>
      </c>
      <c r="Q585" s="30" t="str">
        <f>VLOOKUP(WEEKDAY(G585),Key!$B$3:$C$9,2,0)</f>
        <v>Monday</v>
      </c>
      <c r="R585" s="42" t="str">
        <f t="shared" si="27"/>
        <v>Within</v>
      </c>
      <c r="S585" s="41" t="str">
        <f t="shared" si="28"/>
        <v>Pass</v>
      </c>
      <c r="T585" s="30" t="str">
        <f t="shared" si="29"/>
        <v>FY 21-22</v>
      </c>
      <c r="U585" s="30" t="str">
        <f>VLOOKUP(MONTH(G585),Key!$F$3:$G$14,2,0)</f>
        <v>Feb</v>
      </c>
      <c r="V585" s="30" t="str">
        <f>IFERROR(IF(MATCH(F585,'Test 6'!C$5:C$9,0)&gt;0,"RP"),"NON-RP")</f>
        <v>NON-RP</v>
      </c>
    </row>
    <row r="586" spans="2:22" x14ac:dyDescent="0.5">
      <c r="B586" s="30">
        <v>582</v>
      </c>
      <c r="C586" s="30" t="s">
        <v>1261</v>
      </c>
      <c r="D586" s="31">
        <v>2122323</v>
      </c>
      <c r="E586" s="30" t="s">
        <v>1262</v>
      </c>
      <c r="F586" s="53" t="s">
        <v>92</v>
      </c>
      <c r="G586" s="32">
        <v>44620</v>
      </c>
      <c r="H586" s="33">
        <v>0.53340786475213986</v>
      </c>
      <c r="I586" s="30" t="s">
        <v>535</v>
      </c>
      <c r="J586" s="34">
        <v>252560</v>
      </c>
      <c r="K586" s="35" t="s">
        <v>17</v>
      </c>
      <c r="L586" s="36">
        <v>45460.799999999996</v>
      </c>
      <c r="M586" s="30" t="s">
        <v>23</v>
      </c>
      <c r="N586" s="30" t="s">
        <v>51</v>
      </c>
      <c r="O586" s="30" t="s">
        <v>1542</v>
      </c>
      <c r="P586" s="30" t="s">
        <v>1542</v>
      </c>
      <c r="Q586" s="30" t="str">
        <f>VLOOKUP(WEEKDAY(G586),Key!$B$3:$C$9,2,0)</f>
        <v>Monday</v>
      </c>
      <c r="R586" s="42" t="str">
        <f t="shared" si="27"/>
        <v>Within</v>
      </c>
      <c r="S586" s="41" t="str">
        <f t="shared" si="28"/>
        <v>Pass</v>
      </c>
      <c r="T586" s="30" t="str">
        <f t="shared" si="29"/>
        <v>FY 21-22</v>
      </c>
      <c r="U586" s="30" t="str">
        <f>VLOOKUP(MONTH(G586),Key!$F$3:$G$14,2,0)</f>
        <v>Feb</v>
      </c>
      <c r="V586" s="30" t="str">
        <f>IFERROR(IF(MATCH(F586,'Test 6'!C$5:C$9,0)&gt;0,"RP"),"NON-RP")</f>
        <v>NON-RP</v>
      </c>
    </row>
    <row r="587" spans="2:22" x14ac:dyDescent="0.5">
      <c r="B587" s="30">
        <v>583</v>
      </c>
      <c r="C587" s="30" t="s">
        <v>1263</v>
      </c>
      <c r="D587" s="31">
        <v>2122324</v>
      </c>
      <c r="E587" s="30" t="s">
        <v>1264</v>
      </c>
      <c r="F587" s="53" t="s">
        <v>119</v>
      </c>
      <c r="G587" s="32">
        <v>44620</v>
      </c>
      <c r="H587" s="33">
        <v>0.51865946911116834</v>
      </c>
      <c r="I587" s="30" t="s">
        <v>535</v>
      </c>
      <c r="J587" s="34">
        <v>464250</v>
      </c>
      <c r="K587" s="35" t="s">
        <v>17</v>
      </c>
      <c r="L587" s="36">
        <v>83565</v>
      </c>
      <c r="M587" s="30" t="s">
        <v>28</v>
      </c>
      <c r="N587" s="30" t="s">
        <v>24</v>
      </c>
      <c r="O587" s="30" t="s">
        <v>1542</v>
      </c>
      <c r="P587" s="30" t="s">
        <v>1542</v>
      </c>
      <c r="Q587" s="30" t="str">
        <f>VLOOKUP(WEEKDAY(G587),Key!$B$3:$C$9,2,0)</f>
        <v>Monday</v>
      </c>
      <c r="R587" s="42" t="str">
        <f t="shared" si="27"/>
        <v>Within</v>
      </c>
      <c r="S587" s="41" t="str">
        <f t="shared" si="28"/>
        <v>Pass</v>
      </c>
      <c r="T587" s="30" t="str">
        <f t="shared" si="29"/>
        <v>FY 21-22</v>
      </c>
      <c r="U587" s="30" t="str">
        <f>VLOOKUP(MONTH(G587),Key!$F$3:$G$14,2,0)</f>
        <v>Feb</v>
      </c>
      <c r="V587" s="30" t="str">
        <f>IFERROR(IF(MATCH(F587,'Test 6'!C$5:C$9,0)&gt;0,"RP"),"NON-RP")</f>
        <v>NON-RP</v>
      </c>
    </row>
    <row r="588" spans="2:22" x14ac:dyDescent="0.5">
      <c r="B588" s="30">
        <v>584</v>
      </c>
      <c r="C588" s="30" t="s">
        <v>1265</v>
      </c>
      <c r="D588" s="31">
        <v>2122325</v>
      </c>
      <c r="E588" s="30" t="s">
        <v>1266</v>
      </c>
      <c r="F588" s="53" t="s">
        <v>290</v>
      </c>
      <c r="G588" s="32">
        <v>44622</v>
      </c>
      <c r="H588" s="33">
        <v>0.49408497185995032</v>
      </c>
      <c r="I588" s="30" t="s">
        <v>574</v>
      </c>
      <c r="J588" s="34">
        <v>314240</v>
      </c>
      <c r="K588" s="35" t="s">
        <v>17</v>
      </c>
      <c r="L588" s="36">
        <v>56563.199999999997</v>
      </c>
      <c r="M588" s="30" t="s">
        <v>28</v>
      </c>
      <c r="N588" s="30" t="s">
        <v>68</v>
      </c>
      <c r="O588" s="30" t="s">
        <v>1542</v>
      </c>
      <c r="P588" s="30" t="s">
        <v>1542</v>
      </c>
      <c r="Q588" s="30" t="str">
        <f>VLOOKUP(WEEKDAY(G588),Key!$B$3:$C$9,2,0)</f>
        <v>Wednesday</v>
      </c>
      <c r="R588" s="42" t="str">
        <f t="shared" si="27"/>
        <v>Within</v>
      </c>
      <c r="S588" s="41" t="str">
        <f t="shared" si="28"/>
        <v>Pass</v>
      </c>
      <c r="T588" s="30" t="str">
        <f t="shared" si="29"/>
        <v>FY 21-22</v>
      </c>
      <c r="U588" s="30" t="str">
        <f>VLOOKUP(MONTH(G588),Key!$F$3:$G$14,2,0)</f>
        <v>Mar</v>
      </c>
      <c r="V588" s="30" t="str">
        <f>IFERROR(IF(MATCH(F588,'Test 6'!C$5:C$9,0)&gt;0,"RP"),"NON-RP")</f>
        <v>NON-RP</v>
      </c>
    </row>
    <row r="589" spans="2:22" x14ac:dyDescent="0.5">
      <c r="B589" s="30">
        <v>585</v>
      </c>
      <c r="C589" s="30" t="s">
        <v>1267</v>
      </c>
      <c r="D589" s="31">
        <v>2122326</v>
      </c>
      <c r="E589" s="30" t="s">
        <v>1268</v>
      </c>
      <c r="F589" s="53" t="s">
        <v>293</v>
      </c>
      <c r="G589" s="32">
        <v>44623</v>
      </c>
      <c r="H589" s="33">
        <v>0.62754299768092736</v>
      </c>
      <c r="I589" s="30" t="s">
        <v>574</v>
      </c>
      <c r="J589" s="34">
        <v>400060</v>
      </c>
      <c r="K589" s="35" t="s">
        <v>17</v>
      </c>
      <c r="L589" s="36">
        <v>72010.8</v>
      </c>
      <c r="M589" s="30" t="s">
        <v>18</v>
      </c>
      <c r="N589" s="30" t="s">
        <v>19</v>
      </c>
      <c r="O589" s="30" t="s">
        <v>1542</v>
      </c>
      <c r="P589" s="30" t="s">
        <v>1542</v>
      </c>
      <c r="Q589" s="30" t="str">
        <f>VLOOKUP(WEEKDAY(G589),Key!$B$3:$C$9,2,0)</f>
        <v>Thursday</v>
      </c>
      <c r="R589" s="42" t="str">
        <f t="shared" si="27"/>
        <v>Within</v>
      </c>
      <c r="S589" s="41" t="str">
        <f t="shared" si="28"/>
        <v>Pass</v>
      </c>
      <c r="T589" s="30" t="str">
        <f t="shared" si="29"/>
        <v>FY 21-22</v>
      </c>
      <c r="U589" s="30" t="str">
        <f>VLOOKUP(MONTH(G589),Key!$F$3:$G$14,2,0)</f>
        <v>Mar</v>
      </c>
      <c r="V589" s="30" t="str">
        <f>IFERROR(IF(MATCH(F589,'Test 6'!C$5:C$9,0)&gt;0,"RP"),"NON-RP")</f>
        <v>NON-RP</v>
      </c>
    </row>
    <row r="590" spans="2:22" x14ac:dyDescent="0.5">
      <c r="B590" s="30">
        <v>586</v>
      </c>
      <c r="C590" s="30" t="s">
        <v>1269</v>
      </c>
      <c r="D590" s="31">
        <v>2122327</v>
      </c>
      <c r="E590" s="30" t="s">
        <v>1270</v>
      </c>
      <c r="F590" s="53" t="s">
        <v>184</v>
      </c>
      <c r="G590" s="32">
        <v>44624</v>
      </c>
      <c r="H590" s="33">
        <v>0.52431694691468222</v>
      </c>
      <c r="I590" s="30" t="s">
        <v>574</v>
      </c>
      <c r="J590" s="34">
        <v>353670</v>
      </c>
      <c r="K590" s="35" t="s">
        <v>17</v>
      </c>
      <c r="L590" s="36">
        <v>63660.6</v>
      </c>
      <c r="M590" s="30" t="s">
        <v>61</v>
      </c>
      <c r="N590" s="30" t="s">
        <v>24</v>
      </c>
      <c r="O590" s="30" t="s">
        <v>1542</v>
      </c>
      <c r="P590" s="30" t="s">
        <v>1542</v>
      </c>
      <c r="Q590" s="30" t="str">
        <f>VLOOKUP(WEEKDAY(G590),Key!$B$3:$C$9,2,0)</f>
        <v>Friday</v>
      </c>
      <c r="R590" s="42" t="str">
        <f t="shared" si="27"/>
        <v>Within</v>
      </c>
      <c r="S590" s="41" t="str">
        <f t="shared" si="28"/>
        <v>Pass</v>
      </c>
      <c r="T590" s="30" t="str">
        <f t="shared" si="29"/>
        <v>FY 21-22</v>
      </c>
      <c r="U590" s="30" t="str">
        <f>VLOOKUP(MONTH(G590),Key!$F$3:$G$14,2,0)</f>
        <v>Mar</v>
      </c>
      <c r="V590" s="30" t="str">
        <f>IFERROR(IF(MATCH(F590,'Test 6'!C$5:C$9,0)&gt;0,"RP"),"NON-RP")</f>
        <v>NON-RP</v>
      </c>
    </row>
    <row r="591" spans="2:22" x14ac:dyDescent="0.5">
      <c r="B591" s="30">
        <v>587</v>
      </c>
      <c r="C591" s="30" t="s">
        <v>1271</v>
      </c>
      <c r="D591" s="31">
        <v>2122328</v>
      </c>
      <c r="E591" s="30" t="s">
        <v>1272</v>
      </c>
      <c r="F591" s="53" t="s">
        <v>40</v>
      </c>
      <c r="G591" s="32">
        <v>44631</v>
      </c>
      <c r="H591" s="33">
        <v>0.66169801025929198</v>
      </c>
      <c r="I591" s="30" t="s">
        <v>574</v>
      </c>
      <c r="J591" s="34">
        <v>333210</v>
      </c>
      <c r="K591" s="35" t="s">
        <v>17</v>
      </c>
      <c r="L591" s="36">
        <v>59977.799999999996</v>
      </c>
      <c r="M591" s="30" t="s">
        <v>32</v>
      </c>
      <c r="N591" s="30" t="s">
        <v>51</v>
      </c>
      <c r="O591" s="30" t="s">
        <v>1542</v>
      </c>
      <c r="P591" s="30" t="s">
        <v>1542</v>
      </c>
      <c r="Q591" s="30" t="str">
        <f>VLOOKUP(WEEKDAY(G591),Key!$B$3:$C$9,2,0)</f>
        <v>Friday</v>
      </c>
      <c r="R591" s="42" t="str">
        <f t="shared" si="27"/>
        <v>Within</v>
      </c>
      <c r="S591" s="41" t="str">
        <f t="shared" si="28"/>
        <v>Pass</v>
      </c>
      <c r="T591" s="30" t="str">
        <f t="shared" si="29"/>
        <v>FY 21-22</v>
      </c>
      <c r="U591" s="30" t="str">
        <f>VLOOKUP(MONTH(G591),Key!$F$3:$G$14,2,0)</f>
        <v>Mar</v>
      </c>
      <c r="V591" s="30" t="str">
        <f>IFERROR(IF(MATCH(F591,'Test 6'!C$5:C$9,0)&gt;0,"RP"),"NON-RP")</f>
        <v>NON-RP</v>
      </c>
    </row>
    <row r="592" spans="2:22" x14ac:dyDescent="0.5">
      <c r="B592" s="30">
        <v>588</v>
      </c>
      <c r="C592" s="30" t="s">
        <v>1273</v>
      </c>
      <c r="D592" s="31">
        <v>2122329</v>
      </c>
      <c r="E592" s="30" t="s">
        <v>1274</v>
      </c>
      <c r="F592" s="53" t="s">
        <v>103</v>
      </c>
      <c r="G592" s="32">
        <v>44632</v>
      </c>
      <c r="H592" s="33">
        <v>0.74679892374848333</v>
      </c>
      <c r="I592" s="30" t="s">
        <v>574</v>
      </c>
      <c r="J592" s="34">
        <v>319140</v>
      </c>
      <c r="K592" s="35" t="s">
        <v>17</v>
      </c>
      <c r="L592" s="36">
        <v>57445.2</v>
      </c>
      <c r="M592" s="30" t="s">
        <v>37</v>
      </c>
      <c r="N592" s="30" t="s">
        <v>51</v>
      </c>
      <c r="O592" s="30" t="s">
        <v>1542</v>
      </c>
      <c r="P592" s="30" t="s">
        <v>1542</v>
      </c>
      <c r="Q592" s="30" t="str">
        <f>VLOOKUP(WEEKDAY(G592),Key!$B$3:$C$9,2,0)</f>
        <v>Saturday</v>
      </c>
      <c r="R592" s="42" t="str">
        <f t="shared" si="27"/>
        <v>Within</v>
      </c>
      <c r="S592" s="41" t="str">
        <f t="shared" si="28"/>
        <v>Pass</v>
      </c>
      <c r="T592" s="30" t="str">
        <f t="shared" si="29"/>
        <v>FY 21-22</v>
      </c>
      <c r="U592" s="30" t="str">
        <f>VLOOKUP(MONTH(G592),Key!$F$3:$G$14,2,0)</f>
        <v>Mar</v>
      </c>
      <c r="V592" s="30" t="str">
        <f>IFERROR(IF(MATCH(F592,'Test 6'!C$5:C$9,0)&gt;0,"RP"),"NON-RP")</f>
        <v>NON-RP</v>
      </c>
    </row>
    <row r="593" spans="2:22" x14ac:dyDescent="0.5">
      <c r="B593" s="30">
        <v>589</v>
      </c>
      <c r="C593" s="30" t="s">
        <v>1275</v>
      </c>
      <c r="D593" s="31">
        <v>2122330</v>
      </c>
      <c r="E593" s="30" t="s">
        <v>1276</v>
      </c>
      <c r="F593" s="53" t="s">
        <v>92</v>
      </c>
      <c r="G593" s="32">
        <v>44632</v>
      </c>
      <c r="H593" s="33">
        <v>0.51139381973352649</v>
      </c>
      <c r="I593" s="30" t="s">
        <v>574</v>
      </c>
      <c r="J593" s="34">
        <v>242190</v>
      </c>
      <c r="K593" s="35" t="s">
        <v>17</v>
      </c>
      <c r="L593" s="36">
        <v>43594.2</v>
      </c>
      <c r="M593" s="30" t="s">
        <v>37</v>
      </c>
      <c r="N593" s="30" t="s">
        <v>68</v>
      </c>
      <c r="O593" s="30" t="s">
        <v>1542</v>
      </c>
      <c r="P593" s="30" t="s">
        <v>1542</v>
      </c>
      <c r="Q593" s="30" t="str">
        <f>VLOOKUP(WEEKDAY(G593),Key!$B$3:$C$9,2,0)</f>
        <v>Saturday</v>
      </c>
      <c r="R593" s="42" t="str">
        <f t="shared" si="27"/>
        <v>Within</v>
      </c>
      <c r="S593" s="41" t="str">
        <f t="shared" si="28"/>
        <v>Pass</v>
      </c>
      <c r="T593" s="30" t="str">
        <f t="shared" si="29"/>
        <v>FY 21-22</v>
      </c>
      <c r="U593" s="30" t="str">
        <f>VLOOKUP(MONTH(G593),Key!$F$3:$G$14,2,0)</f>
        <v>Mar</v>
      </c>
      <c r="V593" s="30" t="str">
        <f>IFERROR(IF(MATCH(F593,'Test 6'!C$5:C$9,0)&gt;0,"RP"),"NON-RP")</f>
        <v>NON-RP</v>
      </c>
    </row>
    <row r="594" spans="2:22" x14ac:dyDescent="0.5">
      <c r="B594" s="30">
        <v>590</v>
      </c>
      <c r="C594" s="30" t="s">
        <v>1277</v>
      </c>
      <c r="D594" s="31">
        <v>2122331</v>
      </c>
      <c r="E594" s="30" t="s">
        <v>1278</v>
      </c>
      <c r="F594" s="53" t="s">
        <v>203</v>
      </c>
      <c r="G594" s="32">
        <v>44634</v>
      </c>
      <c r="H594" s="33">
        <v>0.69918855968898963</v>
      </c>
      <c r="I594" s="30" t="s">
        <v>574</v>
      </c>
      <c r="J594" s="34">
        <v>213860</v>
      </c>
      <c r="K594" s="35" t="s">
        <v>17</v>
      </c>
      <c r="L594" s="36">
        <v>38494.799999999996</v>
      </c>
      <c r="M594" s="30" t="s">
        <v>18</v>
      </c>
      <c r="N594" s="30" t="s">
        <v>51</v>
      </c>
      <c r="O594" s="30" t="s">
        <v>1542</v>
      </c>
      <c r="P594" s="30" t="s">
        <v>1542</v>
      </c>
      <c r="Q594" s="30" t="str">
        <f>VLOOKUP(WEEKDAY(G594),Key!$B$3:$C$9,2,0)</f>
        <v>Monday</v>
      </c>
      <c r="R594" s="42" t="str">
        <f t="shared" si="27"/>
        <v>Within</v>
      </c>
      <c r="S594" s="41" t="str">
        <f t="shared" si="28"/>
        <v>Pass</v>
      </c>
      <c r="T594" s="30" t="str">
        <f t="shared" si="29"/>
        <v>FY 21-22</v>
      </c>
      <c r="U594" s="30" t="str">
        <f>VLOOKUP(MONTH(G594),Key!$F$3:$G$14,2,0)</f>
        <v>Mar</v>
      </c>
      <c r="V594" s="30" t="str">
        <f>IFERROR(IF(MATCH(F594,'Test 6'!C$5:C$9,0)&gt;0,"RP"),"NON-RP")</f>
        <v>NON-RP</v>
      </c>
    </row>
    <row r="595" spans="2:22" x14ac:dyDescent="0.5">
      <c r="B595" s="30">
        <v>591</v>
      </c>
      <c r="C595" s="30" t="s">
        <v>1279</v>
      </c>
      <c r="D595" s="31">
        <v>2122332</v>
      </c>
      <c r="E595" s="30" t="s">
        <v>1280</v>
      </c>
      <c r="F595" s="53" t="s">
        <v>40</v>
      </c>
      <c r="G595" s="32">
        <v>44634</v>
      </c>
      <c r="H595" s="33">
        <v>0.62673303683333292</v>
      </c>
      <c r="I595" s="30" t="s">
        <v>574</v>
      </c>
      <c r="J595" s="34">
        <v>371640</v>
      </c>
      <c r="K595" s="35" t="s">
        <v>17</v>
      </c>
      <c r="L595" s="36">
        <v>66895.199999999997</v>
      </c>
      <c r="M595" s="30" t="s">
        <v>28</v>
      </c>
      <c r="N595" s="30" t="s">
        <v>51</v>
      </c>
      <c r="O595" s="30" t="s">
        <v>1542</v>
      </c>
      <c r="P595" s="30" t="s">
        <v>1542</v>
      </c>
      <c r="Q595" s="30" t="str">
        <f>VLOOKUP(WEEKDAY(G595),Key!$B$3:$C$9,2,0)</f>
        <v>Monday</v>
      </c>
      <c r="R595" s="42" t="str">
        <f t="shared" si="27"/>
        <v>Within</v>
      </c>
      <c r="S595" s="41" t="str">
        <f t="shared" si="28"/>
        <v>Pass</v>
      </c>
      <c r="T595" s="30" t="str">
        <f t="shared" si="29"/>
        <v>FY 21-22</v>
      </c>
      <c r="U595" s="30" t="str">
        <f>VLOOKUP(MONTH(G595),Key!$F$3:$G$14,2,0)</f>
        <v>Mar</v>
      </c>
      <c r="V595" s="30" t="str">
        <f>IFERROR(IF(MATCH(F595,'Test 6'!C$5:C$9,0)&gt;0,"RP"),"NON-RP")</f>
        <v>NON-RP</v>
      </c>
    </row>
    <row r="596" spans="2:22" x14ac:dyDescent="0.5">
      <c r="B596" s="30">
        <v>592</v>
      </c>
      <c r="C596" s="30" t="s">
        <v>1281</v>
      </c>
      <c r="D596" s="31">
        <v>2122333</v>
      </c>
      <c r="E596" s="30" t="s">
        <v>1282</v>
      </c>
      <c r="F596" s="53" t="s">
        <v>238</v>
      </c>
      <c r="G596" s="32">
        <v>44634</v>
      </c>
      <c r="H596" s="33">
        <v>0.59782846658335065</v>
      </c>
      <c r="I596" s="30" t="s">
        <v>574</v>
      </c>
      <c r="J596" s="34">
        <v>340200</v>
      </c>
      <c r="K596" s="35" t="s">
        <v>17</v>
      </c>
      <c r="L596" s="36">
        <v>61236</v>
      </c>
      <c r="M596" s="30" t="s">
        <v>46</v>
      </c>
      <c r="N596" s="30" t="s">
        <v>24</v>
      </c>
      <c r="O596" s="30" t="s">
        <v>1542</v>
      </c>
      <c r="P596" s="30" t="s">
        <v>1542</v>
      </c>
      <c r="Q596" s="30" t="str">
        <f>VLOOKUP(WEEKDAY(G596),Key!$B$3:$C$9,2,0)</f>
        <v>Monday</v>
      </c>
      <c r="R596" s="42" t="str">
        <f t="shared" si="27"/>
        <v>Within</v>
      </c>
      <c r="S596" s="41" t="str">
        <f t="shared" si="28"/>
        <v>Pass</v>
      </c>
      <c r="T596" s="30" t="str">
        <f t="shared" si="29"/>
        <v>FY 21-22</v>
      </c>
      <c r="U596" s="30" t="str">
        <f>VLOOKUP(MONTH(G596),Key!$F$3:$G$14,2,0)</f>
        <v>Mar</v>
      </c>
      <c r="V596" s="30" t="str">
        <f>IFERROR(IF(MATCH(F596,'Test 6'!C$5:C$9,0)&gt;0,"RP"),"NON-RP")</f>
        <v>NON-RP</v>
      </c>
    </row>
    <row r="597" spans="2:22" x14ac:dyDescent="0.5">
      <c r="B597" s="30">
        <v>593</v>
      </c>
      <c r="C597" s="30" t="s">
        <v>1283</v>
      </c>
      <c r="D597" s="31">
        <v>2122334</v>
      </c>
      <c r="E597" s="30" t="s">
        <v>1284</v>
      </c>
      <c r="F597" s="53" t="s">
        <v>187</v>
      </c>
      <c r="G597" s="32">
        <v>44634</v>
      </c>
      <c r="H597" s="33">
        <v>0.64663052046126568</v>
      </c>
      <c r="I597" s="30" t="s">
        <v>574</v>
      </c>
      <c r="J597" s="34">
        <v>28400</v>
      </c>
      <c r="K597" s="35" t="s">
        <v>17</v>
      </c>
      <c r="L597" s="36">
        <v>5112</v>
      </c>
      <c r="M597" s="30" t="s">
        <v>704</v>
      </c>
      <c r="N597" s="30" t="s">
        <v>61</v>
      </c>
      <c r="O597" s="30" t="s">
        <v>1542</v>
      </c>
      <c r="P597" s="30" t="s">
        <v>1542</v>
      </c>
      <c r="Q597" s="30" t="str">
        <f>VLOOKUP(WEEKDAY(G597),Key!$B$3:$C$9,2,0)</f>
        <v>Monday</v>
      </c>
      <c r="R597" s="42" t="str">
        <f t="shared" si="27"/>
        <v>Within</v>
      </c>
      <c r="S597" s="41" t="str">
        <f t="shared" si="28"/>
        <v>Pass</v>
      </c>
      <c r="T597" s="30" t="str">
        <f t="shared" si="29"/>
        <v>FY 21-22</v>
      </c>
      <c r="U597" s="30" t="str">
        <f>VLOOKUP(MONTH(G597),Key!$F$3:$G$14,2,0)</f>
        <v>Mar</v>
      </c>
      <c r="V597" s="30" t="str">
        <f>IFERROR(IF(MATCH(F597,'Test 6'!C$5:C$9,0)&gt;0,"RP"),"NON-RP")</f>
        <v>NON-RP</v>
      </c>
    </row>
    <row r="598" spans="2:22" x14ac:dyDescent="0.5">
      <c r="B598" s="30">
        <v>594</v>
      </c>
      <c r="C598" s="30" t="s">
        <v>1285</v>
      </c>
      <c r="D598" s="31">
        <v>2122335</v>
      </c>
      <c r="E598" s="30" t="s">
        <v>1286</v>
      </c>
      <c r="F598" s="53" t="s">
        <v>92</v>
      </c>
      <c r="G598" s="32">
        <v>44634</v>
      </c>
      <c r="H598" s="33">
        <v>0.56812426627990442</v>
      </c>
      <c r="I598" s="30" t="s">
        <v>574</v>
      </c>
      <c r="J598" s="34">
        <v>339620</v>
      </c>
      <c r="K598" s="35" t="s">
        <v>17</v>
      </c>
      <c r="L598" s="36">
        <v>61131.6</v>
      </c>
      <c r="M598" s="30" t="s">
        <v>23</v>
      </c>
      <c r="N598" s="30" t="s">
        <v>51</v>
      </c>
      <c r="O598" s="30" t="s">
        <v>1542</v>
      </c>
      <c r="P598" s="30" t="s">
        <v>1542</v>
      </c>
      <c r="Q598" s="30" t="str">
        <f>VLOOKUP(WEEKDAY(G598),Key!$B$3:$C$9,2,0)</f>
        <v>Monday</v>
      </c>
      <c r="R598" s="42" t="str">
        <f t="shared" si="27"/>
        <v>Within</v>
      </c>
      <c r="S598" s="41" t="str">
        <f t="shared" si="28"/>
        <v>Pass</v>
      </c>
      <c r="T598" s="30" t="str">
        <f t="shared" si="29"/>
        <v>FY 21-22</v>
      </c>
      <c r="U598" s="30" t="str">
        <f>VLOOKUP(MONTH(G598),Key!$F$3:$G$14,2,0)</f>
        <v>Mar</v>
      </c>
      <c r="V598" s="30" t="str">
        <f>IFERROR(IF(MATCH(F598,'Test 6'!C$5:C$9,0)&gt;0,"RP"),"NON-RP")</f>
        <v>NON-RP</v>
      </c>
    </row>
    <row r="599" spans="2:22" x14ac:dyDescent="0.5">
      <c r="B599" s="30">
        <v>595</v>
      </c>
      <c r="C599" s="30" t="s">
        <v>1287</v>
      </c>
      <c r="D599" s="31">
        <v>2122336</v>
      </c>
      <c r="E599" s="30" t="s">
        <v>1288</v>
      </c>
      <c r="F599" s="53" t="s">
        <v>103</v>
      </c>
      <c r="G599" s="32">
        <v>44637</v>
      </c>
      <c r="H599" s="33">
        <v>0.68827959230393698</v>
      </c>
      <c r="I599" s="30" t="s">
        <v>574</v>
      </c>
      <c r="J599" s="34">
        <v>323830</v>
      </c>
      <c r="K599" s="35" t="s">
        <v>17</v>
      </c>
      <c r="L599" s="36">
        <v>58289.4</v>
      </c>
      <c r="M599" s="30" t="s">
        <v>28</v>
      </c>
      <c r="N599" s="30" t="s">
        <v>24</v>
      </c>
      <c r="O599" s="30" t="s">
        <v>1542</v>
      </c>
      <c r="P599" s="30" t="s">
        <v>1542</v>
      </c>
      <c r="Q599" s="30" t="str">
        <f>VLOOKUP(WEEKDAY(G599),Key!$B$3:$C$9,2,0)</f>
        <v>Thursday</v>
      </c>
      <c r="R599" s="42" t="str">
        <f t="shared" si="27"/>
        <v>Within</v>
      </c>
      <c r="S599" s="41" t="str">
        <f t="shared" si="28"/>
        <v>Pass</v>
      </c>
      <c r="T599" s="30" t="str">
        <f t="shared" si="29"/>
        <v>FY 21-22</v>
      </c>
      <c r="U599" s="30" t="str">
        <f>VLOOKUP(MONTH(G599),Key!$F$3:$G$14,2,0)</f>
        <v>Mar</v>
      </c>
      <c r="V599" s="30" t="str">
        <f>IFERROR(IF(MATCH(F599,'Test 6'!C$5:C$9,0)&gt;0,"RP"),"NON-RP")</f>
        <v>NON-RP</v>
      </c>
    </row>
    <row r="600" spans="2:22" x14ac:dyDescent="0.5">
      <c r="B600" s="30">
        <v>596</v>
      </c>
      <c r="C600" s="30" t="s">
        <v>1289</v>
      </c>
      <c r="D600" s="31">
        <v>2122337</v>
      </c>
      <c r="E600" s="30" t="s">
        <v>1290</v>
      </c>
      <c r="F600" s="53" t="s">
        <v>92</v>
      </c>
      <c r="G600" s="32">
        <v>44638</v>
      </c>
      <c r="H600" s="33">
        <v>0.65542406404873199</v>
      </c>
      <c r="I600" s="30" t="s">
        <v>574</v>
      </c>
      <c r="J600" s="34">
        <v>37950</v>
      </c>
      <c r="K600" s="35" t="s">
        <v>17</v>
      </c>
      <c r="L600" s="36">
        <v>6831</v>
      </c>
      <c r="M600" s="30" t="s">
        <v>78</v>
      </c>
      <c r="N600" s="30" t="s">
        <v>46</v>
      </c>
      <c r="O600" s="30" t="s">
        <v>1542</v>
      </c>
      <c r="P600" s="30" t="s">
        <v>1542</v>
      </c>
      <c r="Q600" s="30" t="str">
        <f>VLOOKUP(WEEKDAY(G600),Key!$B$3:$C$9,2,0)</f>
        <v>Friday</v>
      </c>
      <c r="R600" s="42" t="str">
        <f t="shared" si="27"/>
        <v>Within</v>
      </c>
      <c r="S600" s="41" t="str">
        <f t="shared" si="28"/>
        <v>Pass</v>
      </c>
      <c r="T600" s="30" t="str">
        <f t="shared" si="29"/>
        <v>FY 21-22</v>
      </c>
      <c r="U600" s="30" t="str">
        <f>VLOOKUP(MONTH(G600),Key!$F$3:$G$14,2,0)</f>
        <v>Mar</v>
      </c>
      <c r="V600" s="30" t="str">
        <f>IFERROR(IF(MATCH(F600,'Test 6'!C$5:C$9,0)&gt;0,"RP"),"NON-RP")</f>
        <v>NON-RP</v>
      </c>
    </row>
    <row r="601" spans="2:22" x14ac:dyDescent="0.5">
      <c r="B601" s="30">
        <v>597</v>
      </c>
      <c r="C601" s="30" t="s">
        <v>1291</v>
      </c>
      <c r="D601" s="31">
        <v>2122338</v>
      </c>
      <c r="E601" s="30" t="s">
        <v>1292</v>
      </c>
      <c r="F601" s="53" t="s">
        <v>114</v>
      </c>
      <c r="G601" s="32">
        <v>44639</v>
      </c>
      <c r="H601" s="33">
        <v>0.68474527510812755</v>
      </c>
      <c r="I601" s="30" t="s">
        <v>574</v>
      </c>
      <c r="J601" s="34">
        <v>316680</v>
      </c>
      <c r="K601" s="35" t="s">
        <v>17</v>
      </c>
      <c r="L601" s="36">
        <v>57002.400000000001</v>
      </c>
      <c r="M601" s="30" t="s">
        <v>46</v>
      </c>
      <c r="N601" s="30" t="s">
        <v>19</v>
      </c>
      <c r="O601" s="30" t="s">
        <v>1542</v>
      </c>
      <c r="P601" s="30" t="s">
        <v>1542</v>
      </c>
      <c r="Q601" s="30" t="str">
        <f>VLOOKUP(WEEKDAY(G601),Key!$B$3:$C$9,2,0)</f>
        <v>Saturday</v>
      </c>
      <c r="R601" s="42" t="str">
        <f t="shared" si="27"/>
        <v>Within</v>
      </c>
      <c r="S601" s="41" t="str">
        <f t="shared" si="28"/>
        <v>Pass</v>
      </c>
      <c r="T601" s="30" t="str">
        <f t="shared" si="29"/>
        <v>FY 21-22</v>
      </c>
      <c r="U601" s="30" t="str">
        <f>VLOOKUP(MONTH(G601),Key!$F$3:$G$14,2,0)</f>
        <v>Mar</v>
      </c>
      <c r="V601" s="30" t="str">
        <f>IFERROR(IF(MATCH(F601,'Test 6'!C$5:C$9,0)&gt;0,"RP"),"NON-RP")</f>
        <v>NON-RP</v>
      </c>
    </row>
    <row r="602" spans="2:22" x14ac:dyDescent="0.5">
      <c r="B602" s="30">
        <v>598</v>
      </c>
      <c r="C602" s="30" t="s">
        <v>1293</v>
      </c>
      <c r="D602" s="31">
        <v>2122339</v>
      </c>
      <c r="E602" s="30" t="s">
        <v>1294</v>
      </c>
      <c r="F602" s="53" t="s">
        <v>378</v>
      </c>
      <c r="G602" s="32">
        <v>44641</v>
      </c>
      <c r="H602" s="33">
        <v>0.50128654169179343</v>
      </c>
      <c r="I602" s="30" t="s">
        <v>574</v>
      </c>
      <c r="J602" s="34">
        <v>455120</v>
      </c>
      <c r="K602" s="35" t="s">
        <v>17</v>
      </c>
      <c r="L602" s="36">
        <v>81921.599999999991</v>
      </c>
      <c r="M602" s="30" t="s">
        <v>18</v>
      </c>
      <c r="N602" s="30" t="s">
        <v>19</v>
      </c>
      <c r="O602" s="30" t="s">
        <v>1542</v>
      </c>
      <c r="P602" s="30" t="s">
        <v>1542</v>
      </c>
      <c r="Q602" s="30" t="str">
        <f>VLOOKUP(WEEKDAY(G602),Key!$B$3:$C$9,2,0)</f>
        <v>Monday</v>
      </c>
      <c r="R602" s="42" t="str">
        <f t="shared" si="27"/>
        <v>Within</v>
      </c>
      <c r="S602" s="41" t="str">
        <f t="shared" si="28"/>
        <v>Pass</v>
      </c>
      <c r="T602" s="30" t="str">
        <f t="shared" si="29"/>
        <v>FY 21-22</v>
      </c>
      <c r="U602" s="30" t="str">
        <f>VLOOKUP(MONTH(G602),Key!$F$3:$G$14,2,0)</f>
        <v>Mar</v>
      </c>
      <c r="V602" s="30" t="str">
        <f>IFERROR(IF(MATCH(F602,'Test 6'!C$5:C$9,0)&gt;0,"RP"),"NON-RP")</f>
        <v>RP</v>
      </c>
    </row>
    <row r="603" spans="2:22" x14ac:dyDescent="0.5">
      <c r="B603" s="30">
        <v>599</v>
      </c>
      <c r="C603" s="30" t="s">
        <v>1295</v>
      </c>
      <c r="D603" s="31">
        <v>2122340</v>
      </c>
      <c r="E603" s="30" t="s">
        <v>1296</v>
      </c>
      <c r="F603" s="53" t="s">
        <v>153</v>
      </c>
      <c r="G603" s="32">
        <v>44641</v>
      </c>
      <c r="H603" s="33">
        <v>0.49720386974315411</v>
      </c>
      <c r="I603" s="30" t="s">
        <v>574</v>
      </c>
      <c r="J603" s="34">
        <v>34770</v>
      </c>
      <c r="K603" s="35" t="s">
        <v>17</v>
      </c>
      <c r="L603" s="36">
        <v>6258.5999999999995</v>
      </c>
      <c r="M603" s="30" t="s">
        <v>78</v>
      </c>
      <c r="N603" s="30" t="s">
        <v>46</v>
      </c>
      <c r="O603" s="30" t="s">
        <v>1542</v>
      </c>
      <c r="P603" s="30" t="s">
        <v>1542</v>
      </c>
      <c r="Q603" s="30" t="str">
        <f>VLOOKUP(WEEKDAY(G603),Key!$B$3:$C$9,2,0)</f>
        <v>Monday</v>
      </c>
      <c r="R603" s="42" t="str">
        <f t="shared" si="27"/>
        <v>Within</v>
      </c>
      <c r="S603" s="41" t="str">
        <f t="shared" si="28"/>
        <v>Pass</v>
      </c>
      <c r="T603" s="30" t="str">
        <f t="shared" si="29"/>
        <v>FY 21-22</v>
      </c>
      <c r="U603" s="30" t="str">
        <f>VLOOKUP(MONTH(G603),Key!$F$3:$G$14,2,0)</f>
        <v>Mar</v>
      </c>
      <c r="V603" s="30" t="str">
        <f>IFERROR(IF(MATCH(F603,'Test 6'!C$5:C$9,0)&gt;0,"RP"),"NON-RP")</f>
        <v>NON-RP</v>
      </c>
    </row>
    <row r="604" spans="2:22" x14ac:dyDescent="0.5">
      <c r="B604" s="30">
        <v>600</v>
      </c>
      <c r="C604" s="30" t="s">
        <v>1297</v>
      </c>
      <c r="D604" s="31">
        <v>2122341</v>
      </c>
      <c r="E604" s="30" t="s">
        <v>1298</v>
      </c>
      <c r="F604" s="53" t="s">
        <v>190</v>
      </c>
      <c r="G604" s="32">
        <v>44641</v>
      </c>
      <c r="H604" s="33">
        <v>0.45001945864444026</v>
      </c>
      <c r="I604" s="30" t="s">
        <v>574</v>
      </c>
      <c r="J604" s="34">
        <v>496440</v>
      </c>
      <c r="K604" s="35" t="s">
        <v>17</v>
      </c>
      <c r="L604" s="36">
        <v>89359.2</v>
      </c>
      <c r="M604" s="30" t="s">
        <v>37</v>
      </c>
      <c r="N604" s="30" t="s">
        <v>24</v>
      </c>
      <c r="O604" s="30" t="s">
        <v>1542</v>
      </c>
      <c r="P604" s="30" t="s">
        <v>1542</v>
      </c>
      <c r="Q604" s="30" t="str">
        <f>VLOOKUP(WEEKDAY(G604),Key!$B$3:$C$9,2,0)</f>
        <v>Monday</v>
      </c>
      <c r="R604" s="42" t="str">
        <f t="shared" si="27"/>
        <v>Within</v>
      </c>
      <c r="S604" s="41" t="str">
        <f t="shared" si="28"/>
        <v>Pass</v>
      </c>
      <c r="T604" s="30" t="str">
        <f t="shared" si="29"/>
        <v>FY 21-22</v>
      </c>
      <c r="U604" s="30" t="str">
        <f>VLOOKUP(MONTH(G604),Key!$F$3:$G$14,2,0)</f>
        <v>Mar</v>
      </c>
      <c r="V604" s="30" t="str">
        <f>IFERROR(IF(MATCH(F604,'Test 6'!C$5:C$9,0)&gt;0,"RP"),"NON-RP")</f>
        <v>NON-RP</v>
      </c>
    </row>
    <row r="606" spans="2:22" x14ac:dyDescent="0.5">
      <c r="J606" s="56">
        <f>SUM(J5:J605)</f>
        <v>480843420</v>
      </c>
      <c r="K606" s="4"/>
      <c r="L606" s="56">
        <f>SUM(L5:L605)</f>
        <v>86551815.600000009</v>
      </c>
    </row>
    <row r="608" spans="2:22" x14ac:dyDescent="0.5">
      <c r="B608" s="8" t="s">
        <v>1594</v>
      </c>
    </row>
    <row r="609" spans="2:26" x14ac:dyDescent="0.5">
      <c r="B609" s="29" t="s">
        <v>0</v>
      </c>
      <c r="C609" s="29" t="s">
        <v>1</v>
      </c>
      <c r="D609" s="29" t="s">
        <v>2</v>
      </c>
      <c r="E609" s="29" t="s">
        <v>3</v>
      </c>
      <c r="F609" s="29" t="s">
        <v>4</v>
      </c>
      <c r="G609" s="29" t="s">
        <v>5</v>
      </c>
      <c r="H609" s="29" t="s">
        <v>6</v>
      </c>
      <c r="I609" s="29" t="s">
        <v>7</v>
      </c>
      <c r="J609" s="29" t="s">
        <v>8</v>
      </c>
      <c r="K609" s="29" t="s">
        <v>9</v>
      </c>
      <c r="L609" s="29" t="s">
        <v>10</v>
      </c>
      <c r="M609" s="29" t="s">
        <v>11</v>
      </c>
      <c r="N609" s="29" t="s">
        <v>12</v>
      </c>
      <c r="O609" s="59"/>
      <c r="P609" s="2">
        <v>0</v>
      </c>
      <c r="Q609" s="39" t="s">
        <v>1312</v>
      </c>
      <c r="R609" s="39" t="s">
        <v>1313</v>
      </c>
      <c r="S609" s="39" t="s">
        <v>1332</v>
      </c>
      <c r="T609" s="39" t="s">
        <v>1333</v>
      </c>
      <c r="U609" s="39" t="s">
        <v>1307</v>
      </c>
      <c r="V609" s="39" t="s">
        <v>1306</v>
      </c>
      <c r="W609" s="39" t="s">
        <v>1334</v>
      </c>
      <c r="X609" s="39" t="s">
        <v>1335</v>
      </c>
      <c r="Y609" s="39" t="s">
        <v>1338</v>
      </c>
      <c r="Z609" s="39" t="s">
        <v>1343</v>
      </c>
    </row>
    <row r="610" spans="2:26" x14ac:dyDescent="0.5">
      <c r="B610" s="30">
        <v>302</v>
      </c>
      <c r="C610" s="30" t="s">
        <v>699</v>
      </c>
      <c r="D610" s="31">
        <v>212243</v>
      </c>
      <c r="E610" s="30" t="s">
        <v>700</v>
      </c>
      <c r="F610" s="53" t="s">
        <v>111</v>
      </c>
      <c r="G610" s="32">
        <v>44325</v>
      </c>
      <c r="H610" s="33">
        <v>0.49611111111111111</v>
      </c>
      <c r="I610" s="30" t="s">
        <v>96</v>
      </c>
      <c r="J610" s="34">
        <v>4279450</v>
      </c>
      <c r="K610" s="35" t="s">
        <v>17</v>
      </c>
      <c r="L610" s="36">
        <v>770040</v>
      </c>
      <c r="M610" s="30" t="s">
        <v>701</v>
      </c>
      <c r="N610" s="30" t="s">
        <v>41</v>
      </c>
      <c r="O610" s="60"/>
      <c r="Q610" s="30" t="str">
        <f t="shared" ref="Q610:Q636" si="30">IF(J610&lt;200000,"SE",IF(J610&lt;500000,"AM",IF(J610&lt;1000000,"DM",IF(J610&lt;4500000,"SM",IF(J610&gt;4500000,"CM")))))</f>
        <v>SM</v>
      </c>
      <c r="R610" s="30" t="str">
        <f t="shared" ref="R610:R636" si="31">IF(Q610="SE","AM",IF(Q610="AM","DM",IF(Q610="DM","SM",IF(Q610="SM","CM",IF(Q610="CM","CFO")))))</f>
        <v>CM</v>
      </c>
      <c r="S610" s="30" t="str">
        <f>VLOOKUP(M610,'Data - Employee Rights Master'!$C$3:$D$32,2,0)</f>
        <v>SM</v>
      </c>
      <c r="T610" s="30" t="str">
        <f>VLOOKUP(N610,'Data - Employee Rights Master'!$C$3:$D$32,2,0)</f>
        <v>CM</v>
      </c>
      <c r="U610" s="30" t="str">
        <f t="shared" ref="U610:U636" si="32">IF(AND(S610=Q610,T610=R610),"PASS","DEVIATION")</f>
        <v>PASS</v>
      </c>
      <c r="V610" s="30" t="str">
        <f>VLOOKUP(WEEKDAY(G610),Key!$B$3:$C$9,2,0)</f>
        <v>Sunday</v>
      </c>
      <c r="W610" s="42" t="str">
        <f t="shared" ref="W610:W636" si="33">IF(AND(H610&lt;TIME(18,0,0),H610&gt;TIME(10,0,0)),"Within","Outside")</f>
        <v>Within</v>
      </c>
      <c r="X610" s="30" t="str">
        <f t="shared" ref="X610:X636" si="34">IF(OR(V610="Sunday",W610="outside"),"Red Flag","Pass")</f>
        <v>Red Flag</v>
      </c>
      <c r="Y610" s="30" t="str">
        <f t="shared" ref="Y610:Y636" si="35">LEFT(C610,4)</f>
        <v>2122</v>
      </c>
      <c r="Z610" s="30" t="str">
        <f>VLOOKUP(MONTH(G610),Key!$F$3:$G$14,2,0)</f>
        <v>May</v>
      </c>
    </row>
    <row r="611" spans="2:26" x14ac:dyDescent="0.5">
      <c r="B611" s="30">
        <v>312</v>
      </c>
      <c r="C611" s="30" t="s">
        <v>721</v>
      </c>
      <c r="D611" s="31">
        <v>212253</v>
      </c>
      <c r="E611" s="30" t="s">
        <v>722</v>
      </c>
      <c r="F611" s="53" t="s">
        <v>111</v>
      </c>
      <c r="G611" s="32">
        <v>44332</v>
      </c>
      <c r="H611" s="33">
        <v>0.52202546296296293</v>
      </c>
      <c r="I611" s="30" t="s">
        <v>96</v>
      </c>
      <c r="J611" s="34">
        <v>4951880</v>
      </c>
      <c r="K611" s="35" t="s">
        <v>17</v>
      </c>
      <c r="L611" s="36">
        <v>891000</v>
      </c>
      <c r="M611" s="30" t="s">
        <v>41</v>
      </c>
      <c r="N611" s="30" t="s">
        <v>42</v>
      </c>
      <c r="O611" s="60"/>
      <c r="Q611" s="30" t="str">
        <f t="shared" si="30"/>
        <v>CM</v>
      </c>
      <c r="R611" s="30" t="str">
        <f t="shared" si="31"/>
        <v>CFO</v>
      </c>
      <c r="S611" s="30" t="str">
        <f>VLOOKUP(M611,'Data - Employee Rights Master'!$C$3:$D$32,2,0)</f>
        <v>CM</v>
      </c>
      <c r="T611" s="30" t="str">
        <f>VLOOKUP(N611,'Data - Employee Rights Master'!$C$3:$D$32,2,0)</f>
        <v>CFO</v>
      </c>
      <c r="U611" s="30" t="str">
        <f t="shared" si="32"/>
        <v>PASS</v>
      </c>
      <c r="V611" s="30" t="str">
        <f>VLOOKUP(WEEKDAY(G611),Key!$B$3:$C$9,2,0)</f>
        <v>Sunday</v>
      </c>
      <c r="W611" s="42" t="str">
        <f t="shared" si="33"/>
        <v>Within</v>
      </c>
      <c r="X611" s="30" t="str">
        <f t="shared" si="34"/>
        <v>Red Flag</v>
      </c>
      <c r="Y611" s="30" t="str">
        <f t="shared" si="35"/>
        <v>2122</v>
      </c>
      <c r="Z611" s="30" t="str">
        <f>VLOOKUP(MONTH(G611),Key!$F$3:$G$14,2,0)</f>
        <v>May</v>
      </c>
    </row>
    <row r="612" spans="2:26" x14ac:dyDescent="0.5">
      <c r="B612" s="30">
        <v>320</v>
      </c>
      <c r="C612" s="30" t="s">
        <v>738</v>
      </c>
      <c r="D612" s="31">
        <v>212261</v>
      </c>
      <c r="E612" s="30" t="s">
        <v>739</v>
      </c>
      <c r="F612" s="53" t="s">
        <v>308</v>
      </c>
      <c r="G612" s="32">
        <v>44339</v>
      </c>
      <c r="H612" s="33">
        <v>0.44253472222222223</v>
      </c>
      <c r="I612" s="30" t="s">
        <v>96</v>
      </c>
      <c r="J612" s="34">
        <v>4062620</v>
      </c>
      <c r="K612" s="35" t="s">
        <v>17</v>
      </c>
      <c r="L612" s="36">
        <v>730800</v>
      </c>
      <c r="M612" s="30" t="s">
        <v>701</v>
      </c>
      <c r="N612" s="30" t="s">
        <v>41</v>
      </c>
      <c r="O612" s="60"/>
      <c r="Q612" s="30" t="str">
        <f t="shared" si="30"/>
        <v>SM</v>
      </c>
      <c r="R612" s="30" t="str">
        <f t="shared" si="31"/>
        <v>CM</v>
      </c>
      <c r="S612" s="30" t="str">
        <f>VLOOKUP(M612,'Data - Employee Rights Master'!$C$3:$D$32,2,0)</f>
        <v>SM</v>
      </c>
      <c r="T612" s="30" t="str">
        <f>VLOOKUP(N612,'Data - Employee Rights Master'!$C$3:$D$32,2,0)</f>
        <v>CM</v>
      </c>
      <c r="U612" s="30" t="str">
        <f t="shared" si="32"/>
        <v>PASS</v>
      </c>
      <c r="V612" s="30" t="str">
        <f>VLOOKUP(WEEKDAY(G612),Key!$B$3:$C$9,2,0)</f>
        <v>Sunday</v>
      </c>
      <c r="W612" s="42" t="str">
        <f t="shared" si="33"/>
        <v>Within</v>
      </c>
      <c r="X612" s="30" t="str">
        <f t="shared" si="34"/>
        <v>Red Flag</v>
      </c>
      <c r="Y612" s="30" t="str">
        <f t="shared" si="35"/>
        <v>2122</v>
      </c>
      <c r="Z612" s="30" t="str">
        <f>VLOOKUP(MONTH(G612),Key!$F$3:$G$14,2,0)</f>
        <v>May</v>
      </c>
    </row>
    <row r="613" spans="2:26" x14ac:dyDescent="0.5">
      <c r="B613" s="30">
        <v>321</v>
      </c>
      <c r="C613" s="30" t="s">
        <v>740</v>
      </c>
      <c r="D613" s="31">
        <v>212262</v>
      </c>
      <c r="E613" s="30" t="s">
        <v>741</v>
      </c>
      <c r="F613" s="53" t="s">
        <v>308</v>
      </c>
      <c r="G613" s="32">
        <v>44338</v>
      </c>
      <c r="H613" s="33">
        <v>0.81618055555555558</v>
      </c>
      <c r="I613" s="30" t="s">
        <v>96</v>
      </c>
      <c r="J613" s="34">
        <v>4672170</v>
      </c>
      <c r="K613" s="35" t="s">
        <v>17</v>
      </c>
      <c r="L613" s="36">
        <v>840780</v>
      </c>
      <c r="M613" s="30" t="s">
        <v>41</v>
      </c>
      <c r="N613" s="30" t="s">
        <v>42</v>
      </c>
      <c r="O613" s="60"/>
      <c r="Q613" s="30" t="str">
        <f t="shared" si="30"/>
        <v>CM</v>
      </c>
      <c r="R613" s="30" t="str">
        <f t="shared" si="31"/>
        <v>CFO</v>
      </c>
      <c r="S613" s="30" t="str">
        <f>VLOOKUP(M613,'Data - Employee Rights Master'!$C$3:$D$32,2,0)</f>
        <v>CM</v>
      </c>
      <c r="T613" s="30" t="str">
        <f>VLOOKUP(N613,'Data - Employee Rights Master'!$C$3:$D$32,2,0)</f>
        <v>CFO</v>
      </c>
      <c r="U613" s="30" t="str">
        <f t="shared" si="32"/>
        <v>PASS</v>
      </c>
      <c r="V613" s="30" t="str">
        <f>VLOOKUP(WEEKDAY(G613),Key!$B$3:$C$9,2,0)</f>
        <v>Saturday</v>
      </c>
      <c r="W613" s="42" t="str">
        <f t="shared" si="33"/>
        <v>Outside</v>
      </c>
      <c r="X613" s="30" t="str">
        <f t="shared" si="34"/>
        <v>Red Flag</v>
      </c>
      <c r="Y613" s="30" t="str">
        <f t="shared" si="35"/>
        <v>2122</v>
      </c>
      <c r="Z613" s="30" t="str">
        <f>VLOOKUP(MONTH(G613),Key!$F$3:$G$14,2,0)</f>
        <v>May</v>
      </c>
    </row>
    <row r="614" spans="2:26" x14ac:dyDescent="0.5">
      <c r="B614" s="30">
        <v>328</v>
      </c>
      <c r="C614" s="30" t="s">
        <v>754</v>
      </c>
      <c r="D614" s="31">
        <v>212269</v>
      </c>
      <c r="E614" s="30" t="s">
        <v>755</v>
      </c>
      <c r="F614" s="53" t="s">
        <v>577</v>
      </c>
      <c r="G614" s="32">
        <v>44345</v>
      </c>
      <c r="H614" s="33">
        <v>0.82333333333333336</v>
      </c>
      <c r="I614" s="30" t="s">
        <v>96</v>
      </c>
      <c r="J614" s="34">
        <v>4611710</v>
      </c>
      <c r="K614" s="35" t="s">
        <v>17</v>
      </c>
      <c r="L614" s="36">
        <v>829800</v>
      </c>
      <c r="M614" s="30" t="s">
        <v>41</v>
      </c>
      <c r="N614" s="30" t="s">
        <v>42</v>
      </c>
      <c r="O614" s="60"/>
      <c r="Q614" s="30" t="str">
        <f t="shared" si="30"/>
        <v>CM</v>
      </c>
      <c r="R614" s="30" t="str">
        <f t="shared" si="31"/>
        <v>CFO</v>
      </c>
      <c r="S614" s="30" t="str">
        <f>VLOOKUP(M614,'Data - Employee Rights Master'!$C$3:$D$32,2,0)</f>
        <v>CM</v>
      </c>
      <c r="T614" s="30" t="str">
        <f>VLOOKUP(N614,'Data - Employee Rights Master'!$C$3:$D$32,2,0)</f>
        <v>CFO</v>
      </c>
      <c r="U614" s="30" t="str">
        <f t="shared" si="32"/>
        <v>PASS</v>
      </c>
      <c r="V614" s="30" t="str">
        <f>VLOOKUP(WEEKDAY(G614),Key!$B$3:$C$9,2,0)</f>
        <v>Saturday</v>
      </c>
      <c r="W614" s="42" t="str">
        <f t="shared" si="33"/>
        <v>Outside</v>
      </c>
      <c r="X614" s="30" t="str">
        <f t="shared" si="34"/>
        <v>Red Flag</v>
      </c>
      <c r="Y614" s="30" t="str">
        <f t="shared" si="35"/>
        <v>2122</v>
      </c>
      <c r="Z614" s="30" t="str">
        <f>VLOOKUP(MONTH(G614),Key!$F$3:$G$14,2,0)</f>
        <v>May</v>
      </c>
    </row>
    <row r="615" spans="2:26" x14ac:dyDescent="0.5">
      <c r="B615" s="30">
        <v>335</v>
      </c>
      <c r="C615" s="30" t="s">
        <v>768</v>
      </c>
      <c r="D615" s="31">
        <v>212276</v>
      </c>
      <c r="E615" s="30" t="s">
        <v>769</v>
      </c>
      <c r="F615" s="53" t="s">
        <v>577</v>
      </c>
      <c r="G615" s="32">
        <v>44353</v>
      </c>
      <c r="H615" s="33">
        <v>0.57105324074074071</v>
      </c>
      <c r="I615" s="30" t="s">
        <v>163</v>
      </c>
      <c r="J615" s="34">
        <v>4080130</v>
      </c>
      <c r="K615" s="35" t="s">
        <v>17</v>
      </c>
      <c r="L615" s="36">
        <v>734400</v>
      </c>
      <c r="M615" s="30" t="s">
        <v>69</v>
      </c>
      <c r="N615" s="30" t="s">
        <v>41</v>
      </c>
      <c r="O615" s="60"/>
      <c r="Q615" s="30" t="str">
        <f t="shared" si="30"/>
        <v>SM</v>
      </c>
      <c r="R615" s="30" t="str">
        <f t="shared" si="31"/>
        <v>CM</v>
      </c>
      <c r="S615" s="30" t="str">
        <f>VLOOKUP(M615,'Data - Employee Rights Master'!$C$3:$D$32,2,0)</f>
        <v>SM</v>
      </c>
      <c r="T615" s="30" t="str">
        <f>VLOOKUP(N615,'Data - Employee Rights Master'!$C$3:$D$32,2,0)</f>
        <v>CM</v>
      </c>
      <c r="U615" s="30" t="str">
        <f t="shared" si="32"/>
        <v>PASS</v>
      </c>
      <c r="V615" s="30" t="str">
        <f>VLOOKUP(WEEKDAY(G615),Key!$B$3:$C$9,2,0)</f>
        <v>Sunday</v>
      </c>
      <c r="W615" s="42" t="str">
        <f t="shared" si="33"/>
        <v>Within</v>
      </c>
      <c r="X615" s="30" t="str">
        <f t="shared" si="34"/>
        <v>Red Flag</v>
      </c>
      <c r="Y615" s="30" t="str">
        <f t="shared" si="35"/>
        <v>2122</v>
      </c>
      <c r="Z615" s="30" t="str">
        <f>VLOOKUP(MONTH(G615),Key!$F$3:$G$14,2,0)</f>
        <v>Jun</v>
      </c>
    </row>
    <row r="616" spans="2:26" x14ac:dyDescent="0.5">
      <c r="B616" s="30">
        <v>349</v>
      </c>
      <c r="C616" s="30" t="s">
        <v>796</v>
      </c>
      <c r="D616" s="31">
        <v>212290</v>
      </c>
      <c r="E616" s="30" t="s">
        <v>797</v>
      </c>
      <c r="F616" s="53" t="s">
        <v>308</v>
      </c>
      <c r="G616" s="32">
        <v>44373</v>
      </c>
      <c r="H616" s="33">
        <v>0.81437500000000007</v>
      </c>
      <c r="I616" s="30" t="s">
        <v>163</v>
      </c>
      <c r="J616" s="34">
        <v>4330520</v>
      </c>
      <c r="K616" s="35" t="s">
        <v>17</v>
      </c>
      <c r="L616" s="36">
        <v>779400</v>
      </c>
      <c r="M616" s="30" t="s">
        <v>701</v>
      </c>
      <c r="N616" s="30" t="s">
        <v>41</v>
      </c>
      <c r="O616" s="60"/>
      <c r="Q616" s="30" t="str">
        <f t="shared" si="30"/>
        <v>SM</v>
      </c>
      <c r="R616" s="30" t="str">
        <f t="shared" si="31"/>
        <v>CM</v>
      </c>
      <c r="S616" s="30" t="str">
        <f>VLOOKUP(M616,'Data - Employee Rights Master'!$C$3:$D$32,2,0)</f>
        <v>SM</v>
      </c>
      <c r="T616" s="30" t="str">
        <f>VLOOKUP(N616,'Data - Employee Rights Master'!$C$3:$D$32,2,0)</f>
        <v>CM</v>
      </c>
      <c r="U616" s="30" t="str">
        <f t="shared" si="32"/>
        <v>PASS</v>
      </c>
      <c r="V616" s="30" t="str">
        <f>VLOOKUP(WEEKDAY(G616),Key!$B$3:$C$9,2,0)</f>
        <v>Saturday</v>
      </c>
      <c r="W616" s="42" t="str">
        <f t="shared" si="33"/>
        <v>Outside</v>
      </c>
      <c r="X616" s="30" t="str">
        <f t="shared" si="34"/>
        <v>Red Flag</v>
      </c>
      <c r="Y616" s="30" t="str">
        <f t="shared" si="35"/>
        <v>2122</v>
      </c>
      <c r="Z616" s="30" t="str">
        <f>VLOOKUP(MONTH(G616),Key!$F$3:$G$14,2,0)</f>
        <v>Jun</v>
      </c>
    </row>
    <row r="617" spans="2:26" x14ac:dyDescent="0.5">
      <c r="B617" s="30">
        <v>353</v>
      </c>
      <c r="C617" s="30" t="s">
        <v>804</v>
      </c>
      <c r="D617" s="31">
        <v>212294</v>
      </c>
      <c r="E617" s="30" t="s">
        <v>805</v>
      </c>
      <c r="F617" s="53" t="s">
        <v>577</v>
      </c>
      <c r="G617" s="32">
        <v>44381</v>
      </c>
      <c r="H617" s="33">
        <v>0.49063657407407407</v>
      </c>
      <c r="I617" s="30" t="s">
        <v>216</v>
      </c>
      <c r="J617" s="34">
        <v>4673740</v>
      </c>
      <c r="K617" s="35" t="s">
        <v>17</v>
      </c>
      <c r="L617" s="36">
        <v>841140</v>
      </c>
      <c r="M617" s="30" t="s">
        <v>41</v>
      </c>
      <c r="N617" s="30" t="s">
        <v>42</v>
      </c>
      <c r="O617" s="60"/>
      <c r="Q617" s="30" t="str">
        <f t="shared" si="30"/>
        <v>CM</v>
      </c>
      <c r="R617" s="30" t="str">
        <f t="shared" si="31"/>
        <v>CFO</v>
      </c>
      <c r="S617" s="30" t="str">
        <f>VLOOKUP(M617,'Data - Employee Rights Master'!$C$3:$D$32,2,0)</f>
        <v>CM</v>
      </c>
      <c r="T617" s="30" t="str">
        <f>VLOOKUP(N617,'Data - Employee Rights Master'!$C$3:$D$32,2,0)</f>
        <v>CFO</v>
      </c>
      <c r="U617" s="30" t="str">
        <f t="shared" si="32"/>
        <v>PASS</v>
      </c>
      <c r="V617" s="30" t="str">
        <f>VLOOKUP(WEEKDAY(G617),Key!$B$3:$C$9,2,0)</f>
        <v>Sunday</v>
      </c>
      <c r="W617" s="42" t="str">
        <f t="shared" si="33"/>
        <v>Within</v>
      </c>
      <c r="X617" s="30" t="str">
        <f t="shared" si="34"/>
        <v>Red Flag</v>
      </c>
      <c r="Y617" s="30" t="str">
        <f t="shared" si="35"/>
        <v>2122</v>
      </c>
      <c r="Z617" s="30" t="str">
        <f>VLOOKUP(MONTH(G617),Key!$F$3:$G$14,2,0)</f>
        <v>Jul</v>
      </c>
    </row>
    <row r="618" spans="2:26" x14ac:dyDescent="0.5">
      <c r="B618" s="30">
        <v>363</v>
      </c>
      <c r="C618" s="30" t="s">
        <v>824</v>
      </c>
      <c r="D618" s="31">
        <v>2122104</v>
      </c>
      <c r="E618" s="30" t="s">
        <v>825</v>
      </c>
      <c r="F618" s="53" t="s">
        <v>308</v>
      </c>
      <c r="G618" s="32">
        <v>44388</v>
      </c>
      <c r="H618" s="33">
        <v>0.50436342592592587</v>
      </c>
      <c r="I618" s="30" t="s">
        <v>216</v>
      </c>
      <c r="J618" s="34">
        <v>4059510</v>
      </c>
      <c r="K618" s="35" t="s">
        <v>17</v>
      </c>
      <c r="L618" s="36">
        <v>730440</v>
      </c>
      <c r="M618" s="30" t="s">
        <v>701</v>
      </c>
      <c r="N618" s="30" t="s">
        <v>41</v>
      </c>
      <c r="O618" s="60"/>
      <c r="Q618" s="30" t="str">
        <f t="shared" si="30"/>
        <v>SM</v>
      </c>
      <c r="R618" s="30" t="str">
        <f t="shared" si="31"/>
        <v>CM</v>
      </c>
      <c r="S618" s="30" t="str">
        <f>VLOOKUP(M618,'Data - Employee Rights Master'!$C$3:$D$32,2,0)</f>
        <v>SM</v>
      </c>
      <c r="T618" s="30" t="str">
        <f>VLOOKUP(N618,'Data - Employee Rights Master'!$C$3:$D$32,2,0)</f>
        <v>CM</v>
      </c>
      <c r="U618" s="30" t="str">
        <f t="shared" si="32"/>
        <v>PASS</v>
      </c>
      <c r="V618" s="30" t="str">
        <f>VLOOKUP(WEEKDAY(G618),Key!$B$3:$C$9,2,0)</f>
        <v>Sunday</v>
      </c>
      <c r="W618" s="42" t="str">
        <f t="shared" si="33"/>
        <v>Within</v>
      </c>
      <c r="X618" s="30" t="str">
        <f t="shared" si="34"/>
        <v>Red Flag</v>
      </c>
      <c r="Y618" s="30" t="str">
        <f t="shared" si="35"/>
        <v>2122</v>
      </c>
      <c r="Z618" s="30" t="str">
        <f>VLOOKUP(MONTH(G618),Key!$F$3:$G$14,2,0)</f>
        <v>Jul</v>
      </c>
    </row>
    <row r="619" spans="2:26" x14ac:dyDescent="0.5">
      <c r="B619" s="30">
        <v>379</v>
      </c>
      <c r="C619" s="30" t="s">
        <v>856</v>
      </c>
      <c r="D619" s="31">
        <v>2122120</v>
      </c>
      <c r="E619" s="30" t="s">
        <v>857</v>
      </c>
      <c r="F619" s="53" t="s">
        <v>308</v>
      </c>
      <c r="G619" s="32">
        <v>44395</v>
      </c>
      <c r="H619" s="33">
        <v>0.50341664780436945</v>
      </c>
      <c r="I619" s="30" t="s">
        <v>216</v>
      </c>
      <c r="J619" s="34">
        <v>4211080</v>
      </c>
      <c r="K619" s="35" t="s">
        <v>17</v>
      </c>
      <c r="L619" s="36">
        <v>757800</v>
      </c>
      <c r="M619" s="30" t="s">
        <v>69</v>
      </c>
      <c r="N619" s="30" t="s">
        <v>41</v>
      </c>
      <c r="O619" s="60"/>
      <c r="Q619" s="30" t="str">
        <f t="shared" si="30"/>
        <v>SM</v>
      </c>
      <c r="R619" s="30" t="str">
        <f t="shared" si="31"/>
        <v>CM</v>
      </c>
      <c r="S619" s="30" t="str">
        <f>VLOOKUP(M619,'Data - Employee Rights Master'!$C$3:$D$32,2,0)</f>
        <v>SM</v>
      </c>
      <c r="T619" s="30" t="str">
        <f>VLOOKUP(N619,'Data - Employee Rights Master'!$C$3:$D$32,2,0)</f>
        <v>CM</v>
      </c>
      <c r="U619" s="30" t="str">
        <f t="shared" si="32"/>
        <v>PASS</v>
      </c>
      <c r="V619" s="30" t="str">
        <f>VLOOKUP(WEEKDAY(G619),Key!$B$3:$C$9,2,0)</f>
        <v>Sunday</v>
      </c>
      <c r="W619" s="42" t="str">
        <f t="shared" si="33"/>
        <v>Within</v>
      </c>
      <c r="X619" s="30" t="str">
        <f t="shared" si="34"/>
        <v>Red Flag</v>
      </c>
      <c r="Y619" s="30" t="str">
        <f t="shared" si="35"/>
        <v>2122</v>
      </c>
      <c r="Z619" s="30" t="str">
        <f>VLOOKUP(MONTH(G619),Key!$F$3:$G$14,2,0)</f>
        <v>Jul</v>
      </c>
    </row>
    <row r="620" spans="2:26" x14ac:dyDescent="0.5">
      <c r="B620" s="30">
        <v>394</v>
      </c>
      <c r="C620" s="30" t="s">
        <v>885</v>
      </c>
      <c r="D620" s="31">
        <v>2122135</v>
      </c>
      <c r="E620" s="30" t="s">
        <v>886</v>
      </c>
      <c r="F620" s="53" t="s">
        <v>308</v>
      </c>
      <c r="G620" s="32">
        <v>44415</v>
      </c>
      <c r="H620" s="33">
        <v>0.80775462962962974</v>
      </c>
      <c r="I620" s="30" t="s">
        <v>277</v>
      </c>
      <c r="J620" s="34">
        <v>4250210</v>
      </c>
      <c r="K620" s="35" t="s">
        <v>17</v>
      </c>
      <c r="L620" s="36">
        <v>764820</v>
      </c>
      <c r="M620" s="30" t="s">
        <v>701</v>
      </c>
      <c r="N620" s="30" t="s">
        <v>41</v>
      </c>
      <c r="O620" s="60"/>
      <c r="Q620" s="30" t="str">
        <f t="shared" si="30"/>
        <v>SM</v>
      </c>
      <c r="R620" s="30" t="str">
        <f t="shared" si="31"/>
        <v>CM</v>
      </c>
      <c r="S620" s="30" t="str">
        <f>VLOOKUP(M620,'Data - Employee Rights Master'!$C$3:$D$32,2,0)</f>
        <v>SM</v>
      </c>
      <c r="T620" s="30" t="str">
        <f>VLOOKUP(N620,'Data - Employee Rights Master'!$C$3:$D$32,2,0)</f>
        <v>CM</v>
      </c>
      <c r="U620" s="30" t="str">
        <f t="shared" si="32"/>
        <v>PASS</v>
      </c>
      <c r="V620" s="30" t="str">
        <f>VLOOKUP(WEEKDAY(G620),Key!$B$3:$C$9,2,0)</f>
        <v>Saturday</v>
      </c>
      <c r="W620" s="42" t="str">
        <f t="shared" si="33"/>
        <v>Outside</v>
      </c>
      <c r="X620" s="30" t="str">
        <f t="shared" si="34"/>
        <v>Red Flag</v>
      </c>
      <c r="Y620" s="30" t="str">
        <f t="shared" si="35"/>
        <v>2122</v>
      </c>
      <c r="Z620" s="30" t="str">
        <f>VLOOKUP(MONTH(G620),Key!$F$3:$G$14,2,0)</f>
        <v>Aug</v>
      </c>
    </row>
    <row r="621" spans="2:26" x14ac:dyDescent="0.5">
      <c r="B621" s="30">
        <v>407</v>
      </c>
      <c r="C621" s="30" t="s">
        <v>911</v>
      </c>
      <c r="D621" s="31">
        <v>2122148</v>
      </c>
      <c r="E621" s="30" t="s">
        <v>912</v>
      </c>
      <c r="F621" s="53" t="s">
        <v>111</v>
      </c>
      <c r="G621" s="32">
        <v>44423</v>
      </c>
      <c r="H621" s="33">
        <v>0.46967499174840938</v>
      </c>
      <c r="I621" s="30" t="s">
        <v>277</v>
      </c>
      <c r="J621" s="34">
        <v>4927020</v>
      </c>
      <c r="K621" s="35" t="s">
        <v>17</v>
      </c>
      <c r="L621" s="36">
        <v>886500</v>
      </c>
      <c r="M621" s="30" t="s">
        <v>41</v>
      </c>
      <c r="N621" s="30" t="s">
        <v>42</v>
      </c>
      <c r="O621" s="60"/>
      <c r="Q621" s="30" t="str">
        <f t="shared" si="30"/>
        <v>CM</v>
      </c>
      <c r="R621" s="30" t="str">
        <f t="shared" si="31"/>
        <v>CFO</v>
      </c>
      <c r="S621" s="30" t="str">
        <f>VLOOKUP(M621,'Data - Employee Rights Master'!$C$3:$D$32,2,0)</f>
        <v>CM</v>
      </c>
      <c r="T621" s="30" t="str">
        <f>VLOOKUP(N621,'Data - Employee Rights Master'!$C$3:$D$32,2,0)</f>
        <v>CFO</v>
      </c>
      <c r="U621" s="30" t="str">
        <f t="shared" si="32"/>
        <v>PASS</v>
      </c>
      <c r="V621" s="30" t="str">
        <f>VLOOKUP(WEEKDAY(G621),Key!$B$3:$C$9,2,0)</f>
        <v>Sunday</v>
      </c>
      <c r="W621" s="42" t="str">
        <f t="shared" si="33"/>
        <v>Within</v>
      </c>
      <c r="X621" s="30" t="str">
        <f t="shared" si="34"/>
        <v>Red Flag</v>
      </c>
      <c r="Y621" s="30" t="str">
        <f t="shared" si="35"/>
        <v>2122</v>
      </c>
      <c r="Z621" s="30" t="str">
        <f>VLOOKUP(MONTH(G621),Key!$F$3:$G$14,2,0)</f>
        <v>Aug</v>
      </c>
    </row>
    <row r="622" spans="2:26" x14ac:dyDescent="0.5">
      <c r="B622" s="30">
        <v>422</v>
      </c>
      <c r="C622" s="30" t="s">
        <v>942</v>
      </c>
      <c r="D622" s="31">
        <v>2122163</v>
      </c>
      <c r="E622" s="30" t="s">
        <v>943</v>
      </c>
      <c r="F622" s="53" t="s">
        <v>378</v>
      </c>
      <c r="G622" s="32">
        <v>44429</v>
      </c>
      <c r="H622" s="33">
        <v>0.82451388888888888</v>
      </c>
      <c r="I622" s="30" t="s">
        <v>277</v>
      </c>
      <c r="J622" s="34">
        <v>4728180</v>
      </c>
      <c r="K622" s="35" t="s">
        <v>17</v>
      </c>
      <c r="L622" s="36">
        <v>851040</v>
      </c>
      <c r="M622" s="30" t="s">
        <v>41</v>
      </c>
      <c r="N622" s="30" t="s">
        <v>42</v>
      </c>
      <c r="O622" s="60"/>
      <c r="Q622" s="30" t="str">
        <f t="shared" si="30"/>
        <v>CM</v>
      </c>
      <c r="R622" s="30" t="str">
        <f t="shared" si="31"/>
        <v>CFO</v>
      </c>
      <c r="S622" s="30" t="str">
        <f>VLOOKUP(M622,'Data - Employee Rights Master'!$C$3:$D$32,2,0)</f>
        <v>CM</v>
      </c>
      <c r="T622" s="30" t="str">
        <f>VLOOKUP(N622,'Data - Employee Rights Master'!$C$3:$D$32,2,0)</f>
        <v>CFO</v>
      </c>
      <c r="U622" s="30" t="str">
        <f t="shared" si="32"/>
        <v>PASS</v>
      </c>
      <c r="V622" s="30" t="str">
        <f>VLOOKUP(WEEKDAY(G622),Key!$B$3:$C$9,2,0)</f>
        <v>Saturday</v>
      </c>
      <c r="W622" s="42" t="str">
        <f t="shared" si="33"/>
        <v>Outside</v>
      </c>
      <c r="X622" s="30" t="str">
        <f t="shared" si="34"/>
        <v>Red Flag</v>
      </c>
      <c r="Y622" s="30" t="str">
        <f t="shared" si="35"/>
        <v>2122</v>
      </c>
      <c r="Z622" s="30" t="str">
        <f>VLOOKUP(MONTH(G622),Key!$F$3:$G$14,2,0)</f>
        <v>Aug</v>
      </c>
    </row>
    <row r="623" spans="2:26" x14ac:dyDescent="0.5">
      <c r="B623" s="30">
        <v>430</v>
      </c>
      <c r="C623" s="30" t="s">
        <v>958</v>
      </c>
      <c r="D623" s="31">
        <v>2122171</v>
      </c>
      <c r="E623" s="30" t="s">
        <v>959</v>
      </c>
      <c r="F623" s="53" t="s">
        <v>241</v>
      </c>
      <c r="G623" s="32">
        <v>44443</v>
      </c>
      <c r="H623" s="33">
        <v>0.8194907407407408</v>
      </c>
      <c r="I623" s="30" t="s">
        <v>321</v>
      </c>
      <c r="J623" s="34">
        <v>4497060</v>
      </c>
      <c r="K623" s="35" t="s">
        <v>17</v>
      </c>
      <c r="L623" s="36">
        <v>809100</v>
      </c>
      <c r="M623" s="30" t="s">
        <v>69</v>
      </c>
      <c r="N623" s="30" t="s">
        <v>41</v>
      </c>
      <c r="O623" s="60"/>
      <c r="Q623" s="30" t="str">
        <f t="shared" si="30"/>
        <v>SM</v>
      </c>
      <c r="R623" s="30" t="str">
        <f t="shared" si="31"/>
        <v>CM</v>
      </c>
      <c r="S623" s="30" t="str">
        <f>VLOOKUP(M623,'Data - Employee Rights Master'!$C$3:$D$32,2,0)</f>
        <v>SM</v>
      </c>
      <c r="T623" s="30" t="str">
        <f>VLOOKUP(N623,'Data - Employee Rights Master'!$C$3:$D$32,2,0)</f>
        <v>CM</v>
      </c>
      <c r="U623" s="30" t="str">
        <f t="shared" si="32"/>
        <v>PASS</v>
      </c>
      <c r="V623" s="30" t="str">
        <f>VLOOKUP(WEEKDAY(G623),Key!$B$3:$C$9,2,0)</f>
        <v>Saturday</v>
      </c>
      <c r="W623" s="42" t="str">
        <f t="shared" si="33"/>
        <v>Outside</v>
      </c>
      <c r="X623" s="30" t="str">
        <f t="shared" si="34"/>
        <v>Red Flag</v>
      </c>
      <c r="Y623" s="30" t="str">
        <f t="shared" si="35"/>
        <v>2122</v>
      </c>
      <c r="Z623" s="30" t="str">
        <f>VLOOKUP(MONTH(G623),Key!$F$3:$G$14,2,0)</f>
        <v>Sep</v>
      </c>
    </row>
    <row r="624" spans="2:26" x14ac:dyDescent="0.5">
      <c r="B624" s="30">
        <v>433</v>
      </c>
      <c r="C624" s="30" t="s">
        <v>964</v>
      </c>
      <c r="D624" s="31">
        <v>2122174</v>
      </c>
      <c r="E624" s="30" t="s">
        <v>965</v>
      </c>
      <c r="F624" s="53" t="s">
        <v>378</v>
      </c>
      <c r="G624" s="32">
        <v>44450</v>
      </c>
      <c r="H624" s="33">
        <v>0.82313657407407403</v>
      </c>
      <c r="I624" s="30" t="s">
        <v>321</v>
      </c>
      <c r="J624" s="34">
        <v>4648620</v>
      </c>
      <c r="K624" s="35" t="s">
        <v>17</v>
      </c>
      <c r="L624" s="36">
        <v>836280</v>
      </c>
      <c r="M624" s="30" t="s">
        <v>41</v>
      </c>
      <c r="N624" s="30" t="s">
        <v>42</v>
      </c>
      <c r="O624" s="60"/>
      <c r="Q624" s="30" t="str">
        <f t="shared" si="30"/>
        <v>CM</v>
      </c>
      <c r="R624" s="30" t="str">
        <f t="shared" si="31"/>
        <v>CFO</v>
      </c>
      <c r="S624" s="30" t="str">
        <f>VLOOKUP(M624,'Data - Employee Rights Master'!$C$3:$D$32,2,0)</f>
        <v>CM</v>
      </c>
      <c r="T624" s="30" t="str">
        <f>VLOOKUP(N624,'Data - Employee Rights Master'!$C$3:$D$32,2,0)</f>
        <v>CFO</v>
      </c>
      <c r="U624" s="30" t="str">
        <f t="shared" si="32"/>
        <v>PASS</v>
      </c>
      <c r="V624" s="30" t="str">
        <f>VLOOKUP(WEEKDAY(G624),Key!$B$3:$C$9,2,0)</f>
        <v>Saturday</v>
      </c>
      <c r="W624" s="42" t="str">
        <f t="shared" si="33"/>
        <v>Outside</v>
      </c>
      <c r="X624" s="30" t="str">
        <f t="shared" si="34"/>
        <v>Red Flag</v>
      </c>
      <c r="Y624" s="30" t="str">
        <f t="shared" si="35"/>
        <v>2122</v>
      </c>
      <c r="Z624" s="30" t="str">
        <f>VLOOKUP(MONTH(G624),Key!$F$3:$G$14,2,0)</f>
        <v>Sep</v>
      </c>
    </row>
    <row r="625" spans="2:26" x14ac:dyDescent="0.5">
      <c r="B625" s="30">
        <v>434</v>
      </c>
      <c r="C625" s="30" t="s">
        <v>966</v>
      </c>
      <c r="D625" s="31">
        <v>2122175</v>
      </c>
      <c r="E625" s="30" t="s">
        <v>967</v>
      </c>
      <c r="F625" s="53" t="s">
        <v>378</v>
      </c>
      <c r="G625" s="32">
        <v>44457</v>
      </c>
      <c r="H625" s="33">
        <v>0.8291087962962963</v>
      </c>
      <c r="I625" s="30" t="s">
        <v>321</v>
      </c>
      <c r="J625" s="34">
        <v>4232840</v>
      </c>
      <c r="K625" s="35" t="s">
        <v>17</v>
      </c>
      <c r="L625" s="36">
        <v>761580</v>
      </c>
      <c r="M625" s="30" t="s">
        <v>69</v>
      </c>
      <c r="N625" s="30" t="s">
        <v>41</v>
      </c>
      <c r="O625" s="60"/>
      <c r="Q625" s="30" t="str">
        <f t="shared" si="30"/>
        <v>SM</v>
      </c>
      <c r="R625" s="30" t="str">
        <f t="shared" si="31"/>
        <v>CM</v>
      </c>
      <c r="S625" s="30" t="str">
        <f>VLOOKUP(M625,'Data - Employee Rights Master'!$C$3:$D$32,2,0)</f>
        <v>SM</v>
      </c>
      <c r="T625" s="30" t="str">
        <f>VLOOKUP(N625,'Data - Employee Rights Master'!$C$3:$D$32,2,0)</f>
        <v>CM</v>
      </c>
      <c r="U625" s="30" t="str">
        <f t="shared" si="32"/>
        <v>PASS</v>
      </c>
      <c r="V625" s="30" t="str">
        <f>VLOOKUP(WEEKDAY(G625),Key!$B$3:$C$9,2,0)</f>
        <v>Saturday</v>
      </c>
      <c r="W625" s="42" t="str">
        <f t="shared" si="33"/>
        <v>Outside</v>
      </c>
      <c r="X625" s="30" t="str">
        <f t="shared" si="34"/>
        <v>Red Flag</v>
      </c>
      <c r="Y625" s="30" t="str">
        <f t="shared" si="35"/>
        <v>2122</v>
      </c>
      <c r="Z625" s="30" t="str">
        <f>VLOOKUP(MONTH(G625),Key!$F$3:$G$14,2,0)</f>
        <v>Sep</v>
      </c>
    </row>
    <row r="626" spans="2:26" x14ac:dyDescent="0.5">
      <c r="B626" s="30">
        <v>468</v>
      </c>
      <c r="C626" s="30" t="s">
        <v>1033</v>
      </c>
      <c r="D626" s="31">
        <v>2122209</v>
      </c>
      <c r="E626" s="30" t="s">
        <v>1034</v>
      </c>
      <c r="F626" s="53" t="s">
        <v>577</v>
      </c>
      <c r="G626" s="32">
        <v>44506</v>
      </c>
      <c r="H626" s="33">
        <v>0.8291898148148148</v>
      </c>
      <c r="I626" s="30" t="s">
        <v>428</v>
      </c>
      <c r="J626" s="34">
        <v>4817700</v>
      </c>
      <c r="K626" s="35" t="s">
        <v>17</v>
      </c>
      <c r="L626" s="36">
        <v>866700</v>
      </c>
      <c r="M626" s="30" t="s">
        <v>41</v>
      </c>
      <c r="N626" s="30" t="s">
        <v>42</v>
      </c>
      <c r="O626" s="60"/>
      <c r="Q626" s="30" t="str">
        <f t="shared" si="30"/>
        <v>CM</v>
      </c>
      <c r="R626" s="30" t="str">
        <f t="shared" si="31"/>
        <v>CFO</v>
      </c>
      <c r="S626" s="30" t="str">
        <f>VLOOKUP(M626,'Data - Employee Rights Master'!$C$3:$D$32,2,0)</f>
        <v>CM</v>
      </c>
      <c r="T626" s="30" t="str">
        <f>VLOOKUP(N626,'Data - Employee Rights Master'!$C$3:$D$32,2,0)</f>
        <v>CFO</v>
      </c>
      <c r="U626" s="30" t="str">
        <f t="shared" si="32"/>
        <v>PASS</v>
      </c>
      <c r="V626" s="30" t="str">
        <f>VLOOKUP(WEEKDAY(G626),Key!$B$3:$C$9,2,0)</f>
        <v>Saturday</v>
      </c>
      <c r="W626" s="42" t="str">
        <f t="shared" si="33"/>
        <v>Outside</v>
      </c>
      <c r="X626" s="30" t="str">
        <f t="shared" si="34"/>
        <v>Red Flag</v>
      </c>
      <c r="Y626" s="30" t="str">
        <f t="shared" si="35"/>
        <v>2122</v>
      </c>
      <c r="Z626" s="30" t="str">
        <f>VLOOKUP(MONTH(G626),Key!$F$3:$G$14,2,0)</f>
        <v>Nov</v>
      </c>
    </row>
    <row r="627" spans="2:26" x14ac:dyDescent="0.5">
      <c r="B627" s="30">
        <v>472</v>
      </c>
      <c r="C627" s="30" t="s">
        <v>1040</v>
      </c>
      <c r="D627" s="31">
        <v>2122213</v>
      </c>
      <c r="E627" s="30" t="s">
        <v>1041</v>
      </c>
      <c r="F627" s="53" t="s">
        <v>111</v>
      </c>
      <c r="G627" s="32">
        <v>44507</v>
      </c>
      <c r="H627" s="33">
        <v>0.54517361111111107</v>
      </c>
      <c r="I627" s="30" t="s">
        <v>428</v>
      </c>
      <c r="J627" s="34">
        <v>4275330</v>
      </c>
      <c r="K627" s="35" t="s">
        <v>17</v>
      </c>
      <c r="L627" s="36">
        <v>769500</v>
      </c>
      <c r="M627" s="30" t="s">
        <v>701</v>
      </c>
      <c r="N627" s="30" t="s">
        <v>41</v>
      </c>
      <c r="O627" s="60"/>
      <c r="Q627" s="30" t="str">
        <f t="shared" si="30"/>
        <v>SM</v>
      </c>
      <c r="R627" s="30" t="str">
        <f t="shared" si="31"/>
        <v>CM</v>
      </c>
      <c r="S627" s="30" t="str">
        <f>VLOOKUP(M627,'Data - Employee Rights Master'!$C$3:$D$32,2,0)</f>
        <v>SM</v>
      </c>
      <c r="T627" s="30" t="str">
        <f>VLOOKUP(N627,'Data - Employee Rights Master'!$C$3:$D$32,2,0)</f>
        <v>CM</v>
      </c>
      <c r="U627" s="30" t="str">
        <f t="shared" si="32"/>
        <v>PASS</v>
      </c>
      <c r="V627" s="30" t="str">
        <f>VLOOKUP(WEEKDAY(G627),Key!$B$3:$C$9,2,0)</f>
        <v>Sunday</v>
      </c>
      <c r="W627" s="42" t="str">
        <f t="shared" si="33"/>
        <v>Within</v>
      </c>
      <c r="X627" s="30" t="str">
        <f t="shared" si="34"/>
        <v>Red Flag</v>
      </c>
      <c r="Y627" s="30" t="str">
        <f t="shared" si="35"/>
        <v>2122</v>
      </c>
      <c r="Z627" s="30" t="str">
        <f>VLOOKUP(MONTH(G627),Key!$F$3:$G$14,2,0)</f>
        <v>Nov</v>
      </c>
    </row>
    <row r="628" spans="2:26" x14ac:dyDescent="0.5">
      <c r="B628" s="30">
        <v>476</v>
      </c>
      <c r="C628" s="30" t="s">
        <v>1048</v>
      </c>
      <c r="D628" s="31">
        <v>2122217</v>
      </c>
      <c r="E628" s="30" t="s">
        <v>1049</v>
      </c>
      <c r="F628" s="53" t="s">
        <v>241</v>
      </c>
      <c r="G628" s="32">
        <v>44514</v>
      </c>
      <c r="H628" s="33">
        <v>0.48401620370370368</v>
      </c>
      <c r="I628" s="30" t="s">
        <v>428</v>
      </c>
      <c r="J628" s="34">
        <v>4441560</v>
      </c>
      <c r="K628" s="35" t="s">
        <v>17</v>
      </c>
      <c r="L628" s="36">
        <v>799200</v>
      </c>
      <c r="M628" s="30" t="s">
        <v>701</v>
      </c>
      <c r="N628" s="30" t="s">
        <v>41</v>
      </c>
      <c r="O628" s="60"/>
      <c r="Q628" s="30" t="str">
        <f t="shared" si="30"/>
        <v>SM</v>
      </c>
      <c r="R628" s="30" t="str">
        <f t="shared" si="31"/>
        <v>CM</v>
      </c>
      <c r="S628" s="30" t="str">
        <f>VLOOKUP(M628,'Data - Employee Rights Master'!$C$3:$D$32,2,0)</f>
        <v>SM</v>
      </c>
      <c r="T628" s="30" t="str">
        <f>VLOOKUP(N628,'Data - Employee Rights Master'!$C$3:$D$32,2,0)</f>
        <v>CM</v>
      </c>
      <c r="U628" s="30" t="str">
        <f t="shared" si="32"/>
        <v>PASS</v>
      </c>
      <c r="V628" s="30" t="str">
        <f>VLOOKUP(WEEKDAY(G628),Key!$B$3:$C$9,2,0)</f>
        <v>Sunday</v>
      </c>
      <c r="W628" s="42" t="str">
        <f t="shared" si="33"/>
        <v>Within</v>
      </c>
      <c r="X628" s="30" t="str">
        <f t="shared" si="34"/>
        <v>Red Flag</v>
      </c>
      <c r="Y628" s="30" t="str">
        <f t="shared" si="35"/>
        <v>2122</v>
      </c>
      <c r="Z628" s="30" t="str">
        <f>VLOOKUP(MONTH(G628),Key!$F$3:$G$14,2,0)</f>
        <v>Nov</v>
      </c>
    </row>
    <row r="629" spans="2:26" x14ac:dyDescent="0.5">
      <c r="B629" s="30">
        <v>492</v>
      </c>
      <c r="C629" s="30" t="s">
        <v>1081</v>
      </c>
      <c r="D629" s="31">
        <v>2122233</v>
      </c>
      <c r="E629" s="30" t="s">
        <v>1082</v>
      </c>
      <c r="F629" s="53" t="s">
        <v>241</v>
      </c>
      <c r="G629" s="32">
        <v>44535</v>
      </c>
      <c r="H629" s="33">
        <v>0.53270794566252189</v>
      </c>
      <c r="I629" s="30" t="s">
        <v>469</v>
      </c>
      <c r="J629" s="34">
        <v>4050320</v>
      </c>
      <c r="K629" s="35" t="s">
        <v>17</v>
      </c>
      <c r="L629" s="36">
        <v>728820</v>
      </c>
      <c r="M629" s="30" t="s">
        <v>69</v>
      </c>
      <c r="N629" s="30" t="s">
        <v>41</v>
      </c>
      <c r="O629" s="60"/>
      <c r="Q629" s="30" t="str">
        <f t="shared" si="30"/>
        <v>SM</v>
      </c>
      <c r="R629" s="30" t="str">
        <f t="shared" si="31"/>
        <v>CM</v>
      </c>
      <c r="S629" s="30" t="str">
        <f>VLOOKUP(M629,'Data - Employee Rights Master'!$C$3:$D$32,2,0)</f>
        <v>SM</v>
      </c>
      <c r="T629" s="30" t="str">
        <f>VLOOKUP(N629,'Data - Employee Rights Master'!$C$3:$D$32,2,0)</f>
        <v>CM</v>
      </c>
      <c r="U629" s="30" t="str">
        <f t="shared" si="32"/>
        <v>PASS</v>
      </c>
      <c r="V629" s="30" t="str">
        <f>VLOOKUP(WEEKDAY(G629),Key!$B$3:$C$9,2,0)</f>
        <v>Sunday</v>
      </c>
      <c r="W629" s="42" t="str">
        <f t="shared" si="33"/>
        <v>Within</v>
      </c>
      <c r="X629" s="30" t="str">
        <f t="shared" si="34"/>
        <v>Red Flag</v>
      </c>
      <c r="Y629" s="30" t="str">
        <f t="shared" si="35"/>
        <v>2122</v>
      </c>
      <c r="Z629" s="30" t="str">
        <f>VLOOKUP(MONTH(G629),Key!$F$3:$G$14,2,0)</f>
        <v>Dec</v>
      </c>
    </row>
    <row r="630" spans="2:26" x14ac:dyDescent="0.5">
      <c r="B630" s="30">
        <v>499</v>
      </c>
      <c r="C630" s="30" t="s">
        <v>1095</v>
      </c>
      <c r="D630" s="31">
        <v>2122240</v>
      </c>
      <c r="E630" s="30" t="s">
        <v>1096</v>
      </c>
      <c r="F630" s="53" t="s">
        <v>308</v>
      </c>
      <c r="G630" s="32">
        <v>44542</v>
      </c>
      <c r="H630" s="33">
        <v>0.46934027777777776</v>
      </c>
      <c r="I630" s="30" t="s">
        <v>469</v>
      </c>
      <c r="J630" s="34">
        <v>4463340</v>
      </c>
      <c r="K630" s="35" t="s">
        <v>17</v>
      </c>
      <c r="L630" s="36">
        <v>803340</v>
      </c>
      <c r="M630" s="30" t="s">
        <v>701</v>
      </c>
      <c r="N630" s="30" t="s">
        <v>41</v>
      </c>
      <c r="O630" s="60"/>
      <c r="Q630" s="30" t="str">
        <f t="shared" si="30"/>
        <v>SM</v>
      </c>
      <c r="R630" s="30" t="str">
        <f t="shared" si="31"/>
        <v>CM</v>
      </c>
      <c r="S630" s="30" t="str">
        <f>VLOOKUP(M630,'Data - Employee Rights Master'!$C$3:$D$32,2,0)</f>
        <v>SM</v>
      </c>
      <c r="T630" s="30" t="str">
        <f>VLOOKUP(N630,'Data - Employee Rights Master'!$C$3:$D$32,2,0)</f>
        <v>CM</v>
      </c>
      <c r="U630" s="30" t="str">
        <f t="shared" si="32"/>
        <v>PASS</v>
      </c>
      <c r="V630" s="30" t="str">
        <f>VLOOKUP(WEEKDAY(G630),Key!$B$3:$C$9,2,0)</f>
        <v>Sunday</v>
      </c>
      <c r="W630" s="42" t="str">
        <f t="shared" si="33"/>
        <v>Within</v>
      </c>
      <c r="X630" s="30" t="str">
        <f t="shared" si="34"/>
        <v>Red Flag</v>
      </c>
      <c r="Y630" s="30" t="str">
        <f t="shared" si="35"/>
        <v>2122</v>
      </c>
      <c r="Z630" s="30" t="str">
        <f>VLOOKUP(MONTH(G630),Key!$F$3:$G$14,2,0)</f>
        <v>Dec</v>
      </c>
    </row>
    <row r="631" spans="2:26" x14ac:dyDescent="0.5">
      <c r="B631" s="30">
        <v>508</v>
      </c>
      <c r="C631" s="30" t="s">
        <v>1113</v>
      </c>
      <c r="D631" s="31">
        <v>2122249</v>
      </c>
      <c r="E631" s="30" t="s">
        <v>1114</v>
      </c>
      <c r="F631" s="53" t="s">
        <v>241</v>
      </c>
      <c r="G631" s="32">
        <v>44541</v>
      </c>
      <c r="H631" s="33">
        <v>0.82111111111111112</v>
      </c>
      <c r="I631" s="30" t="s">
        <v>469</v>
      </c>
      <c r="J631" s="34">
        <v>4918360</v>
      </c>
      <c r="K631" s="35" t="s">
        <v>17</v>
      </c>
      <c r="L631" s="36">
        <v>885060</v>
      </c>
      <c r="M631" s="30" t="s">
        <v>41</v>
      </c>
      <c r="N631" s="30" t="s">
        <v>42</v>
      </c>
      <c r="O631" s="60"/>
      <c r="Q631" s="30" t="str">
        <f t="shared" si="30"/>
        <v>CM</v>
      </c>
      <c r="R631" s="30" t="str">
        <f t="shared" si="31"/>
        <v>CFO</v>
      </c>
      <c r="S631" s="30" t="str">
        <f>VLOOKUP(M631,'Data - Employee Rights Master'!$C$3:$D$32,2,0)</f>
        <v>CM</v>
      </c>
      <c r="T631" s="30" t="str">
        <f>VLOOKUP(N631,'Data - Employee Rights Master'!$C$3:$D$32,2,0)</f>
        <v>CFO</v>
      </c>
      <c r="U631" s="30" t="str">
        <f t="shared" si="32"/>
        <v>PASS</v>
      </c>
      <c r="V631" s="30" t="str">
        <f>VLOOKUP(WEEKDAY(G631),Key!$B$3:$C$9,2,0)</f>
        <v>Saturday</v>
      </c>
      <c r="W631" s="42" t="str">
        <f t="shared" si="33"/>
        <v>Outside</v>
      </c>
      <c r="X631" s="30" t="str">
        <f t="shared" si="34"/>
        <v>Red Flag</v>
      </c>
      <c r="Y631" s="30" t="str">
        <f t="shared" si="35"/>
        <v>2122</v>
      </c>
      <c r="Z631" s="30" t="str">
        <f>VLOOKUP(MONTH(G631),Key!$F$3:$G$14,2,0)</f>
        <v>Dec</v>
      </c>
    </row>
    <row r="632" spans="2:26" x14ac:dyDescent="0.5">
      <c r="B632" s="30">
        <v>514</v>
      </c>
      <c r="C632" s="30" t="s">
        <v>1125</v>
      </c>
      <c r="D632" s="31">
        <v>2122255</v>
      </c>
      <c r="E632" s="30" t="s">
        <v>1126</v>
      </c>
      <c r="F632" s="53" t="s">
        <v>241</v>
      </c>
      <c r="G632" s="32">
        <v>44549</v>
      </c>
      <c r="H632" s="33">
        <v>0.54486111111111113</v>
      </c>
      <c r="I632" s="30" t="s">
        <v>469</v>
      </c>
      <c r="J632" s="34">
        <v>4924520</v>
      </c>
      <c r="K632" s="35" t="s">
        <v>17</v>
      </c>
      <c r="L632" s="36">
        <v>885960</v>
      </c>
      <c r="M632" s="30" t="s">
        <v>41</v>
      </c>
      <c r="N632" s="30" t="s">
        <v>42</v>
      </c>
      <c r="O632" s="60"/>
      <c r="Q632" s="30" t="str">
        <f t="shared" si="30"/>
        <v>CM</v>
      </c>
      <c r="R632" s="30" t="str">
        <f t="shared" si="31"/>
        <v>CFO</v>
      </c>
      <c r="S632" s="30" t="str">
        <f>VLOOKUP(M632,'Data - Employee Rights Master'!$C$3:$D$32,2,0)</f>
        <v>CM</v>
      </c>
      <c r="T632" s="30" t="str">
        <f>VLOOKUP(N632,'Data - Employee Rights Master'!$C$3:$D$32,2,0)</f>
        <v>CFO</v>
      </c>
      <c r="U632" s="30" t="str">
        <f t="shared" si="32"/>
        <v>PASS</v>
      </c>
      <c r="V632" s="30" t="str">
        <f>VLOOKUP(WEEKDAY(G632),Key!$B$3:$C$9,2,0)</f>
        <v>Sunday</v>
      </c>
      <c r="W632" s="42" t="str">
        <f t="shared" si="33"/>
        <v>Within</v>
      </c>
      <c r="X632" s="30" t="str">
        <f t="shared" si="34"/>
        <v>Red Flag</v>
      </c>
      <c r="Y632" s="30" t="str">
        <f t="shared" si="35"/>
        <v>2122</v>
      </c>
      <c r="Z632" s="30" t="str">
        <f>VLOOKUP(MONTH(G632),Key!$F$3:$G$14,2,0)</f>
        <v>Dec</v>
      </c>
    </row>
    <row r="633" spans="2:26" x14ac:dyDescent="0.5">
      <c r="B633" s="30">
        <v>515</v>
      </c>
      <c r="C633" s="30" t="s">
        <v>1127</v>
      </c>
      <c r="D633" s="31">
        <v>2122256</v>
      </c>
      <c r="E633" s="30" t="s">
        <v>1128</v>
      </c>
      <c r="F633" s="53" t="s">
        <v>308</v>
      </c>
      <c r="G633" s="32">
        <v>44548</v>
      </c>
      <c r="H633" s="33">
        <v>0.80379629629629623</v>
      </c>
      <c r="I633" s="30" t="s">
        <v>469</v>
      </c>
      <c r="J633" s="34">
        <v>4823470</v>
      </c>
      <c r="K633" s="35" t="s">
        <v>17</v>
      </c>
      <c r="L633" s="36">
        <v>868140</v>
      </c>
      <c r="M633" s="30" t="s">
        <v>41</v>
      </c>
      <c r="N633" s="30" t="s">
        <v>42</v>
      </c>
      <c r="O633" s="60"/>
      <c r="Q633" s="30" t="str">
        <f t="shared" si="30"/>
        <v>CM</v>
      </c>
      <c r="R633" s="30" t="str">
        <f t="shared" si="31"/>
        <v>CFO</v>
      </c>
      <c r="S633" s="30" t="str">
        <f>VLOOKUP(M633,'Data - Employee Rights Master'!$C$3:$D$32,2,0)</f>
        <v>CM</v>
      </c>
      <c r="T633" s="30" t="str">
        <f>VLOOKUP(N633,'Data - Employee Rights Master'!$C$3:$D$32,2,0)</f>
        <v>CFO</v>
      </c>
      <c r="U633" s="30" t="str">
        <f t="shared" si="32"/>
        <v>PASS</v>
      </c>
      <c r="V633" s="30" t="str">
        <f>VLOOKUP(WEEKDAY(G633),Key!$B$3:$C$9,2,0)</f>
        <v>Saturday</v>
      </c>
      <c r="W633" s="42" t="str">
        <f t="shared" si="33"/>
        <v>Outside</v>
      </c>
      <c r="X633" s="30" t="str">
        <f t="shared" si="34"/>
        <v>Red Flag</v>
      </c>
      <c r="Y633" s="30" t="str">
        <f t="shared" si="35"/>
        <v>2122</v>
      </c>
      <c r="Z633" s="30" t="str">
        <f>VLOOKUP(MONTH(G633),Key!$F$3:$G$14,2,0)</f>
        <v>Dec</v>
      </c>
    </row>
    <row r="634" spans="2:26" x14ac:dyDescent="0.5">
      <c r="B634" s="30">
        <v>524</v>
      </c>
      <c r="C634" s="30" t="s">
        <v>1145</v>
      </c>
      <c r="D634" s="31">
        <v>2122265</v>
      </c>
      <c r="E634" s="30" t="s">
        <v>1146</v>
      </c>
      <c r="F634" s="53" t="s">
        <v>378</v>
      </c>
      <c r="G634" s="32">
        <v>44563</v>
      </c>
      <c r="H634" s="33">
        <v>0.49816425610188075</v>
      </c>
      <c r="I634" s="30" t="s">
        <v>502</v>
      </c>
      <c r="J634" s="34">
        <v>4363500</v>
      </c>
      <c r="K634" s="35" t="s">
        <v>17</v>
      </c>
      <c r="L634" s="36">
        <v>785340</v>
      </c>
      <c r="M634" s="30" t="s">
        <v>701</v>
      </c>
      <c r="N634" s="30" t="s">
        <v>41</v>
      </c>
      <c r="O634" s="60"/>
      <c r="Q634" s="30" t="str">
        <f t="shared" si="30"/>
        <v>SM</v>
      </c>
      <c r="R634" s="30" t="str">
        <f t="shared" si="31"/>
        <v>CM</v>
      </c>
      <c r="S634" s="30" t="str">
        <f>VLOOKUP(M634,'Data - Employee Rights Master'!$C$3:$D$32,2,0)</f>
        <v>SM</v>
      </c>
      <c r="T634" s="30" t="str">
        <f>VLOOKUP(N634,'Data - Employee Rights Master'!$C$3:$D$32,2,0)</f>
        <v>CM</v>
      </c>
      <c r="U634" s="30" t="str">
        <f t="shared" si="32"/>
        <v>PASS</v>
      </c>
      <c r="V634" s="30" t="str">
        <f>VLOOKUP(WEEKDAY(G634),Key!$B$3:$C$9,2,0)</f>
        <v>Sunday</v>
      </c>
      <c r="W634" s="42" t="str">
        <f t="shared" si="33"/>
        <v>Within</v>
      </c>
      <c r="X634" s="30" t="str">
        <f t="shared" si="34"/>
        <v>Red Flag</v>
      </c>
      <c r="Y634" s="30" t="str">
        <f t="shared" si="35"/>
        <v>2122</v>
      </c>
      <c r="Z634" s="30" t="str">
        <f>VLOOKUP(MONTH(G634),Key!$F$3:$G$14,2,0)</f>
        <v>Jan</v>
      </c>
    </row>
    <row r="635" spans="2:26" x14ac:dyDescent="0.5">
      <c r="B635" s="30">
        <v>534</v>
      </c>
      <c r="C635" s="30" t="s">
        <v>1165</v>
      </c>
      <c r="D635" s="31">
        <v>2122275</v>
      </c>
      <c r="E635" s="30" t="s">
        <v>1166</v>
      </c>
      <c r="F635" s="53" t="s">
        <v>577</v>
      </c>
      <c r="G635" s="32">
        <v>44577</v>
      </c>
      <c r="H635" s="33">
        <v>0.51827546296296301</v>
      </c>
      <c r="I635" s="30" t="s">
        <v>502</v>
      </c>
      <c r="J635" s="34">
        <v>4847720</v>
      </c>
      <c r="K635" s="35" t="s">
        <v>17</v>
      </c>
      <c r="L635" s="36">
        <v>872100</v>
      </c>
      <c r="M635" s="30" t="s">
        <v>41</v>
      </c>
      <c r="N635" s="30" t="s">
        <v>42</v>
      </c>
      <c r="O635" s="60"/>
      <c r="Q635" s="30" t="str">
        <f t="shared" si="30"/>
        <v>CM</v>
      </c>
      <c r="R635" s="30" t="str">
        <f t="shared" si="31"/>
        <v>CFO</v>
      </c>
      <c r="S635" s="30" t="str">
        <f>VLOOKUP(M635,'Data - Employee Rights Master'!$C$3:$D$32,2,0)</f>
        <v>CM</v>
      </c>
      <c r="T635" s="30" t="str">
        <f>VLOOKUP(N635,'Data - Employee Rights Master'!$C$3:$D$32,2,0)</f>
        <v>CFO</v>
      </c>
      <c r="U635" s="30" t="str">
        <f t="shared" si="32"/>
        <v>PASS</v>
      </c>
      <c r="V635" s="30" t="str">
        <f>VLOOKUP(WEEKDAY(G635),Key!$B$3:$C$9,2,0)</f>
        <v>Sunday</v>
      </c>
      <c r="W635" s="42" t="str">
        <f t="shared" si="33"/>
        <v>Within</v>
      </c>
      <c r="X635" s="30" t="str">
        <f t="shared" si="34"/>
        <v>Red Flag</v>
      </c>
      <c r="Y635" s="30" t="str">
        <f t="shared" si="35"/>
        <v>2122</v>
      </c>
      <c r="Z635" s="30" t="str">
        <f>VLOOKUP(MONTH(G635),Key!$F$3:$G$14,2,0)</f>
        <v>Jan</v>
      </c>
    </row>
    <row r="636" spans="2:26" x14ac:dyDescent="0.5">
      <c r="B636" s="30">
        <v>540</v>
      </c>
      <c r="C636" s="30" t="s">
        <v>1177</v>
      </c>
      <c r="D636" s="31">
        <v>2122281</v>
      </c>
      <c r="E636" s="30" t="s">
        <v>1178</v>
      </c>
      <c r="F636" s="53" t="s">
        <v>111</v>
      </c>
      <c r="G636" s="32">
        <v>44583</v>
      </c>
      <c r="H636" s="33">
        <v>0.80902777777777779</v>
      </c>
      <c r="I636" s="30" t="s">
        <v>502</v>
      </c>
      <c r="J636" s="34">
        <v>4651520</v>
      </c>
      <c r="K636" s="35" t="s">
        <v>17</v>
      </c>
      <c r="L636" s="36">
        <v>836820</v>
      </c>
      <c r="M636" s="30" t="s">
        <v>41</v>
      </c>
      <c r="N636" s="30" t="s">
        <v>42</v>
      </c>
      <c r="O636" s="60"/>
      <c r="Q636" s="30" t="str">
        <f t="shared" si="30"/>
        <v>CM</v>
      </c>
      <c r="R636" s="30" t="str">
        <f t="shared" si="31"/>
        <v>CFO</v>
      </c>
      <c r="S636" s="30" t="str">
        <f>VLOOKUP(M636,'Data - Employee Rights Master'!$C$3:$D$32,2,0)</f>
        <v>CM</v>
      </c>
      <c r="T636" s="30" t="str">
        <f>VLOOKUP(N636,'Data - Employee Rights Master'!$C$3:$D$32,2,0)</f>
        <v>CFO</v>
      </c>
      <c r="U636" s="30" t="str">
        <f t="shared" si="32"/>
        <v>PASS</v>
      </c>
      <c r="V636" s="30" t="str">
        <f>VLOOKUP(WEEKDAY(G636),Key!$B$3:$C$9,2,0)</f>
        <v>Saturday</v>
      </c>
      <c r="W636" s="42" t="str">
        <f t="shared" si="33"/>
        <v>Outside</v>
      </c>
      <c r="X636" s="30" t="str">
        <f t="shared" si="34"/>
        <v>Red Flag</v>
      </c>
      <c r="Y636" s="30" t="str">
        <f t="shared" si="35"/>
        <v>2122</v>
      </c>
      <c r="Z636" s="30" t="str">
        <f>VLOOKUP(MONTH(G636),Key!$F$3:$G$14,2,0)</f>
        <v>Jan</v>
      </c>
    </row>
  </sheetData>
  <conditionalFormatting sqref="D5:E604">
    <cfRule type="duplicateValues" dxfId="6" priority="2"/>
  </conditionalFormatting>
  <conditionalFormatting sqref="J5:J604">
    <cfRule type="duplicateValues" dxfId="5" priority="1"/>
  </conditionalFormatting>
  <conditionalFormatting sqref="D610:E636">
    <cfRule type="duplicateValues" dxfId="4" priority="3"/>
  </conditionalFormatting>
  <conditionalFormatting sqref="J610:J636">
    <cfRule type="duplicateValues" dxfId="3" priority="4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7"/>
  <sheetViews>
    <sheetView zoomScale="90" zoomScaleNormal="90" workbookViewId="0">
      <selection activeCell="B2" sqref="B2"/>
    </sheetView>
  </sheetViews>
  <sheetFormatPr defaultRowHeight="17.5" x14ac:dyDescent="0.5"/>
  <cols>
    <col min="1" max="2" width="8.7265625" style="2"/>
    <col min="3" max="3" width="13.7265625" style="2" customWidth="1"/>
    <col min="4" max="4" width="26.36328125" style="2" bestFit="1" customWidth="1"/>
    <col min="5" max="5" width="31.90625" style="2" bestFit="1" customWidth="1"/>
    <col min="6" max="6" width="29.7265625" style="2" bestFit="1" customWidth="1"/>
    <col min="7" max="7" width="30.6328125" style="2" bestFit="1" customWidth="1"/>
    <col min="8" max="8" width="23.7265625" style="2" customWidth="1"/>
    <col min="9" max="9" width="10.7265625" style="2" customWidth="1"/>
    <col min="10" max="10" width="12.54296875" style="2" customWidth="1"/>
    <col min="11" max="11" width="8" style="2" customWidth="1"/>
    <col min="12" max="12" width="9" style="2" customWidth="1"/>
    <col min="13" max="13" width="8" style="2" customWidth="1"/>
    <col min="14" max="14" width="9" style="2" customWidth="1"/>
    <col min="15" max="15" width="8" style="2" customWidth="1"/>
    <col min="16" max="21" width="9" style="2" customWidth="1"/>
    <col min="22" max="22" width="8" style="2" customWidth="1"/>
    <col min="23" max="26" width="9" style="2" customWidth="1"/>
    <col min="27" max="27" width="8" style="2" customWidth="1"/>
    <col min="28" max="28" width="11" style="2" bestFit="1" customWidth="1"/>
    <col min="29" max="16384" width="8.7265625" style="2"/>
  </cols>
  <sheetData>
    <row r="2" spans="1:7" x14ac:dyDescent="0.5">
      <c r="A2" s="2">
        <v>4</v>
      </c>
      <c r="B2" s="8" t="s">
        <v>1592</v>
      </c>
    </row>
    <row r="3" spans="1:7" x14ac:dyDescent="0.5">
      <c r="B3" s="20" t="s">
        <v>1591</v>
      </c>
    </row>
    <row r="4" spans="1:7" x14ac:dyDescent="0.5">
      <c r="C4" s="2" t="s">
        <v>1337</v>
      </c>
      <c r="D4" s="71">
        <f>SUMIF('Test 1,2'!$W$5:$W$604,2021,'Test 1,2'!$J$5:$J$604)</f>
        <v>158936380</v>
      </c>
    </row>
    <row r="5" spans="1:7" x14ac:dyDescent="0.5">
      <c r="C5" s="2" t="s">
        <v>1339</v>
      </c>
      <c r="D5" s="71">
        <f>SUMIF('Test 1,2'!$W$5:$W$604,2122,'Test 1,2'!$J$5:$J$604)</f>
        <v>321907040</v>
      </c>
    </row>
    <row r="6" spans="1:7" x14ac:dyDescent="0.5">
      <c r="D6" s="72">
        <f>SUM(D4:D5)</f>
        <v>480843420</v>
      </c>
      <c r="F6" s="6"/>
    </row>
    <row r="8" spans="1:7" x14ac:dyDescent="0.5">
      <c r="C8" s="2" t="s">
        <v>1340</v>
      </c>
      <c r="D8" s="7">
        <f>(D5-D4)/D4</f>
        <v>1.0253829865761381</v>
      </c>
      <c r="E8" s="2" t="s">
        <v>1341</v>
      </c>
    </row>
    <row r="12" spans="1:7" x14ac:dyDescent="0.5">
      <c r="B12" s="8" t="s">
        <v>1567</v>
      </c>
      <c r="C12" s="9"/>
    </row>
    <row r="13" spans="1:7" x14ac:dyDescent="0.5">
      <c r="B13" s="8"/>
      <c r="C13" s="9"/>
      <c r="F13" s="66" t="s">
        <v>1621</v>
      </c>
      <c r="G13" s="66" t="s">
        <v>1622</v>
      </c>
    </row>
    <row r="14" spans="1:7" x14ac:dyDescent="0.5">
      <c r="B14" s="8"/>
      <c r="C14" s="9"/>
      <c r="E14" s="2" t="s">
        <v>1620</v>
      </c>
      <c r="F14" s="79">
        <f>COUNTIF(F20:F44,"&gt;39%")+COUNTIF(F20:F44,"&lt;-39%")</f>
        <v>15</v>
      </c>
      <c r="G14" s="79">
        <f>COUNTIF(G20:G44,"&gt;39%")+COUNTIF(G20:G44,"&lt;-39%")</f>
        <v>8</v>
      </c>
    </row>
    <row r="15" spans="1:7" x14ac:dyDescent="0.5">
      <c r="B15" s="8"/>
      <c r="C15" s="9"/>
    </row>
    <row r="16" spans="1:7" x14ac:dyDescent="0.5">
      <c r="B16" s="8"/>
      <c r="C16" s="9"/>
    </row>
    <row r="17" spans="3:7" x14ac:dyDescent="0.5">
      <c r="C17" s="14" t="s">
        <v>1345</v>
      </c>
      <c r="D17" s="1" t="s">
        <v>1344</v>
      </c>
      <c r="E17" s="1" t="s">
        <v>1602</v>
      </c>
      <c r="F17" s="66" t="s">
        <v>1621</v>
      </c>
      <c r="G17" s="66" t="s">
        <v>1622</v>
      </c>
    </row>
    <row r="18" spans="3:7" x14ac:dyDescent="0.5">
      <c r="C18" s="15" t="s">
        <v>1347</v>
      </c>
      <c r="D18" s="16"/>
      <c r="E18" s="16"/>
      <c r="F18" s="1"/>
    </row>
    <row r="19" spans="3:7" x14ac:dyDescent="0.5">
      <c r="C19" s="17" t="s">
        <v>16</v>
      </c>
      <c r="D19" s="75">
        <v>11081560</v>
      </c>
      <c r="E19" s="75">
        <v>20</v>
      </c>
      <c r="F19" s="74"/>
    </row>
    <row r="20" spans="3:7" x14ac:dyDescent="0.5">
      <c r="C20" s="17" t="s">
        <v>96</v>
      </c>
      <c r="D20" s="75">
        <v>18374380</v>
      </c>
      <c r="E20" s="75">
        <v>27</v>
      </c>
      <c r="F20" s="77">
        <f>(D20-D19)/D19</f>
        <v>0.65810409364746481</v>
      </c>
      <c r="G20" s="76">
        <f>(E20-E19)/E19</f>
        <v>0.35</v>
      </c>
    </row>
    <row r="21" spans="3:7" x14ac:dyDescent="0.5">
      <c r="C21" s="17" t="s">
        <v>163</v>
      </c>
      <c r="D21" s="75">
        <v>16719590</v>
      </c>
      <c r="E21" s="75">
        <v>22</v>
      </c>
      <c r="F21" s="76">
        <f>(D21-D20)/D20</f>
        <v>-9.0059637386404337E-2</v>
      </c>
      <c r="G21" s="76">
        <f>(E21-E20)/E20</f>
        <v>-0.18518518518518517</v>
      </c>
    </row>
    <row r="22" spans="3:7" x14ac:dyDescent="0.5">
      <c r="C22" s="17" t="s">
        <v>216</v>
      </c>
      <c r="D22" s="75">
        <v>19592030</v>
      </c>
      <c r="E22" s="75">
        <v>27</v>
      </c>
      <c r="F22" s="76">
        <f>(D22-D21)/D21</f>
        <v>0.17180086353792168</v>
      </c>
      <c r="G22" s="76">
        <f>(E22-E21)/E21</f>
        <v>0.22727272727272727</v>
      </c>
    </row>
    <row r="23" spans="3:7" x14ac:dyDescent="0.5">
      <c r="C23" s="17" t="s">
        <v>277</v>
      </c>
      <c r="D23" s="75">
        <v>12799820</v>
      </c>
      <c r="E23" s="75">
        <v>20</v>
      </c>
      <c r="F23" s="76">
        <f>(D23-D22)/D22</f>
        <v>-0.34668229887357255</v>
      </c>
      <c r="G23" s="76">
        <f>(E23-E22)/E22</f>
        <v>-0.25925925925925924</v>
      </c>
    </row>
    <row r="24" spans="3:7" x14ac:dyDescent="0.5">
      <c r="C24" s="17" t="s">
        <v>321</v>
      </c>
      <c r="D24" s="75">
        <v>10538630</v>
      </c>
      <c r="E24" s="75">
        <v>30</v>
      </c>
      <c r="F24" s="76">
        <f>(D24-D23)/D23</f>
        <v>-0.17665795300246409</v>
      </c>
      <c r="G24" s="77">
        <f>(E24-E23)/E23</f>
        <v>0.5</v>
      </c>
    </row>
    <row r="25" spans="3:7" x14ac:dyDescent="0.5">
      <c r="C25" s="17" t="s">
        <v>383</v>
      </c>
      <c r="D25" s="75">
        <v>12037390</v>
      </c>
      <c r="E25" s="75">
        <v>22</v>
      </c>
      <c r="F25" s="76">
        <f>(D25-D24)/D24</f>
        <v>0.14221582881266351</v>
      </c>
      <c r="G25" s="76">
        <f>(E25-E24)/E24</f>
        <v>-0.26666666666666666</v>
      </c>
    </row>
    <row r="26" spans="3:7" x14ac:dyDescent="0.5">
      <c r="C26" s="17" t="s">
        <v>428</v>
      </c>
      <c r="D26" s="75">
        <v>6395660</v>
      </c>
      <c r="E26" s="75">
        <v>20</v>
      </c>
      <c r="F26" s="77">
        <f>(D26-D25)/D25</f>
        <v>-0.46868382597888747</v>
      </c>
      <c r="G26" s="76">
        <f>(E26-E25)/E25</f>
        <v>-9.0909090909090912E-2</v>
      </c>
    </row>
    <row r="27" spans="3:7" x14ac:dyDescent="0.5">
      <c r="C27" s="17" t="s">
        <v>469</v>
      </c>
      <c r="D27" s="75">
        <v>25887420</v>
      </c>
      <c r="E27" s="75">
        <v>16</v>
      </c>
      <c r="F27" s="77">
        <f>(D27-D26)/D26</f>
        <v>3.0476541904979313</v>
      </c>
      <c r="G27" s="76">
        <f>(E27-E26)/E26</f>
        <v>-0.2</v>
      </c>
    </row>
    <row r="28" spans="3:7" x14ac:dyDescent="0.5">
      <c r="C28" s="15" t="s">
        <v>1348</v>
      </c>
      <c r="D28" s="75"/>
      <c r="E28" s="75"/>
      <c r="F28" s="58"/>
      <c r="G28" s="58"/>
    </row>
    <row r="29" spans="3:7" x14ac:dyDescent="0.5">
      <c r="C29" s="17" t="s">
        <v>502</v>
      </c>
      <c r="D29" s="75">
        <v>5776500</v>
      </c>
      <c r="E29" s="75">
        <v>16</v>
      </c>
      <c r="F29" s="77">
        <f>(D29-D27)/D27</f>
        <v>-0.77686073003798761</v>
      </c>
      <c r="G29" s="76">
        <f>(E29-E27)/E27</f>
        <v>0</v>
      </c>
    </row>
    <row r="30" spans="3:7" x14ac:dyDescent="0.5">
      <c r="C30" s="17" t="s">
        <v>535</v>
      </c>
      <c r="D30" s="75">
        <v>13132750</v>
      </c>
      <c r="E30" s="75">
        <v>19</v>
      </c>
      <c r="F30" s="77">
        <f>(D30-D29)/D29</f>
        <v>1.273478750108197</v>
      </c>
      <c r="G30" s="76">
        <f>(E30-E29)/E29</f>
        <v>0.1875</v>
      </c>
    </row>
    <row r="31" spans="3:7" x14ac:dyDescent="0.5">
      <c r="C31" s="17" t="s">
        <v>574</v>
      </c>
      <c r="D31" s="75">
        <v>6600650</v>
      </c>
      <c r="E31" s="75">
        <v>20</v>
      </c>
      <c r="F31" s="77">
        <f>(D31-D30)/D30</f>
        <v>-0.49739011250499704</v>
      </c>
      <c r="G31" s="76">
        <f>(E31-E30)/E30</f>
        <v>5.2631578947368418E-2</v>
      </c>
    </row>
    <row r="32" spans="3:7" x14ac:dyDescent="0.5">
      <c r="C32" s="17" t="s">
        <v>16</v>
      </c>
      <c r="D32" s="75">
        <v>20795250</v>
      </c>
      <c r="E32" s="75">
        <v>34</v>
      </c>
      <c r="F32" s="77">
        <f>(D32-D31)/D31</f>
        <v>2.1504851794898987</v>
      </c>
      <c r="G32" s="77">
        <f>(E32-E31)/E31</f>
        <v>0.7</v>
      </c>
    </row>
    <row r="33" spans="3:7" x14ac:dyDescent="0.5">
      <c r="C33" s="17" t="s">
        <v>96</v>
      </c>
      <c r="D33" s="75">
        <v>30331170</v>
      </c>
      <c r="E33" s="75">
        <v>37</v>
      </c>
      <c r="F33" s="77">
        <f>(D33-D32)/D32</f>
        <v>0.45856241208929927</v>
      </c>
      <c r="G33" s="76">
        <f>(E33-E32)/E32</f>
        <v>8.8235294117647065E-2</v>
      </c>
    </row>
    <row r="34" spans="3:7" x14ac:dyDescent="0.5">
      <c r="C34" s="17" t="s">
        <v>163</v>
      </c>
      <c r="D34" s="75">
        <v>17522090</v>
      </c>
      <c r="E34" s="75">
        <v>22</v>
      </c>
      <c r="F34" s="77">
        <f>(D34-D33)/D33</f>
        <v>-0.42230748105002214</v>
      </c>
      <c r="G34" s="77">
        <f>(E34-E33)/E33</f>
        <v>-0.40540540540540543</v>
      </c>
    </row>
    <row r="35" spans="3:7" x14ac:dyDescent="0.5">
      <c r="C35" s="17" t="s">
        <v>216</v>
      </c>
      <c r="D35" s="75">
        <v>58728270</v>
      </c>
      <c r="E35" s="75">
        <v>36</v>
      </c>
      <c r="F35" s="77">
        <f>(D35-D34)/D34</f>
        <v>2.3516703772209824</v>
      </c>
      <c r="G35" s="77">
        <f>(E35-E34)/E34</f>
        <v>0.63636363636363635</v>
      </c>
    </row>
    <row r="36" spans="3:7" x14ac:dyDescent="0.5">
      <c r="C36" s="17" t="s">
        <v>277</v>
      </c>
      <c r="D36" s="75">
        <v>46056320</v>
      </c>
      <c r="E36" s="75">
        <v>40</v>
      </c>
      <c r="F36" s="76">
        <f>(D36-D35)/D35</f>
        <v>-0.21577257426448965</v>
      </c>
      <c r="G36" s="76">
        <f>(E36-E35)/E35</f>
        <v>0.1111111111111111</v>
      </c>
    </row>
    <row r="37" spans="3:7" x14ac:dyDescent="0.5">
      <c r="C37" s="17" t="s">
        <v>321</v>
      </c>
      <c r="D37" s="75">
        <v>16966840</v>
      </c>
      <c r="E37" s="75">
        <v>13</v>
      </c>
      <c r="F37" s="77">
        <f>(D37-D36)/D36</f>
        <v>-0.63160669371760492</v>
      </c>
      <c r="G37" s="77">
        <f>(E37-E36)/E36</f>
        <v>-0.67500000000000004</v>
      </c>
    </row>
    <row r="38" spans="3:7" x14ac:dyDescent="0.5">
      <c r="C38" s="17" t="s">
        <v>383</v>
      </c>
      <c r="D38" s="75">
        <v>8868660</v>
      </c>
      <c r="E38" s="75">
        <v>24</v>
      </c>
      <c r="F38" s="77">
        <f>(D38-D37)/D37</f>
        <v>-0.47729453451556092</v>
      </c>
      <c r="G38" s="77">
        <f>(E38-E37)/E37</f>
        <v>0.84615384615384615</v>
      </c>
    </row>
    <row r="39" spans="3:7" x14ac:dyDescent="0.5">
      <c r="C39" s="17" t="s">
        <v>428</v>
      </c>
      <c r="D39" s="75">
        <v>32091340</v>
      </c>
      <c r="E39" s="75">
        <v>24</v>
      </c>
      <c r="F39" s="77">
        <f>(D39-D38)/D38</f>
        <v>2.6185105754420621</v>
      </c>
      <c r="G39" s="76">
        <f>(E39-E38)/E38</f>
        <v>0</v>
      </c>
    </row>
    <row r="40" spans="3:7" x14ac:dyDescent="0.5">
      <c r="C40" s="17" t="s">
        <v>469</v>
      </c>
      <c r="D40" s="75">
        <v>40817150</v>
      </c>
      <c r="E40" s="75">
        <v>34</v>
      </c>
      <c r="F40" s="76">
        <f>(D40-D39)/D39</f>
        <v>0.27190544240284137</v>
      </c>
      <c r="G40" s="77">
        <f>(E40-E39)/E39</f>
        <v>0.41666666666666669</v>
      </c>
    </row>
    <row r="41" spans="3:7" x14ac:dyDescent="0.5">
      <c r="C41" s="15" t="s">
        <v>1349</v>
      </c>
      <c r="D41" s="75"/>
      <c r="E41" s="75"/>
      <c r="F41" s="78"/>
      <c r="G41" s="78"/>
    </row>
    <row r="42" spans="3:7" x14ac:dyDescent="0.5">
      <c r="C42" s="17" t="s">
        <v>502</v>
      </c>
      <c r="D42" s="75">
        <v>32062340</v>
      </c>
      <c r="E42" s="75">
        <v>32</v>
      </c>
      <c r="F42" s="76">
        <f>(D42-D40)/D40</f>
        <v>-0.21448851769415553</v>
      </c>
      <c r="G42" s="76">
        <f>(E42-E40)/E40</f>
        <v>-5.8823529411764705E-2</v>
      </c>
    </row>
    <row r="43" spans="3:7" x14ac:dyDescent="0.5">
      <c r="C43" s="17" t="s">
        <v>535</v>
      </c>
      <c r="D43" s="75">
        <v>12746590</v>
      </c>
      <c r="E43" s="75">
        <v>28</v>
      </c>
      <c r="F43" s="77">
        <f>(D43-D42)/D42</f>
        <v>-0.60244355215495815</v>
      </c>
      <c r="G43" s="76">
        <f>(E43-E42)/E42</f>
        <v>-0.125</v>
      </c>
    </row>
    <row r="44" spans="3:7" x14ac:dyDescent="0.5">
      <c r="C44" s="17" t="s">
        <v>574</v>
      </c>
      <c r="D44" s="75">
        <v>4921020</v>
      </c>
      <c r="E44" s="75">
        <v>17</v>
      </c>
      <c r="F44" s="77">
        <f>(D44-D43)/D43</f>
        <v>-0.6139343934338517</v>
      </c>
      <c r="G44" s="77">
        <f>(E44-E43)/E43</f>
        <v>-0.39285714285714285</v>
      </c>
    </row>
    <row r="45" spans="3:7" x14ac:dyDescent="0.5">
      <c r="C45" s="15" t="s">
        <v>1346</v>
      </c>
      <c r="D45" s="75">
        <v>480843420</v>
      </c>
      <c r="E45" s="18">
        <v>600</v>
      </c>
    </row>
    <row r="46" spans="3:7" x14ac:dyDescent="0.5">
      <c r="C46" s="15"/>
      <c r="D46" s="18"/>
    </row>
    <row r="47" spans="3:7" x14ac:dyDescent="0.5">
      <c r="C47" s="1"/>
      <c r="D47" s="1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I692"/>
  <sheetViews>
    <sheetView zoomScale="90" zoomScaleNormal="90" workbookViewId="0">
      <selection activeCell="B2" sqref="B2"/>
    </sheetView>
  </sheetViews>
  <sheetFormatPr defaultRowHeight="17.5" x14ac:dyDescent="0.5"/>
  <cols>
    <col min="1" max="2" width="8.7265625" style="2"/>
    <col min="3" max="3" width="17.08984375" style="2" customWidth="1"/>
    <col min="4" max="4" width="27" style="2" customWidth="1"/>
    <col min="5" max="5" width="26.453125" style="2" customWidth="1"/>
    <col min="6" max="6" width="14.81640625" style="2" customWidth="1"/>
    <col min="7" max="7" width="13.90625" style="2" bestFit="1" customWidth="1"/>
    <col min="8" max="10" width="11.54296875" style="2" customWidth="1"/>
    <col min="11" max="11" width="16.36328125" style="2" customWidth="1"/>
    <col min="12" max="12" width="11.54296875" style="2" customWidth="1"/>
    <col min="13" max="13" width="12.90625" style="2" customWidth="1"/>
    <col min="14" max="14" width="23.08984375" style="2" customWidth="1"/>
    <col min="15" max="15" width="11.54296875" style="2" customWidth="1"/>
    <col min="16" max="16" width="26.453125" style="2" customWidth="1"/>
    <col min="17" max="17" width="3.90625" style="2" customWidth="1"/>
    <col min="18" max="18" width="4.36328125" style="2" customWidth="1"/>
    <col min="19" max="19" width="3.90625" style="2" customWidth="1"/>
    <col min="20" max="20" width="4.54296875" style="2" customWidth="1"/>
    <col min="21" max="21" width="3.81640625" style="2" customWidth="1"/>
    <col min="22" max="22" width="3.1796875" style="2" customWidth="1"/>
    <col min="23" max="23" width="4.08984375" style="2" customWidth="1"/>
    <col min="24" max="24" width="3.90625" style="2" customWidth="1"/>
    <col min="25" max="25" width="3.81640625" style="2" customWidth="1"/>
    <col min="26" max="26" width="4.26953125" style="2" customWidth="1"/>
    <col min="27" max="27" width="4" style="2" customWidth="1"/>
    <col min="28" max="28" width="28.81640625" style="2" customWidth="1"/>
    <col min="29" max="29" width="31.36328125" style="2" customWidth="1"/>
    <col min="30" max="30" width="3.81640625" style="2" customWidth="1"/>
    <col min="31" max="31" width="6.6328125" style="2" customWidth="1"/>
    <col min="32" max="32" width="4.08984375" style="2" customWidth="1"/>
    <col min="33" max="33" width="3.90625" style="2" customWidth="1"/>
    <col min="34" max="34" width="6.6328125" style="2" customWidth="1"/>
    <col min="35" max="35" width="4.26953125" style="2" customWidth="1"/>
    <col min="36" max="36" width="4" style="2" customWidth="1"/>
    <col min="37" max="37" width="6.81640625" style="2" customWidth="1"/>
    <col min="38" max="38" width="3.90625" style="2" customWidth="1"/>
    <col min="39" max="39" width="4.36328125" style="2" customWidth="1"/>
    <col min="40" max="40" width="6.6328125" style="2" customWidth="1"/>
    <col min="41" max="41" width="4.54296875" style="2" customWidth="1"/>
    <col min="42" max="42" width="3.81640625" style="2" customWidth="1"/>
    <col min="43" max="43" width="6.6328125" style="2" customWidth="1"/>
    <col min="44" max="44" width="4.08984375" style="2" customWidth="1"/>
    <col min="45" max="45" width="3.90625" style="2" customWidth="1"/>
    <col min="46" max="46" width="6.6328125" style="2" customWidth="1"/>
    <col min="47" max="47" width="4.26953125" style="2" customWidth="1"/>
    <col min="48" max="48" width="4" style="2" customWidth="1"/>
    <col min="49" max="49" width="6.81640625" style="2" customWidth="1"/>
    <col min="50" max="50" width="3.90625" style="2" customWidth="1"/>
    <col min="51" max="51" width="4.36328125" style="2" customWidth="1"/>
    <col min="52" max="52" width="28.81640625" style="2" bestFit="1" customWidth="1"/>
    <col min="53" max="53" width="31.36328125" style="2" bestFit="1" customWidth="1"/>
    <col min="54" max="128" width="10.1796875" style="2" bestFit="1" customWidth="1"/>
    <col min="129" max="129" width="11.54296875" style="2" bestFit="1" customWidth="1"/>
    <col min="130" max="173" width="10.1796875" style="2" bestFit="1" customWidth="1"/>
    <col min="174" max="174" width="11.54296875" style="2" bestFit="1" customWidth="1"/>
    <col min="175" max="231" width="10.1796875" style="2" bestFit="1" customWidth="1"/>
    <col min="232" max="232" width="11.54296875" style="2" bestFit="1" customWidth="1"/>
    <col min="233" max="262" width="10.1796875" style="2" bestFit="1" customWidth="1"/>
    <col min="263" max="263" width="11.54296875" style="2" bestFit="1" customWidth="1"/>
    <col min="264" max="309" width="10.1796875" style="2" bestFit="1" customWidth="1"/>
    <col min="310" max="310" width="11.54296875" style="2" bestFit="1" customWidth="1"/>
    <col min="311" max="382" width="10.1796875" style="2" bestFit="1" customWidth="1"/>
    <col min="383" max="383" width="26.453125" style="2" bestFit="1" customWidth="1"/>
    <col min="384" max="761" width="10.1796875" style="2" bestFit="1" customWidth="1"/>
    <col min="762" max="762" width="28.81640625" style="2" bestFit="1" customWidth="1"/>
    <col min="763" max="763" width="31.36328125" style="2" bestFit="1" customWidth="1"/>
    <col min="764" max="16384" width="8.7265625" style="2"/>
  </cols>
  <sheetData>
    <row r="2" spans="1:28" x14ac:dyDescent="0.5">
      <c r="A2" s="2">
        <v>5</v>
      </c>
      <c r="B2" s="8" t="s">
        <v>1619</v>
      </c>
      <c r="C2" s="1"/>
      <c r="D2" s="1"/>
    </row>
    <row r="3" spans="1:28" x14ac:dyDescent="0.5">
      <c r="C3" s="1"/>
      <c r="D3" s="1"/>
    </row>
    <row r="4" spans="1:28" x14ac:dyDescent="0.5">
      <c r="B4" s="8"/>
      <c r="C4" s="1"/>
      <c r="D4" s="1"/>
      <c r="E4" s="2" t="s">
        <v>1473</v>
      </c>
    </row>
    <row r="5" spans="1:28" x14ac:dyDescent="0.5">
      <c r="B5" s="8"/>
      <c r="C5" s="1"/>
      <c r="D5" s="1"/>
    </row>
    <row r="6" spans="1:28" x14ac:dyDescent="0.5">
      <c r="C6" s="1"/>
      <c r="D6" s="1"/>
    </row>
    <row r="7" spans="1:28" x14ac:dyDescent="0.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8" x14ac:dyDescent="0.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8" x14ac:dyDescent="0.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3:28" x14ac:dyDescent="0.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3:28" x14ac:dyDescent="0.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3:28" x14ac:dyDescent="0.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3:28" x14ac:dyDescent="0.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3:28" x14ac:dyDescent="0.5">
      <c r="C21" s="1" t="s">
        <v>1474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3:28" x14ac:dyDescent="0.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3:28" x14ac:dyDescent="0.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3:28" x14ac:dyDescent="0.5">
      <c r="C24" s="14" t="s">
        <v>1345</v>
      </c>
      <c r="D24" s="1" t="s">
        <v>1618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3:28" x14ac:dyDescent="0.5">
      <c r="C25" s="15" t="s">
        <v>1552</v>
      </c>
      <c r="D25" s="16">
        <v>15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3:28" x14ac:dyDescent="0.5">
      <c r="C26" s="15" t="s">
        <v>1336</v>
      </c>
      <c r="D26" s="16">
        <v>27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3:28" x14ac:dyDescent="0.5">
      <c r="C27" s="15" t="s">
        <v>1346</v>
      </c>
      <c r="D27" s="16">
        <v>42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3:28" x14ac:dyDescent="0.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3:28" x14ac:dyDescent="0.5">
      <c r="C29" s="20" t="s">
        <v>1604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3:28" x14ac:dyDescent="0.5">
      <c r="C30" s="29" t="s">
        <v>0</v>
      </c>
      <c r="D30" s="29" t="s">
        <v>1</v>
      </c>
      <c r="E30" s="29" t="s">
        <v>3</v>
      </c>
      <c r="F30" s="29" t="s">
        <v>4</v>
      </c>
      <c r="G30" s="29" t="s">
        <v>5</v>
      </c>
      <c r="H30" s="29" t="s">
        <v>8</v>
      </c>
      <c r="I30" s="29" t="s">
        <v>11</v>
      </c>
      <c r="J30" s="29" t="s">
        <v>12</v>
      </c>
      <c r="K30" s="29" t="s">
        <v>1617</v>
      </c>
      <c r="L30" s="1"/>
      <c r="O30"/>
      <c r="P30" s="1"/>
      <c r="Q30" s="1"/>
      <c r="R30" s="1"/>
      <c r="S30" s="1"/>
      <c r="T30" s="1"/>
      <c r="U30" s="1"/>
      <c r="V30" s="1"/>
      <c r="W30" s="1"/>
    </row>
    <row r="31" spans="3:28" x14ac:dyDescent="0.5">
      <c r="C31" s="30">
        <v>6</v>
      </c>
      <c r="D31" s="30" t="s">
        <v>38</v>
      </c>
      <c r="E31" s="30" t="s">
        <v>39</v>
      </c>
      <c r="F31" s="30" t="s">
        <v>40</v>
      </c>
      <c r="G31" s="32">
        <v>43925</v>
      </c>
      <c r="H31" s="55">
        <v>4841510</v>
      </c>
      <c r="I31" s="30" t="s">
        <v>41</v>
      </c>
      <c r="J31" s="30" t="s">
        <v>42</v>
      </c>
      <c r="K31" s="30" t="str">
        <f>VLOOKUP(E31,'Test 3'!$E$4:$S$604,15,0)</f>
        <v>Pass</v>
      </c>
      <c r="L31" s="1"/>
      <c r="O31"/>
      <c r="P31" s="1"/>
      <c r="Q31" s="1"/>
      <c r="R31" s="1"/>
      <c r="S31" s="1"/>
      <c r="T31" s="1"/>
      <c r="U31" s="1"/>
      <c r="V31" s="1"/>
      <c r="W31" s="1"/>
    </row>
    <row r="32" spans="3:28" x14ac:dyDescent="0.5">
      <c r="C32" s="30">
        <v>28</v>
      </c>
      <c r="D32" s="30" t="s">
        <v>109</v>
      </c>
      <c r="E32" s="30" t="s">
        <v>110</v>
      </c>
      <c r="F32" s="30" t="s">
        <v>111</v>
      </c>
      <c r="G32" s="32">
        <v>43958</v>
      </c>
      <c r="H32" s="55">
        <v>4762260</v>
      </c>
      <c r="I32" s="30" t="s">
        <v>41</v>
      </c>
      <c r="J32" s="30" t="s">
        <v>42</v>
      </c>
      <c r="K32" s="30" t="str">
        <f>VLOOKUP(E32,'Test 3'!$E$4:$S$604,15,0)</f>
        <v>Pass</v>
      </c>
      <c r="L32" s="1"/>
      <c r="O32"/>
      <c r="P32" s="1"/>
      <c r="Q32" s="1"/>
      <c r="R32" s="1"/>
      <c r="S32" s="1"/>
      <c r="T32" s="1"/>
      <c r="U32" s="1"/>
      <c r="V32" s="1"/>
      <c r="W32" s="1"/>
    </row>
    <row r="33" spans="3:23" x14ac:dyDescent="0.5">
      <c r="C33" s="30">
        <v>72</v>
      </c>
      <c r="D33" s="30" t="s">
        <v>219</v>
      </c>
      <c r="E33" s="30" t="s">
        <v>220</v>
      </c>
      <c r="F33" s="30" t="s">
        <v>57</v>
      </c>
      <c r="G33" s="32">
        <v>44019</v>
      </c>
      <c r="H33" s="55">
        <v>4374900</v>
      </c>
      <c r="I33" s="30" t="s">
        <v>69</v>
      </c>
      <c r="J33" s="30" t="s">
        <v>41</v>
      </c>
      <c r="K33" s="30" t="str">
        <f>VLOOKUP(E33,'Test 3'!$E$4:$S$604,15,0)</f>
        <v>Pass</v>
      </c>
      <c r="L33" s="1"/>
      <c r="O33"/>
      <c r="P33" s="1"/>
      <c r="Q33" s="1"/>
      <c r="R33" s="1"/>
      <c r="S33" s="1"/>
      <c r="T33" s="1"/>
      <c r="U33" s="1"/>
      <c r="V33" s="1"/>
      <c r="W33" s="1"/>
    </row>
    <row r="34" spans="3:23" x14ac:dyDescent="0.5">
      <c r="C34" s="30">
        <v>154</v>
      </c>
      <c r="D34" s="30" t="s">
        <v>396</v>
      </c>
      <c r="E34" s="30" t="s">
        <v>397</v>
      </c>
      <c r="F34" s="30" t="s">
        <v>184</v>
      </c>
      <c r="G34" s="32">
        <v>44116</v>
      </c>
      <c r="H34" s="55">
        <v>4699400</v>
      </c>
      <c r="I34" s="30" t="s">
        <v>41</v>
      </c>
      <c r="J34" s="30" t="s">
        <v>42</v>
      </c>
      <c r="K34" s="30" t="str">
        <f>VLOOKUP(E34,'Test 3'!$E$4:$S$604,15,0)</f>
        <v>Pass</v>
      </c>
      <c r="L34" s="1"/>
      <c r="O34"/>
      <c r="P34" s="1"/>
      <c r="Q34" s="1"/>
      <c r="R34" s="1"/>
      <c r="S34" s="1"/>
      <c r="T34" s="1"/>
      <c r="U34" s="1"/>
      <c r="V34" s="1"/>
      <c r="W34" s="1"/>
    </row>
    <row r="35" spans="3:23" x14ac:dyDescent="0.5">
      <c r="C35" s="30">
        <v>302</v>
      </c>
      <c r="D35" s="30" t="s">
        <v>699</v>
      </c>
      <c r="E35" s="30" t="s">
        <v>700</v>
      </c>
      <c r="F35" s="53" t="s">
        <v>111</v>
      </c>
      <c r="G35" s="54">
        <v>44325</v>
      </c>
      <c r="H35" s="55">
        <v>4279450</v>
      </c>
      <c r="I35" s="30" t="s">
        <v>701</v>
      </c>
      <c r="J35" s="30" t="s">
        <v>41</v>
      </c>
      <c r="K35" s="30" t="str">
        <f>VLOOKUP(E35,'Test 3'!$E$4:$S$604,15,0)</f>
        <v>Red Flag</v>
      </c>
      <c r="L35" s="1"/>
      <c r="O35"/>
      <c r="P35" s="1"/>
      <c r="Q35" s="1"/>
      <c r="R35" s="1"/>
      <c r="S35" s="1"/>
      <c r="T35" s="1"/>
      <c r="U35" s="1"/>
      <c r="V35" s="1"/>
      <c r="W35" s="1"/>
    </row>
    <row r="36" spans="3:23" x14ac:dyDescent="0.5">
      <c r="C36" s="30">
        <v>312</v>
      </c>
      <c r="D36" s="30" t="s">
        <v>721</v>
      </c>
      <c r="E36" s="30" t="s">
        <v>722</v>
      </c>
      <c r="F36" s="53" t="s">
        <v>111</v>
      </c>
      <c r="G36" s="54">
        <v>44332</v>
      </c>
      <c r="H36" s="55">
        <v>4951880</v>
      </c>
      <c r="I36" s="30" t="s">
        <v>41</v>
      </c>
      <c r="J36" s="30" t="s">
        <v>42</v>
      </c>
      <c r="K36" s="30" t="str">
        <f>VLOOKUP(E36,'Test 3'!$E$4:$S$604,15,0)</f>
        <v>Red Flag</v>
      </c>
      <c r="L36" s="1"/>
      <c r="O36"/>
      <c r="P36" s="1"/>
      <c r="Q36" s="1"/>
      <c r="R36" s="1"/>
      <c r="S36" s="1"/>
      <c r="T36" s="1"/>
      <c r="U36" s="1"/>
      <c r="V36" s="1"/>
      <c r="W36" s="1"/>
    </row>
    <row r="37" spans="3:23" x14ac:dyDescent="0.5">
      <c r="C37" s="30">
        <v>320</v>
      </c>
      <c r="D37" s="30" t="s">
        <v>738</v>
      </c>
      <c r="E37" s="30" t="s">
        <v>739</v>
      </c>
      <c r="F37" s="53" t="s">
        <v>308</v>
      </c>
      <c r="G37" s="54">
        <v>44339</v>
      </c>
      <c r="H37" s="55">
        <v>4062620</v>
      </c>
      <c r="I37" s="30" t="s">
        <v>701</v>
      </c>
      <c r="J37" s="30" t="s">
        <v>41</v>
      </c>
      <c r="K37" s="30" t="str">
        <f>VLOOKUP(E37,'Test 3'!$E$4:$S$604,15,0)</f>
        <v>Red Flag</v>
      </c>
      <c r="L37" s="1"/>
      <c r="O37"/>
      <c r="P37" s="1"/>
      <c r="Q37" s="1"/>
      <c r="R37" s="1"/>
      <c r="S37" s="1"/>
      <c r="T37" s="1"/>
      <c r="U37" s="1"/>
      <c r="V37" s="1"/>
      <c r="W37" s="1"/>
    </row>
    <row r="38" spans="3:23" x14ac:dyDescent="0.5">
      <c r="C38" s="30">
        <v>321</v>
      </c>
      <c r="D38" s="30" t="s">
        <v>740</v>
      </c>
      <c r="E38" s="30" t="s">
        <v>741</v>
      </c>
      <c r="F38" s="53" t="s">
        <v>308</v>
      </c>
      <c r="G38" s="54">
        <v>44338</v>
      </c>
      <c r="H38" s="55">
        <v>4672170</v>
      </c>
      <c r="I38" s="30" t="s">
        <v>41</v>
      </c>
      <c r="J38" s="30" t="s">
        <v>42</v>
      </c>
      <c r="K38" s="30" t="str">
        <f>VLOOKUP(E38,'Test 3'!$E$4:$S$604,15,0)</f>
        <v>Red Flag</v>
      </c>
      <c r="L38" s="1"/>
      <c r="O38"/>
      <c r="P38" s="1"/>
      <c r="Q38" s="1"/>
      <c r="R38" s="1"/>
      <c r="S38" s="1"/>
      <c r="T38" s="1"/>
      <c r="U38" s="1"/>
      <c r="V38" s="1"/>
      <c r="W38" s="1"/>
    </row>
    <row r="39" spans="3:23" x14ac:dyDescent="0.5">
      <c r="C39" s="30">
        <v>328</v>
      </c>
      <c r="D39" s="30" t="s">
        <v>754</v>
      </c>
      <c r="E39" s="30" t="s">
        <v>755</v>
      </c>
      <c r="F39" s="53" t="s">
        <v>577</v>
      </c>
      <c r="G39" s="54">
        <v>44345</v>
      </c>
      <c r="H39" s="55">
        <v>4611710</v>
      </c>
      <c r="I39" s="30" t="s">
        <v>41</v>
      </c>
      <c r="J39" s="30" t="s">
        <v>42</v>
      </c>
      <c r="K39" s="30" t="str">
        <f>VLOOKUP(E39,'Test 3'!$E$4:$S$604,15,0)</f>
        <v>Red Flag</v>
      </c>
      <c r="L39" s="1"/>
      <c r="O39"/>
      <c r="P39" s="1"/>
      <c r="Q39" s="1"/>
      <c r="R39" s="1"/>
      <c r="S39" s="1"/>
      <c r="T39" s="1"/>
      <c r="U39" s="1"/>
      <c r="V39" s="1"/>
      <c r="W39" s="1"/>
    </row>
    <row r="40" spans="3:23" x14ac:dyDescent="0.5">
      <c r="C40" s="30">
        <v>335</v>
      </c>
      <c r="D40" s="30" t="s">
        <v>768</v>
      </c>
      <c r="E40" s="30" t="s">
        <v>769</v>
      </c>
      <c r="F40" s="53" t="s">
        <v>577</v>
      </c>
      <c r="G40" s="54">
        <v>44353</v>
      </c>
      <c r="H40" s="55">
        <v>4080130</v>
      </c>
      <c r="I40" s="30" t="s">
        <v>69</v>
      </c>
      <c r="J40" s="30" t="s">
        <v>41</v>
      </c>
      <c r="K40" s="30" t="str">
        <f>VLOOKUP(E40,'Test 3'!$E$4:$S$604,15,0)</f>
        <v>Red Flag</v>
      </c>
      <c r="L40" s="1"/>
      <c r="O40"/>
      <c r="P40" s="1"/>
      <c r="Q40" s="1"/>
      <c r="R40" s="1"/>
      <c r="S40" s="1"/>
      <c r="T40" s="1"/>
      <c r="U40" s="1"/>
      <c r="V40" s="1"/>
      <c r="W40" s="1"/>
    </row>
    <row r="41" spans="3:23" x14ac:dyDescent="0.5">
      <c r="C41" s="30">
        <v>349</v>
      </c>
      <c r="D41" s="30" t="s">
        <v>796</v>
      </c>
      <c r="E41" s="30" t="s">
        <v>797</v>
      </c>
      <c r="F41" s="53" t="s">
        <v>308</v>
      </c>
      <c r="G41" s="54">
        <v>44373</v>
      </c>
      <c r="H41" s="55">
        <v>4330520</v>
      </c>
      <c r="I41" s="30" t="s">
        <v>701</v>
      </c>
      <c r="J41" s="30" t="s">
        <v>41</v>
      </c>
      <c r="K41" s="30" t="str">
        <f>VLOOKUP(E41,'Test 3'!$E$4:$S$604,15,0)</f>
        <v>Red Flag</v>
      </c>
      <c r="L41" s="1"/>
      <c r="O41"/>
      <c r="P41" s="1"/>
      <c r="Q41" s="1"/>
      <c r="R41" s="1"/>
      <c r="S41" s="1"/>
      <c r="T41" s="1"/>
      <c r="U41" s="1"/>
      <c r="V41" s="1"/>
      <c r="W41" s="1"/>
    </row>
    <row r="42" spans="3:23" x14ac:dyDescent="0.5">
      <c r="C42" s="30">
        <v>353</v>
      </c>
      <c r="D42" s="30" t="s">
        <v>804</v>
      </c>
      <c r="E42" s="30" t="s">
        <v>805</v>
      </c>
      <c r="F42" s="53" t="s">
        <v>577</v>
      </c>
      <c r="G42" s="54">
        <v>44381</v>
      </c>
      <c r="H42" s="55">
        <v>4673740</v>
      </c>
      <c r="I42" s="30" t="s">
        <v>41</v>
      </c>
      <c r="J42" s="30" t="s">
        <v>42</v>
      </c>
      <c r="K42" s="30" t="str">
        <f>VLOOKUP(E42,'Test 3'!$E$4:$S$604,15,0)</f>
        <v>Red Flag</v>
      </c>
      <c r="L42" s="1"/>
      <c r="O42"/>
      <c r="P42" s="1"/>
      <c r="Q42" s="1"/>
      <c r="R42" s="1"/>
      <c r="S42" s="1"/>
      <c r="T42" s="1"/>
      <c r="U42" s="1"/>
      <c r="V42" s="1"/>
      <c r="W42" s="1"/>
    </row>
    <row r="43" spans="3:23" x14ac:dyDescent="0.5">
      <c r="C43" s="30">
        <v>355</v>
      </c>
      <c r="D43" s="30" t="s">
        <v>808</v>
      </c>
      <c r="E43" s="30" t="s">
        <v>809</v>
      </c>
      <c r="F43" s="53" t="s">
        <v>125</v>
      </c>
      <c r="G43" s="54">
        <v>44380</v>
      </c>
      <c r="H43" s="55">
        <v>4880550</v>
      </c>
      <c r="I43" s="30" t="s">
        <v>41</v>
      </c>
      <c r="J43" s="30" t="s">
        <v>42</v>
      </c>
      <c r="K43" s="30" t="str">
        <f>VLOOKUP(E43,'Test 3'!$E$4:$S$604,15,0)</f>
        <v>Pass</v>
      </c>
      <c r="L43" s="1"/>
      <c r="O43"/>
      <c r="P43" s="1"/>
      <c r="Q43" s="1"/>
      <c r="R43" s="1"/>
      <c r="S43" s="1"/>
      <c r="T43" s="1"/>
      <c r="U43" s="1"/>
      <c r="V43" s="1"/>
      <c r="W43" s="1"/>
    </row>
    <row r="44" spans="3:23" x14ac:dyDescent="0.5">
      <c r="C44" s="30">
        <v>356</v>
      </c>
      <c r="D44" s="30" t="s">
        <v>810</v>
      </c>
      <c r="E44" s="30" t="s">
        <v>811</v>
      </c>
      <c r="F44" s="53" t="s">
        <v>175</v>
      </c>
      <c r="G44" s="54">
        <v>44380</v>
      </c>
      <c r="H44" s="55">
        <v>4982880</v>
      </c>
      <c r="I44" s="30" t="s">
        <v>41</v>
      </c>
      <c r="J44" s="30" t="s">
        <v>42</v>
      </c>
      <c r="K44" s="30" t="str">
        <f>VLOOKUP(E44,'Test 3'!$E$4:$S$604,15,0)</f>
        <v>Pass</v>
      </c>
      <c r="L44" s="1"/>
      <c r="O44"/>
      <c r="P44" s="1"/>
      <c r="Q44" s="1"/>
      <c r="R44" s="1"/>
      <c r="S44" s="1"/>
      <c r="T44" s="1"/>
      <c r="U44" s="1"/>
      <c r="V44" s="1"/>
      <c r="W44" s="1"/>
    </row>
    <row r="45" spans="3:23" x14ac:dyDescent="0.5">
      <c r="C45" s="30">
        <v>361</v>
      </c>
      <c r="D45" s="30" t="s">
        <v>820</v>
      </c>
      <c r="E45" s="30" t="s">
        <v>821</v>
      </c>
      <c r="F45" s="53" t="s">
        <v>92</v>
      </c>
      <c r="G45" s="54">
        <v>44384</v>
      </c>
      <c r="H45" s="55">
        <v>4879050</v>
      </c>
      <c r="I45" s="30" t="s">
        <v>41</v>
      </c>
      <c r="J45" s="30" t="s">
        <v>42</v>
      </c>
      <c r="K45" s="30" t="str">
        <f>VLOOKUP(E45,'Test 3'!$E$4:$S$604,15,0)</f>
        <v>Pass</v>
      </c>
      <c r="L45" s="1"/>
      <c r="O45"/>
      <c r="P45" s="1"/>
      <c r="Q45" s="1"/>
      <c r="R45" s="1"/>
      <c r="S45" s="1"/>
      <c r="T45" s="1"/>
      <c r="U45" s="1"/>
      <c r="V45" s="1"/>
      <c r="W45" s="1"/>
    </row>
    <row r="46" spans="3:23" x14ac:dyDescent="0.5">
      <c r="C46" s="30">
        <v>362</v>
      </c>
      <c r="D46" s="30" t="s">
        <v>822</v>
      </c>
      <c r="E46" s="30" t="s">
        <v>823</v>
      </c>
      <c r="F46" s="53" t="s">
        <v>332</v>
      </c>
      <c r="G46" s="54">
        <v>44384</v>
      </c>
      <c r="H46" s="55">
        <v>4517900</v>
      </c>
      <c r="I46" s="30" t="s">
        <v>41</v>
      </c>
      <c r="J46" s="30" t="s">
        <v>42</v>
      </c>
      <c r="K46" s="30" t="str">
        <f>VLOOKUP(E46,'Test 3'!$E$4:$S$604,15,0)</f>
        <v>Pass</v>
      </c>
      <c r="L46" s="1"/>
      <c r="O46"/>
      <c r="P46" s="1"/>
      <c r="Q46" s="1"/>
      <c r="R46" s="1"/>
      <c r="S46" s="1"/>
      <c r="T46" s="1"/>
      <c r="U46" s="1"/>
      <c r="V46" s="1"/>
      <c r="W46" s="1"/>
    </row>
    <row r="47" spans="3:23" x14ac:dyDescent="0.5">
      <c r="C47" s="30">
        <v>363</v>
      </c>
      <c r="D47" s="30" t="s">
        <v>824</v>
      </c>
      <c r="E47" s="30" t="s">
        <v>825</v>
      </c>
      <c r="F47" s="53" t="s">
        <v>308</v>
      </c>
      <c r="G47" s="54">
        <v>44388</v>
      </c>
      <c r="H47" s="55">
        <v>4059510</v>
      </c>
      <c r="I47" s="30" t="s">
        <v>701</v>
      </c>
      <c r="J47" s="30" t="s">
        <v>41</v>
      </c>
      <c r="K47" s="30" t="str">
        <f>VLOOKUP(E47,'Test 3'!$E$4:$S$604,15,0)</f>
        <v>Red Flag</v>
      </c>
      <c r="L47" s="1"/>
      <c r="O47"/>
      <c r="P47" s="1"/>
      <c r="Q47" s="1"/>
      <c r="R47" s="1"/>
      <c r="S47" s="1"/>
      <c r="T47" s="1"/>
      <c r="U47" s="1"/>
      <c r="V47" s="1"/>
      <c r="W47" s="1"/>
    </row>
    <row r="48" spans="3:23" x14ac:dyDescent="0.5">
      <c r="C48" s="30">
        <v>377</v>
      </c>
      <c r="D48" s="30" t="s">
        <v>852</v>
      </c>
      <c r="E48" s="30" t="s">
        <v>853</v>
      </c>
      <c r="F48" s="53" t="s">
        <v>103</v>
      </c>
      <c r="G48" s="54">
        <v>44396</v>
      </c>
      <c r="H48" s="55">
        <v>4996140</v>
      </c>
      <c r="I48" s="30" t="s">
        <v>41</v>
      </c>
      <c r="J48" s="30" t="s">
        <v>42</v>
      </c>
      <c r="K48" s="30" t="str">
        <f>VLOOKUP(E48,'Test 3'!$E$4:$S$604,15,0)</f>
        <v>Pass</v>
      </c>
      <c r="L48" s="1"/>
      <c r="O48" s="1"/>
      <c r="P48" s="1"/>
      <c r="Q48" s="1"/>
      <c r="R48" s="1"/>
      <c r="S48" s="1"/>
      <c r="T48" s="1"/>
      <c r="U48" s="1"/>
      <c r="V48" s="1"/>
      <c r="W48" s="1"/>
    </row>
    <row r="49" spans="3:23" x14ac:dyDescent="0.5">
      <c r="C49" s="30">
        <v>379</v>
      </c>
      <c r="D49" s="30" t="s">
        <v>856</v>
      </c>
      <c r="E49" s="30" t="s">
        <v>857</v>
      </c>
      <c r="F49" s="53" t="s">
        <v>308</v>
      </c>
      <c r="G49" s="54">
        <v>44395</v>
      </c>
      <c r="H49" s="55">
        <v>4211080</v>
      </c>
      <c r="I49" s="30" t="s">
        <v>69</v>
      </c>
      <c r="J49" s="30" t="s">
        <v>41</v>
      </c>
      <c r="K49" s="30" t="str">
        <f>VLOOKUP(E49,'Test 3'!$E$4:$S$604,15,0)</f>
        <v>Red Flag</v>
      </c>
      <c r="L49" s="1"/>
      <c r="O49" s="1"/>
      <c r="P49" s="1"/>
      <c r="Q49" s="1"/>
      <c r="R49" s="1"/>
      <c r="S49" s="1"/>
      <c r="T49" s="1"/>
      <c r="U49" s="1"/>
      <c r="V49" s="1"/>
      <c r="W49" s="1"/>
    </row>
    <row r="50" spans="3:23" x14ac:dyDescent="0.5">
      <c r="C50" s="30">
        <v>385</v>
      </c>
      <c r="D50" s="30" t="s">
        <v>868</v>
      </c>
      <c r="E50" s="30" t="s">
        <v>869</v>
      </c>
      <c r="F50" s="53" t="s">
        <v>35</v>
      </c>
      <c r="G50" s="54">
        <v>44401</v>
      </c>
      <c r="H50" s="55">
        <v>4531660</v>
      </c>
      <c r="I50" s="30" t="s">
        <v>41</v>
      </c>
      <c r="J50" s="30" t="s">
        <v>42</v>
      </c>
      <c r="K50" s="30" t="str">
        <f>VLOOKUP(E50,'Test 3'!$E$4:$S$604,15,0)</f>
        <v>Pass</v>
      </c>
      <c r="L50" s="1"/>
      <c r="O50" s="1"/>
      <c r="P50" s="1"/>
      <c r="Q50" s="1"/>
      <c r="R50" s="1"/>
      <c r="S50" s="1"/>
      <c r="T50" s="1"/>
      <c r="U50" s="1"/>
      <c r="V50" s="1"/>
      <c r="W50" s="1"/>
    </row>
    <row r="51" spans="3:23" x14ac:dyDescent="0.5">
      <c r="C51" s="30">
        <v>387</v>
      </c>
      <c r="D51" s="30" t="s">
        <v>872</v>
      </c>
      <c r="E51" s="30" t="s">
        <v>873</v>
      </c>
      <c r="F51" s="53" t="s">
        <v>50</v>
      </c>
      <c r="G51" s="54">
        <v>44405</v>
      </c>
      <c r="H51" s="55">
        <v>4229320</v>
      </c>
      <c r="I51" s="30" t="s">
        <v>69</v>
      </c>
      <c r="J51" s="30" t="s">
        <v>41</v>
      </c>
      <c r="K51" s="30" t="str">
        <f>VLOOKUP(E51,'Test 3'!$E$4:$S$604,15,0)</f>
        <v>Pass</v>
      </c>
      <c r="L51" s="1"/>
      <c r="O51" s="1"/>
      <c r="P51" s="1"/>
      <c r="Q51" s="1"/>
      <c r="R51" s="1"/>
      <c r="S51" s="1"/>
      <c r="T51" s="1"/>
      <c r="U51" s="1"/>
      <c r="V51" s="1"/>
      <c r="W51" s="1"/>
    </row>
    <row r="52" spans="3:23" x14ac:dyDescent="0.5">
      <c r="C52" s="30">
        <v>388</v>
      </c>
      <c r="D52" s="30" t="s">
        <v>1309</v>
      </c>
      <c r="E52" s="30" t="s">
        <v>874</v>
      </c>
      <c r="F52" s="53" t="s">
        <v>290</v>
      </c>
      <c r="G52" s="54">
        <v>44406</v>
      </c>
      <c r="H52" s="55">
        <v>4620700</v>
      </c>
      <c r="I52" s="30" t="s">
        <v>41</v>
      </c>
      <c r="J52" s="30" t="s">
        <v>42</v>
      </c>
      <c r="K52" s="30" t="str">
        <f>VLOOKUP(E52,'Test 3'!$E$4:$S$604,15,0)</f>
        <v>Pass</v>
      </c>
      <c r="L52" s="1"/>
      <c r="O52" s="1"/>
      <c r="P52" s="1"/>
      <c r="Q52" s="1"/>
      <c r="R52" s="1"/>
      <c r="S52" s="1"/>
      <c r="T52" s="1"/>
      <c r="U52" s="1"/>
      <c r="V52" s="1"/>
      <c r="W52" s="1"/>
    </row>
    <row r="53" spans="3:23" x14ac:dyDescent="0.5">
      <c r="C53" s="30">
        <v>394</v>
      </c>
      <c r="D53" s="30" t="s">
        <v>885</v>
      </c>
      <c r="E53" s="30" t="s">
        <v>886</v>
      </c>
      <c r="F53" s="53" t="s">
        <v>308</v>
      </c>
      <c r="G53" s="54">
        <v>44415</v>
      </c>
      <c r="H53" s="55">
        <v>4250210</v>
      </c>
      <c r="I53" s="30" t="s">
        <v>701</v>
      </c>
      <c r="J53" s="30" t="s">
        <v>41</v>
      </c>
      <c r="K53" s="30" t="str">
        <f>VLOOKUP(E53,'Test 3'!$E$4:$S$604,15,0)</f>
        <v>Red Flag</v>
      </c>
      <c r="L53" s="1"/>
      <c r="O53" s="1"/>
      <c r="P53" s="1"/>
      <c r="Q53" s="1"/>
      <c r="R53" s="1"/>
      <c r="S53" s="1"/>
      <c r="T53" s="1"/>
      <c r="U53" s="1"/>
      <c r="V53" s="1"/>
      <c r="W53" s="1"/>
    </row>
    <row r="54" spans="3:23" x14ac:dyDescent="0.5">
      <c r="C54" s="30">
        <v>407</v>
      </c>
      <c r="D54" s="30" t="s">
        <v>911</v>
      </c>
      <c r="E54" s="30" t="s">
        <v>912</v>
      </c>
      <c r="F54" s="53" t="s">
        <v>111</v>
      </c>
      <c r="G54" s="54">
        <v>44423</v>
      </c>
      <c r="H54" s="55">
        <v>4927020</v>
      </c>
      <c r="I54" s="30" t="s">
        <v>41</v>
      </c>
      <c r="J54" s="30" t="s">
        <v>42</v>
      </c>
      <c r="K54" s="30" t="str">
        <f>VLOOKUP(E54,'Test 3'!$E$4:$S$604,15,0)</f>
        <v>Red Flag</v>
      </c>
      <c r="L54" s="1"/>
      <c r="O54" s="1"/>
      <c r="P54" s="1"/>
      <c r="Q54" s="1"/>
      <c r="R54" s="1"/>
      <c r="S54" s="1"/>
      <c r="T54" s="1"/>
      <c r="U54" s="1"/>
      <c r="V54" s="1"/>
      <c r="W54" s="1"/>
    </row>
    <row r="55" spans="3:23" x14ac:dyDescent="0.5">
      <c r="C55" s="30">
        <v>419</v>
      </c>
      <c r="D55" s="30" t="s">
        <v>936</v>
      </c>
      <c r="E55" s="30" t="s">
        <v>937</v>
      </c>
      <c r="F55" s="53" t="s">
        <v>119</v>
      </c>
      <c r="G55" s="54">
        <v>44426</v>
      </c>
      <c r="H55" s="55">
        <v>4002900</v>
      </c>
      <c r="I55" s="30" t="s">
        <v>701</v>
      </c>
      <c r="J55" s="30" t="s">
        <v>41</v>
      </c>
      <c r="K55" s="30" t="str">
        <f>VLOOKUP(E55,'Test 3'!$E$4:$S$604,15,0)</f>
        <v>Pass</v>
      </c>
      <c r="L55" s="1"/>
      <c r="O55" s="1"/>
      <c r="P55" s="1"/>
      <c r="Q55" s="1"/>
      <c r="R55" s="1"/>
      <c r="S55" s="1"/>
      <c r="T55" s="1"/>
      <c r="U55" s="1"/>
      <c r="V55" s="1"/>
      <c r="W55" s="1"/>
    </row>
    <row r="56" spans="3:23" x14ac:dyDescent="0.5">
      <c r="C56" s="30">
        <v>422</v>
      </c>
      <c r="D56" s="30" t="s">
        <v>942</v>
      </c>
      <c r="E56" s="30" t="s">
        <v>943</v>
      </c>
      <c r="F56" s="53" t="s">
        <v>378</v>
      </c>
      <c r="G56" s="54">
        <v>44429</v>
      </c>
      <c r="H56" s="55">
        <v>4728180</v>
      </c>
      <c r="I56" s="30" t="s">
        <v>41</v>
      </c>
      <c r="J56" s="30" t="s">
        <v>42</v>
      </c>
      <c r="K56" s="30" t="str">
        <f>VLOOKUP(E56,'Test 3'!$E$4:$S$604,15,0)</f>
        <v>Red Flag</v>
      </c>
      <c r="L56" s="1"/>
      <c r="O56" s="1"/>
      <c r="P56" s="1"/>
      <c r="Q56" s="1"/>
      <c r="R56" s="1"/>
      <c r="S56" s="1"/>
      <c r="T56" s="1"/>
      <c r="U56" s="1"/>
      <c r="V56" s="1"/>
      <c r="W56" s="1"/>
    </row>
    <row r="57" spans="3:23" x14ac:dyDescent="0.5">
      <c r="C57" s="30">
        <v>430</v>
      </c>
      <c r="D57" s="30" t="s">
        <v>958</v>
      </c>
      <c r="E57" s="30" t="s">
        <v>959</v>
      </c>
      <c r="F57" s="53" t="s">
        <v>241</v>
      </c>
      <c r="G57" s="54">
        <v>44443</v>
      </c>
      <c r="H57" s="55">
        <v>4497060</v>
      </c>
      <c r="I57" s="30" t="s">
        <v>69</v>
      </c>
      <c r="J57" s="30" t="s">
        <v>41</v>
      </c>
      <c r="K57" s="30" t="str">
        <f>VLOOKUP(E57,'Test 3'!$E$4:$S$604,15,0)</f>
        <v>Red Flag</v>
      </c>
      <c r="L57" s="1"/>
      <c r="O57" s="1"/>
      <c r="P57" s="1"/>
      <c r="Q57" s="1"/>
      <c r="R57" s="1"/>
      <c r="S57" s="1"/>
      <c r="T57" s="1"/>
      <c r="U57" s="1"/>
      <c r="V57" s="1"/>
      <c r="W57" s="1"/>
    </row>
    <row r="58" spans="3:23" x14ac:dyDescent="0.5">
      <c r="C58" s="30">
        <v>433</v>
      </c>
      <c r="D58" s="30" t="s">
        <v>964</v>
      </c>
      <c r="E58" s="30" t="s">
        <v>965</v>
      </c>
      <c r="F58" s="53" t="s">
        <v>378</v>
      </c>
      <c r="G58" s="54">
        <v>44450</v>
      </c>
      <c r="H58" s="55">
        <v>4648620</v>
      </c>
      <c r="I58" s="30" t="s">
        <v>41</v>
      </c>
      <c r="J58" s="30" t="s">
        <v>42</v>
      </c>
      <c r="K58" s="30" t="str">
        <f>VLOOKUP(E58,'Test 3'!$E$4:$S$604,15,0)</f>
        <v>Red Flag</v>
      </c>
      <c r="L58" s="1"/>
      <c r="O58" s="1"/>
      <c r="P58" s="1"/>
      <c r="Q58" s="1"/>
      <c r="R58" s="1"/>
      <c r="S58" s="1"/>
      <c r="T58" s="1"/>
      <c r="U58" s="1"/>
      <c r="V58" s="1"/>
      <c r="W58" s="1"/>
    </row>
    <row r="59" spans="3:23" x14ac:dyDescent="0.5">
      <c r="C59" s="30">
        <v>434</v>
      </c>
      <c r="D59" s="30" t="s">
        <v>966</v>
      </c>
      <c r="E59" s="30" t="s">
        <v>967</v>
      </c>
      <c r="F59" s="53" t="s">
        <v>378</v>
      </c>
      <c r="G59" s="54">
        <v>44457</v>
      </c>
      <c r="H59" s="55">
        <v>4232840</v>
      </c>
      <c r="I59" s="30" t="s">
        <v>69</v>
      </c>
      <c r="J59" s="30" t="s">
        <v>41</v>
      </c>
      <c r="K59" s="30" t="str">
        <f>VLOOKUP(E59,'Test 3'!$E$4:$S$604,15,0)</f>
        <v>Red Flag</v>
      </c>
      <c r="L59" s="1"/>
      <c r="O59" s="1"/>
      <c r="P59" s="1"/>
      <c r="Q59" s="1"/>
      <c r="R59" s="1"/>
      <c r="S59" s="1"/>
      <c r="T59" s="1"/>
      <c r="U59" s="1"/>
      <c r="V59" s="1"/>
      <c r="W59" s="1"/>
    </row>
    <row r="60" spans="3:23" x14ac:dyDescent="0.5">
      <c r="C60" s="30">
        <v>468</v>
      </c>
      <c r="D60" s="30" t="s">
        <v>1033</v>
      </c>
      <c r="E60" s="30" t="s">
        <v>1034</v>
      </c>
      <c r="F60" s="53" t="s">
        <v>577</v>
      </c>
      <c r="G60" s="54">
        <v>44506</v>
      </c>
      <c r="H60" s="55">
        <v>4817700</v>
      </c>
      <c r="I60" s="30" t="s">
        <v>41</v>
      </c>
      <c r="J60" s="30" t="s">
        <v>42</v>
      </c>
      <c r="K60" s="30" t="str">
        <f>VLOOKUP(E60,'Test 3'!$E$4:$S$604,15,0)</f>
        <v>Red Flag</v>
      </c>
      <c r="L60" s="1"/>
      <c r="O60" s="1"/>
      <c r="P60" s="1"/>
      <c r="Q60" s="1"/>
      <c r="R60" s="1"/>
      <c r="S60" s="1"/>
      <c r="T60" s="1"/>
      <c r="U60" s="1"/>
      <c r="V60" s="1"/>
      <c r="W60" s="1"/>
    </row>
    <row r="61" spans="3:23" x14ac:dyDescent="0.5">
      <c r="C61" s="30">
        <v>472</v>
      </c>
      <c r="D61" s="30" t="s">
        <v>1040</v>
      </c>
      <c r="E61" s="30" t="s">
        <v>1041</v>
      </c>
      <c r="F61" s="53" t="s">
        <v>111</v>
      </c>
      <c r="G61" s="54">
        <v>44507</v>
      </c>
      <c r="H61" s="55">
        <v>4275330</v>
      </c>
      <c r="I61" s="30" t="s">
        <v>701</v>
      </c>
      <c r="J61" s="30" t="s">
        <v>41</v>
      </c>
      <c r="K61" s="30" t="str">
        <f>VLOOKUP(E61,'Test 3'!$E$4:$S$604,15,0)</f>
        <v>Red Flag</v>
      </c>
      <c r="L61" s="1"/>
      <c r="O61" s="1"/>
      <c r="P61" s="1"/>
      <c r="Q61" s="1"/>
      <c r="R61" s="1"/>
      <c r="S61" s="1"/>
      <c r="T61" s="1"/>
      <c r="U61" s="1"/>
      <c r="V61" s="1"/>
      <c r="W61" s="1"/>
    </row>
    <row r="62" spans="3:23" x14ac:dyDescent="0.5">
      <c r="C62" s="30">
        <v>476</v>
      </c>
      <c r="D62" s="30" t="s">
        <v>1048</v>
      </c>
      <c r="E62" s="30" t="s">
        <v>1049</v>
      </c>
      <c r="F62" s="53" t="s">
        <v>241</v>
      </c>
      <c r="G62" s="54">
        <v>44514</v>
      </c>
      <c r="H62" s="55">
        <v>4441560</v>
      </c>
      <c r="I62" s="30" t="s">
        <v>701</v>
      </c>
      <c r="J62" s="30" t="s">
        <v>41</v>
      </c>
      <c r="K62" s="30" t="str">
        <f>VLOOKUP(E62,'Test 3'!$E$4:$S$604,15,0)</f>
        <v>Red Flag</v>
      </c>
      <c r="L62" s="1"/>
      <c r="O62" s="1"/>
      <c r="P62" s="1"/>
      <c r="Q62" s="1"/>
      <c r="R62" s="1"/>
      <c r="S62" s="1"/>
      <c r="T62" s="1"/>
      <c r="U62" s="1"/>
      <c r="V62" s="1"/>
      <c r="W62" s="1"/>
    </row>
    <row r="63" spans="3:23" x14ac:dyDescent="0.5">
      <c r="C63" s="30">
        <v>492</v>
      </c>
      <c r="D63" s="30" t="s">
        <v>1081</v>
      </c>
      <c r="E63" s="30" t="s">
        <v>1082</v>
      </c>
      <c r="F63" s="53" t="s">
        <v>241</v>
      </c>
      <c r="G63" s="54">
        <v>44535</v>
      </c>
      <c r="H63" s="55">
        <v>4050320</v>
      </c>
      <c r="I63" s="30" t="s">
        <v>69</v>
      </c>
      <c r="J63" s="30" t="s">
        <v>41</v>
      </c>
      <c r="K63" s="30" t="str">
        <f>VLOOKUP(E63,'Test 3'!$E$4:$S$604,15,0)</f>
        <v>Red Flag</v>
      </c>
      <c r="L63" s="1"/>
      <c r="O63" s="1"/>
      <c r="P63" s="1"/>
      <c r="Q63" s="1"/>
      <c r="R63" s="1"/>
      <c r="S63" s="1"/>
      <c r="T63" s="1"/>
      <c r="U63" s="1"/>
      <c r="V63" s="1"/>
      <c r="W63" s="1"/>
    </row>
    <row r="64" spans="3:23" x14ac:dyDescent="0.5">
      <c r="C64" s="30">
        <v>499</v>
      </c>
      <c r="D64" s="30" t="s">
        <v>1095</v>
      </c>
      <c r="E64" s="30" t="s">
        <v>1096</v>
      </c>
      <c r="F64" s="53" t="s">
        <v>308</v>
      </c>
      <c r="G64" s="54">
        <v>44542</v>
      </c>
      <c r="H64" s="55">
        <v>4463340</v>
      </c>
      <c r="I64" s="30" t="s">
        <v>701</v>
      </c>
      <c r="J64" s="30" t="s">
        <v>41</v>
      </c>
      <c r="K64" s="30" t="str">
        <f>VLOOKUP(E64,'Test 3'!$E$4:$S$604,15,0)</f>
        <v>Red Flag</v>
      </c>
      <c r="L64" s="1"/>
      <c r="O64" s="1"/>
      <c r="P64" s="1"/>
      <c r="Q64" s="1"/>
      <c r="R64" s="1"/>
      <c r="S64" s="1"/>
      <c r="T64" s="1"/>
      <c r="U64" s="1"/>
      <c r="V64" s="1"/>
      <c r="W64" s="1"/>
    </row>
    <row r="65" spans="3:763" x14ac:dyDescent="0.5">
      <c r="C65" s="30">
        <v>508</v>
      </c>
      <c r="D65" s="30" t="s">
        <v>1113</v>
      </c>
      <c r="E65" s="30" t="s">
        <v>1114</v>
      </c>
      <c r="F65" s="53" t="s">
        <v>241</v>
      </c>
      <c r="G65" s="54">
        <v>44541</v>
      </c>
      <c r="H65" s="55">
        <v>4918360</v>
      </c>
      <c r="I65" s="30" t="s">
        <v>41</v>
      </c>
      <c r="J65" s="30" t="s">
        <v>42</v>
      </c>
      <c r="K65" s="30" t="str">
        <f>VLOOKUP(E65,'Test 3'!$E$4:$S$604,15,0)</f>
        <v>Red Flag</v>
      </c>
      <c r="L65" s="1"/>
      <c r="O65" s="1"/>
      <c r="P65" s="1"/>
      <c r="Q65" s="1"/>
      <c r="R65" s="1"/>
      <c r="S65" s="1"/>
      <c r="T65" s="1"/>
      <c r="U65" s="1"/>
      <c r="V65" s="1"/>
      <c r="W65" s="1"/>
    </row>
    <row r="66" spans="3:763" x14ac:dyDescent="0.5">
      <c r="C66" s="30">
        <v>514</v>
      </c>
      <c r="D66" s="30" t="s">
        <v>1125</v>
      </c>
      <c r="E66" s="30" t="s">
        <v>1126</v>
      </c>
      <c r="F66" s="53" t="s">
        <v>241</v>
      </c>
      <c r="G66" s="54">
        <v>44549</v>
      </c>
      <c r="H66" s="55">
        <v>4924520</v>
      </c>
      <c r="I66" s="30" t="s">
        <v>41</v>
      </c>
      <c r="J66" s="30" t="s">
        <v>42</v>
      </c>
      <c r="K66" s="30" t="str">
        <f>VLOOKUP(E66,'Test 3'!$E$4:$S$604,15,0)</f>
        <v>Red Flag</v>
      </c>
      <c r="L66" s="1"/>
      <c r="O66" s="1"/>
      <c r="P66" s="1"/>
      <c r="Q66" s="1"/>
      <c r="R66" s="1"/>
      <c r="S66" s="1"/>
      <c r="T66" s="1"/>
      <c r="U66" s="1"/>
      <c r="V66" s="1"/>
      <c r="W66" s="1"/>
    </row>
    <row r="67" spans="3:763" x14ac:dyDescent="0.5">
      <c r="C67" s="30">
        <v>515</v>
      </c>
      <c r="D67" s="30" t="s">
        <v>1127</v>
      </c>
      <c r="E67" s="30" t="s">
        <v>1128</v>
      </c>
      <c r="F67" s="53" t="s">
        <v>308</v>
      </c>
      <c r="G67" s="54">
        <v>44548</v>
      </c>
      <c r="H67" s="55">
        <v>4823470</v>
      </c>
      <c r="I67" s="30" t="s">
        <v>41</v>
      </c>
      <c r="J67" s="30" t="s">
        <v>42</v>
      </c>
      <c r="K67" s="30" t="str">
        <f>VLOOKUP(E67,'Test 3'!$E$4:$S$604,15,0)</f>
        <v>Red Flag</v>
      </c>
      <c r="L67" s="1"/>
      <c r="O67" s="1"/>
      <c r="P67" s="1"/>
      <c r="Q67" s="1"/>
      <c r="R67" s="1"/>
      <c r="S67" s="1"/>
      <c r="T67" s="1"/>
      <c r="U67" s="1"/>
      <c r="V67" s="1"/>
      <c r="W67" s="1"/>
    </row>
    <row r="68" spans="3:763" x14ac:dyDescent="0.5">
      <c r="C68" s="30">
        <v>524</v>
      </c>
      <c r="D68" s="30" t="s">
        <v>1145</v>
      </c>
      <c r="E68" s="30" t="s">
        <v>1146</v>
      </c>
      <c r="F68" s="53" t="s">
        <v>378</v>
      </c>
      <c r="G68" s="54">
        <v>44563</v>
      </c>
      <c r="H68" s="55">
        <v>4363500</v>
      </c>
      <c r="I68" s="30" t="s">
        <v>701</v>
      </c>
      <c r="J68" s="30" t="s">
        <v>41</v>
      </c>
      <c r="K68" s="30" t="str">
        <f>VLOOKUP(E68,'Test 3'!$E$4:$S$604,15,0)</f>
        <v>Red Flag</v>
      </c>
      <c r="L68" s="1"/>
      <c r="O68" s="1"/>
      <c r="P68" s="1"/>
      <c r="Q68" s="1"/>
      <c r="R68" s="1"/>
      <c r="S68" s="1"/>
      <c r="T68" s="1"/>
      <c r="U68" s="1"/>
      <c r="V68" s="1"/>
      <c r="W68" s="1"/>
    </row>
    <row r="69" spans="3:763" x14ac:dyDescent="0.5">
      <c r="C69" s="30">
        <v>534</v>
      </c>
      <c r="D69" s="30" t="s">
        <v>1165</v>
      </c>
      <c r="E69" s="30" t="s">
        <v>1166</v>
      </c>
      <c r="F69" s="53" t="s">
        <v>577</v>
      </c>
      <c r="G69" s="54">
        <v>44577</v>
      </c>
      <c r="H69" s="55">
        <v>4847720</v>
      </c>
      <c r="I69" s="30" t="s">
        <v>41</v>
      </c>
      <c r="J69" s="30" t="s">
        <v>42</v>
      </c>
      <c r="K69" s="30" t="str">
        <f>VLOOKUP(E69,'Test 3'!$E$4:$S$604,15,0)</f>
        <v>Red Flag</v>
      </c>
      <c r="L69" s="1"/>
      <c r="O69" s="1"/>
      <c r="P69" s="1"/>
      <c r="Q69" s="1"/>
      <c r="R69" s="1"/>
      <c r="S69" s="1"/>
      <c r="T69" s="1"/>
      <c r="U69" s="1"/>
      <c r="V69" s="1"/>
      <c r="W69" s="1"/>
    </row>
    <row r="70" spans="3:763" x14ac:dyDescent="0.5">
      <c r="C70" s="30">
        <v>540</v>
      </c>
      <c r="D70" s="30" t="s">
        <v>1177</v>
      </c>
      <c r="E70" s="30" t="s">
        <v>1178</v>
      </c>
      <c r="F70" s="53" t="s">
        <v>111</v>
      </c>
      <c r="G70" s="54">
        <v>44583</v>
      </c>
      <c r="H70" s="55">
        <v>4651520</v>
      </c>
      <c r="I70" s="30" t="s">
        <v>41</v>
      </c>
      <c r="J70" s="30" t="s">
        <v>42</v>
      </c>
      <c r="K70" s="30" t="str">
        <f>VLOOKUP(E70,'Test 3'!$E$4:$S$604,15,0)</f>
        <v>Red Flag</v>
      </c>
      <c r="L70" s="1"/>
      <c r="O70" s="1"/>
      <c r="P70" s="1"/>
      <c r="Q70" s="1"/>
      <c r="R70" s="1"/>
      <c r="S70" s="1"/>
      <c r="T70" s="1"/>
      <c r="U70" s="1"/>
      <c r="V70" s="1"/>
      <c r="W70" s="1"/>
    </row>
    <row r="71" spans="3:763" x14ac:dyDescent="0.5">
      <c r="C71" s="30">
        <v>548</v>
      </c>
      <c r="D71" s="30" t="s">
        <v>1193</v>
      </c>
      <c r="E71" s="30" t="s">
        <v>1194</v>
      </c>
      <c r="F71" s="30" t="s">
        <v>156</v>
      </c>
      <c r="G71" s="54">
        <v>44586</v>
      </c>
      <c r="H71" s="55">
        <v>4724620</v>
      </c>
      <c r="I71" s="30" t="s">
        <v>41</v>
      </c>
      <c r="J71" s="30" t="s">
        <v>42</v>
      </c>
      <c r="K71" s="30" t="str">
        <f>VLOOKUP(E71,'Test 3'!$E$4:$S$604,15,0)</f>
        <v>Pass</v>
      </c>
      <c r="L71" s="1"/>
      <c r="O71" s="1"/>
      <c r="P71" s="1"/>
      <c r="Q71" s="1"/>
      <c r="R71" s="1"/>
      <c r="S71" s="1"/>
      <c r="T71" s="1"/>
      <c r="U71" s="1"/>
      <c r="V71" s="1"/>
      <c r="W71" s="1"/>
    </row>
    <row r="72" spans="3:763" x14ac:dyDescent="0.5">
      <c r="C72" s="30">
        <v>575</v>
      </c>
      <c r="D72" s="30" t="s">
        <v>1247</v>
      </c>
      <c r="E72" s="30" t="s">
        <v>1248</v>
      </c>
      <c r="F72" s="30" t="s">
        <v>92</v>
      </c>
      <c r="G72" s="54">
        <v>44613</v>
      </c>
      <c r="H72" s="55">
        <v>4474800</v>
      </c>
      <c r="I72" s="30" t="s">
        <v>1078</v>
      </c>
      <c r="J72" s="30" t="s">
        <v>41</v>
      </c>
      <c r="K72" s="30" t="str">
        <f>VLOOKUP(E72,'Test 3'!$E$4:$S$604,15,0)</f>
        <v>Pass</v>
      </c>
    </row>
    <row r="75" spans="3:763" x14ac:dyDescent="0.5">
      <c r="C75" s="20" t="s">
        <v>1609</v>
      </c>
    </row>
    <row r="77" spans="3:763" x14ac:dyDescent="0.5">
      <c r="C77" s="10" t="s">
        <v>1345</v>
      </c>
      <c r="D77" t="s">
        <v>1344</v>
      </c>
      <c r="E77" t="s">
        <v>1602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</row>
    <row r="78" spans="3:763" x14ac:dyDescent="0.5">
      <c r="C78" s="11" t="s">
        <v>1607</v>
      </c>
      <c r="D78" s="12"/>
      <c r="E78" s="64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</row>
    <row r="79" spans="3:763" x14ac:dyDescent="0.5">
      <c r="C79" s="19" t="s">
        <v>1599</v>
      </c>
      <c r="D79" s="12">
        <v>18678070</v>
      </c>
      <c r="E79" s="64">
        <v>4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</row>
    <row r="80" spans="3:763" x14ac:dyDescent="0.5">
      <c r="C80" s="19" t="s">
        <v>1600</v>
      </c>
      <c r="D80" s="12">
        <v>53671740</v>
      </c>
      <c r="E80" s="64">
        <v>7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</row>
    <row r="81" spans="2:763" x14ac:dyDescent="0.5">
      <c r="C81" s="19" t="s">
        <v>1601</v>
      </c>
      <c r="D81" s="12">
        <v>86586570</v>
      </c>
      <c r="E81" s="64">
        <v>248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</row>
    <row r="82" spans="2:763" x14ac:dyDescent="0.5">
      <c r="C82" s="11" t="s">
        <v>1608</v>
      </c>
      <c r="D82" s="12"/>
      <c r="E82" s="64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</row>
    <row r="83" spans="2:763" x14ac:dyDescent="0.5">
      <c r="C83" s="19" t="s">
        <v>1599</v>
      </c>
      <c r="D83" s="12">
        <v>172634600</v>
      </c>
      <c r="E83" s="64">
        <v>38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</row>
    <row r="84" spans="2:763" x14ac:dyDescent="0.5">
      <c r="C84" s="19" t="s">
        <v>1600</v>
      </c>
      <c r="D84" s="12">
        <v>55351920</v>
      </c>
      <c r="E84" s="64">
        <v>6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</row>
    <row r="85" spans="2:763" x14ac:dyDescent="0.5">
      <c r="C85" s="19" t="s">
        <v>1601</v>
      </c>
      <c r="D85" s="12">
        <v>93920520</v>
      </c>
      <c r="E85" s="64">
        <v>297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</row>
    <row r="86" spans="2:763" x14ac:dyDescent="0.5">
      <c r="C86" s="11" t="s">
        <v>1346</v>
      </c>
      <c r="D86" s="12">
        <v>480843420</v>
      </c>
      <c r="E86" s="64">
        <v>600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</row>
    <row r="87" spans="2:763" x14ac:dyDescent="0.5"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</row>
    <row r="88" spans="2:763" x14ac:dyDescent="0.5"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</row>
    <row r="89" spans="2:763" x14ac:dyDescent="0.5">
      <c r="B89" s="8" t="s">
        <v>1603</v>
      </c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2:763" x14ac:dyDescent="0.5"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2:763" x14ac:dyDescent="0.5">
      <c r="B91" s="29" t="s">
        <v>0</v>
      </c>
      <c r="C91" s="29" t="s">
        <v>1</v>
      </c>
      <c r="D91" s="29" t="s">
        <v>1590</v>
      </c>
      <c r="E91" s="29" t="s">
        <v>8</v>
      </c>
      <c r="F91" s="29" t="s">
        <v>1605</v>
      </c>
      <c r="G91" s="29" t="s">
        <v>1606</v>
      </c>
    </row>
    <row r="92" spans="2:763" x14ac:dyDescent="0.5">
      <c r="B92" s="30">
        <v>1</v>
      </c>
      <c r="C92" s="30" t="s">
        <v>13</v>
      </c>
      <c r="D92" s="32">
        <v>43922</v>
      </c>
      <c r="E92" s="34">
        <v>483830</v>
      </c>
      <c r="F92" s="30" t="str">
        <f t="shared" ref="F92:F155" si="0">IF(E92&lt;3000000,"Below 30L",IF(E92&lt;4000000,"30L to 40L",IF(E92&lt;5000000,"40L to 50L",IF(E92&gt;=5000000,"50L and above"))))</f>
        <v>Below 30L</v>
      </c>
      <c r="G92" s="30" t="str">
        <f>IF(AND(DATE(2021,4,1)&lt;=D92,D92&lt;=DATE(2022,3,31)),"FY 21-22","FY 20-21")</f>
        <v>FY 20-21</v>
      </c>
    </row>
    <row r="93" spans="2:763" x14ac:dyDescent="0.5">
      <c r="B93" s="30">
        <v>2</v>
      </c>
      <c r="C93" s="30" t="s">
        <v>20</v>
      </c>
      <c r="D93" s="32">
        <v>43924</v>
      </c>
      <c r="E93" s="34">
        <v>462100</v>
      </c>
      <c r="F93" s="30" t="str">
        <f t="shared" si="0"/>
        <v>Below 30L</v>
      </c>
      <c r="G93" s="30" t="str">
        <f t="shared" ref="G93:G156" si="1">IF(AND(DATE(2021,4,1)&lt;=D93,D93&lt;=DATE(2022,3,31)),"FY 21-22","FY 20-21")</f>
        <v>FY 20-21</v>
      </c>
    </row>
    <row r="94" spans="2:763" x14ac:dyDescent="0.5">
      <c r="B94" s="30">
        <v>3</v>
      </c>
      <c r="C94" s="30" t="s">
        <v>25</v>
      </c>
      <c r="D94" s="32">
        <v>43924</v>
      </c>
      <c r="E94" s="34">
        <v>372600</v>
      </c>
      <c r="F94" s="30" t="str">
        <f t="shared" si="0"/>
        <v>Below 30L</v>
      </c>
      <c r="G94" s="30" t="str">
        <f t="shared" si="1"/>
        <v>FY 20-21</v>
      </c>
    </row>
    <row r="95" spans="2:763" x14ac:dyDescent="0.5">
      <c r="B95" s="30">
        <v>4</v>
      </c>
      <c r="C95" s="30" t="s">
        <v>29</v>
      </c>
      <c r="D95" s="32">
        <v>43925</v>
      </c>
      <c r="E95" s="34">
        <v>34370</v>
      </c>
      <c r="F95" s="30" t="str">
        <f t="shared" si="0"/>
        <v>Below 30L</v>
      </c>
      <c r="G95" s="30" t="str">
        <f t="shared" si="1"/>
        <v>FY 20-21</v>
      </c>
    </row>
    <row r="96" spans="2:763" x14ac:dyDescent="0.5">
      <c r="B96" s="30">
        <v>5</v>
      </c>
      <c r="C96" s="30" t="s">
        <v>33</v>
      </c>
      <c r="D96" s="32">
        <v>43925</v>
      </c>
      <c r="E96" s="34">
        <v>24190</v>
      </c>
      <c r="F96" s="30" t="str">
        <f t="shared" si="0"/>
        <v>Below 30L</v>
      </c>
      <c r="G96" s="30" t="str">
        <f t="shared" si="1"/>
        <v>FY 20-21</v>
      </c>
    </row>
    <row r="97" spans="2:7" x14ac:dyDescent="0.5">
      <c r="B97" s="30">
        <v>6</v>
      </c>
      <c r="C97" s="30" t="s">
        <v>38</v>
      </c>
      <c r="D97" s="32">
        <v>43925</v>
      </c>
      <c r="E97" s="34">
        <v>4841510</v>
      </c>
      <c r="F97" s="30" t="str">
        <f t="shared" si="0"/>
        <v>40L to 50L</v>
      </c>
      <c r="G97" s="30" t="str">
        <f t="shared" si="1"/>
        <v>FY 20-21</v>
      </c>
    </row>
    <row r="98" spans="2:7" x14ac:dyDescent="0.5">
      <c r="B98" s="30">
        <v>7</v>
      </c>
      <c r="C98" s="30" t="s">
        <v>43</v>
      </c>
      <c r="D98" s="32">
        <v>43925</v>
      </c>
      <c r="E98" s="34">
        <v>469180</v>
      </c>
      <c r="F98" s="30" t="str">
        <f t="shared" si="0"/>
        <v>Below 30L</v>
      </c>
      <c r="G98" s="30" t="str">
        <f t="shared" si="1"/>
        <v>FY 20-21</v>
      </c>
    </row>
    <row r="99" spans="2:7" x14ac:dyDescent="0.5">
      <c r="B99" s="30">
        <v>8</v>
      </c>
      <c r="C99" s="30" t="s">
        <v>48</v>
      </c>
      <c r="D99" s="32">
        <v>43928</v>
      </c>
      <c r="E99" s="34">
        <v>480710</v>
      </c>
      <c r="F99" s="30" t="str">
        <f t="shared" si="0"/>
        <v>Below 30L</v>
      </c>
      <c r="G99" s="30" t="str">
        <f t="shared" si="1"/>
        <v>FY 20-21</v>
      </c>
    </row>
    <row r="100" spans="2:7" x14ac:dyDescent="0.5">
      <c r="B100" s="30">
        <v>9</v>
      </c>
      <c r="C100" s="30" t="s">
        <v>52</v>
      </c>
      <c r="D100" s="32">
        <v>43929</v>
      </c>
      <c r="E100" s="34">
        <v>343170</v>
      </c>
      <c r="F100" s="30" t="str">
        <f t="shared" si="0"/>
        <v>Below 30L</v>
      </c>
      <c r="G100" s="30" t="str">
        <f t="shared" si="1"/>
        <v>FY 20-21</v>
      </c>
    </row>
    <row r="101" spans="2:7" x14ac:dyDescent="0.5">
      <c r="B101" s="30">
        <v>10</v>
      </c>
      <c r="C101" s="30" t="s">
        <v>55</v>
      </c>
      <c r="D101" s="32">
        <v>43930</v>
      </c>
      <c r="E101" s="34">
        <v>474940</v>
      </c>
      <c r="F101" s="30" t="str">
        <f t="shared" si="0"/>
        <v>Below 30L</v>
      </c>
      <c r="G101" s="30" t="str">
        <f t="shared" si="1"/>
        <v>FY 20-21</v>
      </c>
    </row>
    <row r="102" spans="2:7" x14ac:dyDescent="0.5">
      <c r="B102" s="30">
        <v>11</v>
      </c>
      <c r="C102" s="30" t="s">
        <v>58</v>
      </c>
      <c r="D102" s="32">
        <v>43932</v>
      </c>
      <c r="E102" s="34">
        <v>50900</v>
      </c>
      <c r="F102" s="30" t="str">
        <f t="shared" si="0"/>
        <v>Below 30L</v>
      </c>
      <c r="G102" s="30" t="str">
        <f t="shared" si="1"/>
        <v>FY 20-21</v>
      </c>
    </row>
    <row r="103" spans="2:7" x14ac:dyDescent="0.5">
      <c r="B103" s="30">
        <v>12</v>
      </c>
      <c r="C103" s="30" t="s">
        <v>62</v>
      </c>
      <c r="D103" s="32">
        <v>43937</v>
      </c>
      <c r="E103" s="34">
        <v>335080</v>
      </c>
      <c r="F103" s="30" t="str">
        <f t="shared" si="0"/>
        <v>Below 30L</v>
      </c>
      <c r="G103" s="30" t="str">
        <f t="shared" si="1"/>
        <v>FY 20-21</v>
      </c>
    </row>
    <row r="104" spans="2:7" x14ac:dyDescent="0.5">
      <c r="B104" s="30">
        <v>13</v>
      </c>
      <c r="C104" s="30" t="s">
        <v>65</v>
      </c>
      <c r="D104" s="32">
        <v>43939</v>
      </c>
      <c r="E104" s="34">
        <v>501490</v>
      </c>
      <c r="F104" s="30" t="str">
        <f t="shared" si="0"/>
        <v>Below 30L</v>
      </c>
      <c r="G104" s="30" t="str">
        <f t="shared" si="1"/>
        <v>FY 20-21</v>
      </c>
    </row>
    <row r="105" spans="2:7" x14ac:dyDescent="0.5">
      <c r="B105" s="30">
        <v>14</v>
      </c>
      <c r="C105" s="30" t="s">
        <v>70</v>
      </c>
      <c r="D105" s="32">
        <v>43942</v>
      </c>
      <c r="E105" s="34">
        <v>209260</v>
      </c>
      <c r="F105" s="30" t="str">
        <f t="shared" si="0"/>
        <v>Below 30L</v>
      </c>
      <c r="G105" s="30" t="str">
        <f t="shared" si="1"/>
        <v>FY 20-21</v>
      </c>
    </row>
    <row r="106" spans="2:7" x14ac:dyDescent="0.5">
      <c r="B106" s="30">
        <v>15</v>
      </c>
      <c r="C106" s="30" t="s">
        <v>73</v>
      </c>
      <c r="D106" s="32">
        <v>43942</v>
      </c>
      <c r="E106" s="34">
        <v>317130</v>
      </c>
      <c r="F106" s="30" t="str">
        <f t="shared" si="0"/>
        <v>Below 30L</v>
      </c>
      <c r="G106" s="30" t="str">
        <f t="shared" si="1"/>
        <v>FY 20-21</v>
      </c>
    </row>
    <row r="107" spans="2:7" x14ac:dyDescent="0.5">
      <c r="B107" s="30">
        <v>16</v>
      </c>
      <c r="C107" s="30" t="s">
        <v>75</v>
      </c>
      <c r="D107" s="32">
        <v>43943</v>
      </c>
      <c r="E107" s="34">
        <v>42850</v>
      </c>
      <c r="F107" s="30" t="str">
        <f t="shared" si="0"/>
        <v>Below 30L</v>
      </c>
      <c r="G107" s="30" t="str">
        <f t="shared" si="1"/>
        <v>FY 20-21</v>
      </c>
    </row>
    <row r="108" spans="2:7" x14ac:dyDescent="0.5">
      <c r="B108" s="30">
        <v>17</v>
      </c>
      <c r="C108" s="30" t="s">
        <v>79</v>
      </c>
      <c r="D108" s="32">
        <v>43945</v>
      </c>
      <c r="E108" s="34">
        <v>477910</v>
      </c>
      <c r="F108" s="30" t="str">
        <f t="shared" si="0"/>
        <v>Below 30L</v>
      </c>
      <c r="G108" s="30" t="str">
        <f t="shared" si="1"/>
        <v>FY 20-21</v>
      </c>
    </row>
    <row r="109" spans="2:7" x14ac:dyDescent="0.5">
      <c r="B109" s="30">
        <v>18</v>
      </c>
      <c r="C109" s="30" t="s">
        <v>82</v>
      </c>
      <c r="D109" s="32">
        <v>43946</v>
      </c>
      <c r="E109" s="34">
        <v>345580</v>
      </c>
      <c r="F109" s="30" t="str">
        <f t="shared" si="0"/>
        <v>Below 30L</v>
      </c>
      <c r="G109" s="30" t="str">
        <f t="shared" si="1"/>
        <v>FY 20-21</v>
      </c>
    </row>
    <row r="110" spans="2:7" x14ac:dyDescent="0.5">
      <c r="B110" s="30">
        <v>19</v>
      </c>
      <c r="C110" s="30" t="s">
        <v>85</v>
      </c>
      <c r="D110" s="32">
        <v>43948</v>
      </c>
      <c r="E110" s="34">
        <v>337140</v>
      </c>
      <c r="F110" s="30" t="str">
        <f t="shared" si="0"/>
        <v>Below 30L</v>
      </c>
      <c r="G110" s="30" t="str">
        <f t="shared" si="1"/>
        <v>FY 20-21</v>
      </c>
    </row>
    <row r="111" spans="2:7" x14ac:dyDescent="0.5">
      <c r="B111" s="30">
        <v>20</v>
      </c>
      <c r="C111" s="30" t="s">
        <v>88</v>
      </c>
      <c r="D111" s="32">
        <v>43949</v>
      </c>
      <c r="E111" s="34">
        <v>477620</v>
      </c>
      <c r="F111" s="30" t="str">
        <f t="shared" si="0"/>
        <v>Below 30L</v>
      </c>
      <c r="G111" s="30" t="str">
        <f t="shared" si="1"/>
        <v>FY 20-21</v>
      </c>
    </row>
    <row r="112" spans="2:7" x14ac:dyDescent="0.5">
      <c r="B112" s="30">
        <v>21</v>
      </c>
      <c r="C112" s="30" t="s">
        <v>90</v>
      </c>
      <c r="D112" s="32">
        <v>43952</v>
      </c>
      <c r="E112" s="34">
        <v>453890</v>
      </c>
      <c r="F112" s="30" t="str">
        <f t="shared" si="0"/>
        <v>Below 30L</v>
      </c>
      <c r="G112" s="30" t="str">
        <f t="shared" si="1"/>
        <v>FY 20-21</v>
      </c>
    </row>
    <row r="113" spans="2:7" x14ac:dyDescent="0.5">
      <c r="B113" s="30">
        <v>22</v>
      </c>
      <c r="C113" s="30" t="s">
        <v>93</v>
      </c>
      <c r="D113" s="32">
        <v>43955</v>
      </c>
      <c r="E113" s="34">
        <v>230560</v>
      </c>
      <c r="F113" s="30" t="str">
        <f t="shared" si="0"/>
        <v>Below 30L</v>
      </c>
      <c r="G113" s="30" t="str">
        <f t="shared" si="1"/>
        <v>FY 20-21</v>
      </c>
    </row>
    <row r="114" spans="2:7" x14ac:dyDescent="0.5">
      <c r="B114" s="30">
        <v>23</v>
      </c>
      <c r="C114" s="30" t="s">
        <v>97</v>
      </c>
      <c r="D114" s="32">
        <v>43955</v>
      </c>
      <c r="E114" s="34">
        <v>207690</v>
      </c>
      <c r="F114" s="30" t="str">
        <f t="shared" si="0"/>
        <v>Below 30L</v>
      </c>
      <c r="G114" s="30" t="str">
        <f t="shared" si="1"/>
        <v>FY 20-21</v>
      </c>
    </row>
    <row r="115" spans="2:7" x14ac:dyDescent="0.5">
      <c r="B115" s="30">
        <v>24</v>
      </c>
      <c r="C115" s="30" t="s">
        <v>99</v>
      </c>
      <c r="D115" s="32">
        <v>43955</v>
      </c>
      <c r="E115" s="34">
        <v>498780</v>
      </c>
      <c r="F115" s="30" t="str">
        <f t="shared" si="0"/>
        <v>Below 30L</v>
      </c>
      <c r="G115" s="30" t="str">
        <f t="shared" si="1"/>
        <v>FY 20-21</v>
      </c>
    </row>
    <row r="116" spans="2:7" x14ac:dyDescent="0.5">
      <c r="B116" s="30">
        <v>25</v>
      </c>
      <c r="C116" s="30" t="s">
        <v>101</v>
      </c>
      <c r="D116" s="32">
        <v>43956</v>
      </c>
      <c r="E116" s="34">
        <v>265850</v>
      </c>
      <c r="F116" s="30" t="str">
        <f t="shared" si="0"/>
        <v>Below 30L</v>
      </c>
      <c r="G116" s="30" t="str">
        <f t="shared" si="1"/>
        <v>FY 20-21</v>
      </c>
    </row>
    <row r="117" spans="2:7" x14ac:dyDescent="0.5">
      <c r="B117" s="30">
        <v>26</v>
      </c>
      <c r="C117" s="30" t="s">
        <v>104</v>
      </c>
      <c r="D117" s="32">
        <v>43957</v>
      </c>
      <c r="E117" s="34">
        <v>23290</v>
      </c>
      <c r="F117" s="30" t="str">
        <f t="shared" si="0"/>
        <v>Below 30L</v>
      </c>
      <c r="G117" s="30" t="str">
        <f t="shared" si="1"/>
        <v>FY 20-21</v>
      </c>
    </row>
    <row r="118" spans="2:7" x14ac:dyDescent="0.5">
      <c r="B118" s="30">
        <v>27</v>
      </c>
      <c r="C118" s="30" t="s">
        <v>107</v>
      </c>
      <c r="D118" s="32">
        <v>43958</v>
      </c>
      <c r="E118" s="34">
        <v>432790</v>
      </c>
      <c r="F118" s="30" t="str">
        <f t="shared" si="0"/>
        <v>Below 30L</v>
      </c>
      <c r="G118" s="30" t="str">
        <f t="shared" si="1"/>
        <v>FY 20-21</v>
      </c>
    </row>
    <row r="119" spans="2:7" x14ac:dyDescent="0.5">
      <c r="B119" s="30">
        <v>28</v>
      </c>
      <c r="C119" s="30" t="s">
        <v>109</v>
      </c>
      <c r="D119" s="32">
        <v>43958</v>
      </c>
      <c r="E119" s="34">
        <v>4762260</v>
      </c>
      <c r="F119" s="30" t="str">
        <f t="shared" si="0"/>
        <v>40L to 50L</v>
      </c>
      <c r="G119" s="30" t="str">
        <f t="shared" si="1"/>
        <v>FY 20-21</v>
      </c>
    </row>
    <row r="120" spans="2:7" x14ac:dyDescent="0.5">
      <c r="B120" s="30">
        <v>29</v>
      </c>
      <c r="C120" s="30" t="s">
        <v>112</v>
      </c>
      <c r="D120" s="32">
        <v>43960</v>
      </c>
      <c r="E120" s="34">
        <v>311700</v>
      </c>
      <c r="F120" s="30" t="str">
        <f t="shared" si="0"/>
        <v>Below 30L</v>
      </c>
      <c r="G120" s="30" t="str">
        <f t="shared" si="1"/>
        <v>FY 20-21</v>
      </c>
    </row>
    <row r="121" spans="2:7" x14ac:dyDescent="0.5">
      <c r="B121" s="30">
        <v>30</v>
      </c>
      <c r="C121" s="30" t="s">
        <v>115</v>
      </c>
      <c r="D121" s="32">
        <v>43962</v>
      </c>
      <c r="E121" s="34">
        <v>209420</v>
      </c>
      <c r="F121" s="30" t="str">
        <f t="shared" si="0"/>
        <v>Below 30L</v>
      </c>
      <c r="G121" s="30" t="str">
        <f t="shared" si="1"/>
        <v>FY 20-21</v>
      </c>
    </row>
    <row r="122" spans="2:7" x14ac:dyDescent="0.5">
      <c r="B122" s="30">
        <v>31</v>
      </c>
      <c r="C122" s="30" t="s">
        <v>117</v>
      </c>
      <c r="D122" s="32">
        <v>43962</v>
      </c>
      <c r="E122" s="34">
        <v>225520</v>
      </c>
      <c r="F122" s="30" t="str">
        <f t="shared" si="0"/>
        <v>Below 30L</v>
      </c>
      <c r="G122" s="30" t="str">
        <f t="shared" si="1"/>
        <v>FY 20-21</v>
      </c>
    </row>
    <row r="123" spans="2:7" x14ac:dyDescent="0.5">
      <c r="B123" s="30">
        <v>32</v>
      </c>
      <c r="C123" s="30" t="s">
        <v>120</v>
      </c>
      <c r="D123" s="32">
        <v>43962</v>
      </c>
      <c r="E123" s="34">
        <v>480420</v>
      </c>
      <c r="F123" s="30" t="str">
        <f t="shared" si="0"/>
        <v>Below 30L</v>
      </c>
      <c r="G123" s="30" t="str">
        <f t="shared" si="1"/>
        <v>FY 20-21</v>
      </c>
    </row>
    <row r="124" spans="2:7" x14ac:dyDescent="0.5">
      <c r="B124" s="30">
        <v>33</v>
      </c>
      <c r="C124" s="30" t="s">
        <v>123</v>
      </c>
      <c r="D124" s="32">
        <v>43965</v>
      </c>
      <c r="E124" s="34">
        <v>349080</v>
      </c>
      <c r="F124" s="30" t="str">
        <f t="shared" si="0"/>
        <v>Below 30L</v>
      </c>
      <c r="G124" s="30" t="str">
        <f t="shared" si="1"/>
        <v>FY 20-21</v>
      </c>
    </row>
    <row r="125" spans="2:7" x14ac:dyDescent="0.5">
      <c r="B125" s="30">
        <v>34</v>
      </c>
      <c r="C125" s="30" t="s">
        <v>126</v>
      </c>
      <c r="D125" s="32">
        <v>43966</v>
      </c>
      <c r="E125" s="34">
        <v>309420</v>
      </c>
      <c r="F125" s="30" t="str">
        <f t="shared" si="0"/>
        <v>Below 30L</v>
      </c>
      <c r="G125" s="30" t="str">
        <f t="shared" si="1"/>
        <v>FY 20-21</v>
      </c>
    </row>
    <row r="126" spans="2:7" x14ac:dyDescent="0.5">
      <c r="B126" s="30">
        <v>35</v>
      </c>
      <c r="C126" s="30" t="s">
        <v>129</v>
      </c>
      <c r="D126" s="32">
        <v>43969</v>
      </c>
      <c r="E126" s="34">
        <v>431890</v>
      </c>
      <c r="F126" s="30" t="str">
        <f t="shared" si="0"/>
        <v>Below 30L</v>
      </c>
      <c r="G126" s="30" t="str">
        <f t="shared" si="1"/>
        <v>FY 20-21</v>
      </c>
    </row>
    <row r="127" spans="2:7" x14ac:dyDescent="0.5">
      <c r="B127" s="30">
        <v>36</v>
      </c>
      <c r="C127" s="30" t="s">
        <v>132</v>
      </c>
      <c r="D127" s="32">
        <v>43970</v>
      </c>
      <c r="E127" s="34">
        <v>21840</v>
      </c>
      <c r="F127" s="30" t="str">
        <f t="shared" si="0"/>
        <v>Below 30L</v>
      </c>
      <c r="G127" s="30" t="str">
        <f t="shared" si="1"/>
        <v>FY 20-21</v>
      </c>
    </row>
    <row r="128" spans="2:7" x14ac:dyDescent="0.5">
      <c r="B128" s="30">
        <v>37</v>
      </c>
      <c r="C128" s="30" t="s">
        <v>135</v>
      </c>
      <c r="D128" s="32">
        <v>43970</v>
      </c>
      <c r="E128" s="34">
        <v>27450</v>
      </c>
      <c r="F128" s="30" t="str">
        <f t="shared" si="0"/>
        <v>Below 30L</v>
      </c>
      <c r="G128" s="30" t="str">
        <f t="shared" si="1"/>
        <v>FY 20-21</v>
      </c>
    </row>
    <row r="129" spans="2:7" x14ac:dyDescent="0.5">
      <c r="B129" s="30">
        <v>38</v>
      </c>
      <c r="C129" s="30" t="s">
        <v>137</v>
      </c>
      <c r="D129" s="32">
        <v>43973</v>
      </c>
      <c r="E129" s="34">
        <v>440720</v>
      </c>
      <c r="F129" s="30" t="str">
        <f t="shared" si="0"/>
        <v>Below 30L</v>
      </c>
      <c r="G129" s="30" t="str">
        <f t="shared" si="1"/>
        <v>FY 20-21</v>
      </c>
    </row>
    <row r="130" spans="2:7" x14ac:dyDescent="0.5">
      <c r="B130" s="30">
        <v>39</v>
      </c>
      <c r="C130" s="30" t="s">
        <v>139</v>
      </c>
      <c r="D130" s="32">
        <v>43973</v>
      </c>
      <c r="E130" s="34">
        <v>294900</v>
      </c>
      <c r="F130" s="30" t="str">
        <f t="shared" si="0"/>
        <v>Below 30L</v>
      </c>
      <c r="G130" s="30" t="str">
        <f t="shared" si="1"/>
        <v>FY 20-21</v>
      </c>
    </row>
    <row r="131" spans="2:7" x14ac:dyDescent="0.5">
      <c r="B131" s="30">
        <v>40</v>
      </c>
      <c r="C131" s="30" t="s">
        <v>141</v>
      </c>
      <c r="D131" s="32">
        <v>43974</v>
      </c>
      <c r="E131" s="34">
        <v>5778120</v>
      </c>
      <c r="F131" s="30" t="str">
        <f t="shared" si="0"/>
        <v>50L and above</v>
      </c>
      <c r="G131" s="30" t="str">
        <f t="shared" si="1"/>
        <v>FY 20-21</v>
      </c>
    </row>
    <row r="132" spans="2:7" x14ac:dyDescent="0.5">
      <c r="B132" s="30">
        <v>41</v>
      </c>
      <c r="C132" s="30" t="s">
        <v>145</v>
      </c>
      <c r="D132" s="32">
        <v>43976</v>
      </c>
      <c r="E132" s="34">
        <v>401950</v>
      </c>
      <c r="F132" s="30" t="str">
        <f t="shared" si="0"/>
        <v>Below 30L</v>
      </c>
      <c r="G132" s="30" t="str">
        <f t="shared" si="1"/>
        <v>FY 20-21</v>
      </c>
    </row>
    <row r="133" spans="2:7" x14ac:dyDescent="0.5">
      <c r="B133" s="30">
        <v>42</v>
      </c>
      <c r="C133" s="30" t="s">
        <v>147</v>
      </c>
      <c r="D133" s="32">
        <v>43979</v>
      </c>
      <c r="E133" s="34">
        <v>429800</v>
      </c>
      <c r="F133" s="30" t="str">
        <f t="shared" si="0"/>
        <v>Below 30L</v>
      </c>
      <c r="G133" s="30" t="str">
        <f t="shared" si="1"/>
        <v>FY 20-21</v>
      </c>
    </row>
    <row r="134" spans="2:7" x14ac:dyDescent="0.5">
      <c r="B134" s="30">
        <v>43</v>
      </c>
      <c r="C134" s="30" t="s">
        <v>149</v>
      </c>
      <c r="D134" s="32">
        <v>43979</v>
      </c>
      <c r="E134" s="34">
        <v>463750</v>
      </c>
      <c r="F134" s="30" t="str">
        <f t="shared" si="0"/>
        <v>Below 30L</v>
      </c>
      <c r="G134" s="30" t="str">
        <f t="shared" si="1"/>
        <v>FY 20-21</v>
      </c>
    </row>
    <row r="135" spans="2:7" x14ac:dyDescent="0.5">
      <c r="B135" s="30">
        <v>44</v>
      </c>
      <c r="C135" s="30" t="s">
        <v>151</v>
      </c>
      <c r="D135" s="32">
        <v>43979</v>
      </c>
      <c r="E135" s="34">
        <v>302650</v>
      </c>
      <c r="F135" s="30" t="str">
        <f t="shared" si="0"/>
        <v>Below 30L</v>
      </c>
      <c r="G135" s="30" t="str">
        <f t="shared" si="1"/>
        <v>FY 20-21</v>
      </c>
    </row>
    <row r="136" spans="2:7" x14ac:dyDescent="0.5">
      <c r="B136" s="30">
        <v>45</v>
      </c>
      <c r="C136" s="30" t="s">
        <v>154</v>
      </c>
      <c r="D136" s="32">
        <v>43980</v>
      </c>
      <c r="E136" s="34">
        <v>427510</v>
      </c>
      <c r="F136" s="30" t="str">
        <f t="shared" si="0"/>
        <v>Below 30L</v>
      </c>
      <c r="G136" s="30" t="str">
        <f t="shared" si="1"/>
        <v>FY 20-21</v>
      </c>
    </row>
    <row r="137" spans="2:7" x14ac:dyDescent="0.5">
      <c r="B137" s="30">
        <v>46</v>
      </c>
      <c r="C137" s="30" t="s">
        <v>157</v>
      </c>
      <c r="D137" s="32">
        <v>43981</v>
      </c>
      <c r="E137" s="34">
        <v>386240</v>
      </c>
      <c r="F137" s="30" t="str">
        <f t="shared" si="0"/>
        <v>Below 30L</v>
      </c>
      <c r="G137" s="30" t="str">
        <f t="shared" si="1"/>
        <v>FY 20-21</v>
      </c>
    </row>
    <row r="138" spans="2:7" x14ac:dyDescent="0.5">
      <c r="B138" s="30">
        <v>47</v>
      </c>
      <c r="C138" s="30" t="s">
        <v>159</v>
      </c>
      <c r="D138" s="32">
        <v>43981</v>
      </c>
      <c r="E138" s="34">
        <v>206890</v>
      </c>
      <c r="F138" s="30" t="str">
        <f t="shared" si="0"/>
        <v>Below 30L</v>
      </c>
      <c r="G138" s="30" t="str">
        <f t="shared" si="1"/>
        <v>FY 20-21</v>
      </c>
    </row>
    <row r="139" spans="2:7" x14ac:dyDescent="0.5">
      <c r="B139" s="30">
        <v>48</v>
      </c>
      <c r="C139" s="30" t="s">
        <v>161</v>
      </c>
      <c r="D139" s="32">
        <v>43983</v>
      </c>
      <c r="E139" s="34">
        <v>492690</v>
      </c>
      <c r="F139" s="30" t="str">
        <f t="shared" si="0"/>
        <v>Below 30L</v>
      </c>
      <c r="G139" s="30" t="str">
        <f t="shared" si="1"/>
        <v>FY 20-21</v>
      </c>
    </row>
    <row r="140" spans="2:7" x14ac:dyDescent="0.5">
      <c r="B140" s="30">
        <v>49</v>
      </c>
      <c r="C140" s="30" t="s">
        <v>164</v>
      </c>
      <c r="D140" s="32">
        <v>43984</v>
      </c>
      <c r="E140" s="34">
        <v>482570</v>
      </c>
      <c r="F140" s="30" t="str">
        <f t="shared" si="0"/>
        <v>Below 30L</v>
      </c>
      <c r="G140" s="30" t="str">
        <f t="shared" si="1"/>
        <v>FY 20-21</v>
      </c>
    </row>
    <row r="141" spans="2:7" x14ac:dyDescent="0.5">
      <c r="B141" s="30">
        <v>50</v>
      </c>
      <c r="C141" s="30" t="s">
        <v>166</v>
      </c>
      <c r="D141" s="32">
        <v>43984</v>
      </c>
      <c r="E141" s="34">
        <v>46890</v>
      </c>
      <c r="F141" s="30" t="str">
        <f t="shared" si="0"/>
        <v>Below 30L</v>
      </c>
      <c r="G141" s="30" t="str">
        <f t="shared" si="1"/>
        <v>FY 20-21</v>
      </c>
    </row>
    <row r="142" spans="2:7" x14ac:dyDescent="0.5">
      <c r="B142" s="30">
        <v>51</v>
      </c>
      <c r="C142" s="30" t="s">
        <v>169</v>
      </c>
      <c r="D142" s="32">
        <v>43987</v>
      </c>
      <c r="E142" s="34">
        <v>484460</v>
      </c>
      <c r="F142" s="30" t="str">
        <f t="shared" si="0"/>
        <v>Below 30L</v>
      </c>
      <c r="G142" s="30" t="str">
        <f t="shared" si="1"/>
        <v>FY 20-21</v>
      </c>
    </row>
    <row r="143" spans="2:7" x14ac:dyDescent="0.5">
      <c r="B143" s="30">
        <v>52</v>
      </c>
      <c r="C143" s="30" t="s">
        <v>171</v>
      </c>
      <c r="D143" s="32">
        <v>43987</v>
      </c>
      <c r="E143" s="34">
        <v>290140</v>
      </c>
      <c r="F143" s="30" t="str">
        <f t="shared" si="0"/>
        <v>Below 30L</v>
      </c>
      <c r="G143" s="30" t="str">
        <f t="shared" si="1"/>
        <v>FY 20-21</v>
      </c>
    </row>
    <row r="144" spans="2:7" x14ac:dyDescent="0.5">
      <c r="B144" s="30">
        <v>53</v>
      </c>
      <c r="C144" s="30" t="s">
        <v>173</v>
      </c>
      <c r="D144" s="32">
        <v>43988</v>
      </c>
      <c r="E144" s="34">
        <v>482140</v>
      </c>
      <c r="F144" s="30" t="str">
        <f t="shared" si="0"/>
        <v>Below 30L</v>
      </c>
      <c r="G144" s="30" t="str">
        <f t="shared" si="1"/>
        <v>FY 20-21</v>
      </c>
    </row>
    <row r="145" spans="2:7" x14ac:dyDescent="0.5">
      <c r="B145" s="30">
        <v>54</v>
      </c>
      <c r="C145" s="30" t="s">
        <v>176</v>
      </c>
      <c r="D145" s="32">
        <v>43988</v>
      </c>
      <c r="E145" s="34">
        <v>244360</v>
      </c>
      <c r="F145" s="30" t="str">
        <f t="shared" si="0"/>
        <v>Below 30L</v>
      </c>
      <c r="G145" s="30" t="str">
        <f t="shared" si="1"/>
        <v>FY 20-21</v>
      </c>
    </row>
    <row r="146" spans="2:7" x14ac:dyDescent="0.5">
      <c r="B146" s="30">
        <v>55</v>
      </c>
      <c r="C146" s="30" t="s">
        <v>178</v>
      </c>
      <c r="D146" s="32">
        <v>43990</v>
      </c>
      <c r="E146" s="34">
        <v>261450</v>
      </c>
      <c r="F146" s="30" t="str">
        <f t="shared" si="0"/>
        <v>Below 30L</v>
      </c>
      <c r="G146" s="30" t="str">
        <f t="shared" si="1"/>
        <v>FY 20-21</v>
      </c>
    </row>
    <row r="147" spans="2:7" x14ac:dyDescent="0.5">
      <c r="B147" s="30">
        <v>56</v>
      </c>
      <c r="C147" s="30" t="s">
        <v>180</v>
      </c>
      <c r="D147" s="32">
        <v>43991</v>
      </c>
      <c r="E147" s="34">
        <v>10223320</v>
      </c>
      <c r="F147" s="30" t="str">
        <f t="shared" si="0"/>
        <v>50L and above</v>
      </c>
      <c r="G147" s="30" t="str">
        <f t="shared" si="1"/>
        <v>FY 20-21</v>
      </c>
    </row>
    <row r="148" spans="2:7" x14ac:dyDescent="0.5">
      <c r="B148" s="30">
        <v>57</v>
      </c>
      <c r="C148" s="30" t="s">
        <v>182</v>
      </c>
      <c r="D148" s="32">
        <v>43993</v>
      </c>
      <c r="E148" s="34">
        <v>390450</v>
      </c>
      <c r="F148" s="30" t="str">
        <f t="shared" si="0"/>
        <v>Below 30L</v>
      </c>
      <c r="G148" s="30" t="str">
        <f t="shared" si="1"/>
        <v>FY 20-21</v>
      </c>
    </row>
    <row r="149" spans="2:7" x14ac:dyDescent="0.5">
      <c r="B149" s="30">
        <v>58</v>
      </c>
      <c r="C149" s="30" t="s">
        <v>185</v>
      </c>
      <c r="D149" s="32">
        <v>43994</v>
      </c>
      <c r="E149" s="34">
        <v>202860</v>
      </c>
      <c r="F149" s="30" t="str">
        <f t="shared" si="0"/>
        <v>Below 30L</v>
      </c>
      <c r="G149" s="30" t="str">
        <f t="shared" si="1"/>
        <v>FY 20-21</v>
      </c>
    </row>
    <row r="150" spans="2:7" x14ac:dyDescent="0.5">
      <c r="B150" s="30">
        <v>59</v>
      </c>
      <c r="C150" s="30" t="s">
        <v>188</v>
      </c>
      <c r="D150" s="32">
        <v>43997</v>
      </c>
      <c r="E150" s="34">
        <v>204100</v>
      </c>
      <c r="F150" s="30" t="str">
        <f t="shared" si="0"/>
        <v>Below 30L</v>
      </c>
      <c r="G150" s="30" t="str">
        <f t="shared" si="1"/>
        <v>FY 20-21</v>
      </c>
    </row>
    <row r="151" spans="2:7" x14ac:dyDescent="0.5">
      <c r="B151" s="30">
        <v>60</v>
      </c>
      <c r="C151" s="30" t="s">
        <v>191</v>
      </c>
      <c r="D151" s="32">
        <v>44000</v>
      </c>
      <c r="E151" s="34">
        <v>265580</v>
      </c>
      <c r="F151" s="30" t="str">
        <f t="shared" si="0"/>
        <v>Below 30L</v>
      </c>
      <c r="G151" s="30" t="str">
        <f t="shared" si="1"/>
        <v>FY 20-21</v>
      </c>
    </row>
    <row r="152" spans="2:7" x14ac:dyDescent="0.5">
      <c r="B152" s="30">
        <v>61</v>
      </c>
      <c r="C152" s="30" t="s">
        <v>193</v>
      </c>
      <c r="D152" s="32">
        <v>44001</v>
      </c>
      <c r="E152" s="34">
        <v>285470</v>
      </c>
      <c r="F152" s="30" t="str">
        <f t="shared" si="0"/>
        <v>Below 30L</v>
      </c>
      <c r="G152" s="30" t="str">
        <f t="shared" si="1"/>
        <v>FY 20-21</v>
      </c>
    </row>
    <row r="153" spans="2:7" x14ac:dyDescent="0.5">
      <c r="B153" s="30">
        <v>62</v>
      </c>
      <c r="C153" s="30" t="s">
        <v>196</v>
      </c>
      <c r="D153" s="32">
        <v>44001</v>
      </c>
      <c r="E153" s="34">
        <v>205720</v>
      </c>
      <c r="F153" s="30" t="str">
        <f t="shared" si="0"/>
        <v>Below 30L</v>
      </c>
      <c r="G153" s="30" t="str">
        <f t="shared" si="1"/>
        <v>FY 20-21</v>
      </c>
    </row>
    <row r="154" spans="2:7" x14ac:dyDescent="0.5">
      <c r="B154" s="30">
        <v>63</v>
      </c>
      <c r="C154" s="30" t="s">
        <v>198</v>
      </c>
      <c r="D154" s="32">
        <v>44005</v>
      </c>
      <c r="E154" s="34">
        <v>31860</v>
      </c>
      <c r="F154" s="30" t="str">
        <f t="shared" si="0"/>
        <v>Below 30L</v>
      </c>
      <c r="G154" s="30" t="str">
        <f t="shared" si="1"/>
        <v>FY 20-21</v>
      </c>
    </row>
    <row r="155" spans="2:7" x14ac:dyDescent="0.5">
      <c r="B155" s="30">
        <v>64</v>
      </c>
      <c r="C155" s="30" t="s">
        <v>201</v>
      </c>
      <c r="D155" s="32">
        <v>44005</v>
      </c>
      <c r="E155" s="34">
        <v>258480</v>
      </c>
      <c r="F155" s="30" t="str">
        <f t="shared" si="0"/>
        <v>Below 30L</v>
      </c>
      <c r="G155" s="30" t="str">
        <f t="shared" si="1"/>
        <v>FY 20-21</v>
      </c>
    </row>
    <row r="156" spans="2:7" x14ac:dyDescent="0.5">
      <c r="B156" s="30">
        <v>65</v>
      </c>
      <c r="C156" s="30" t="s">
        <v>204</v>
      </c>
      <c r="D156" s="32">
        <v>44006</v>
      </c>
      <c r="E156" s="34">
        <v>205220</v>
      </c>
      <c r="F156" s="30" t="str">
        <f t="shared" ref="F156:F219" si="2">IF(E156&lt;3000000,"Below 30L",IF(E156&lt;4000000,"30L to 40L",IF(E156&lt;5000000,"40L to 50L",IF(E156&gt;=5000000,"50L and above"))))</f>
        <v>Below 30L</v>
      </c>
      <c r="G156" s="30" t="str">
        <f t="shared" si="1"/>
        <v>FY 20-21</v>
      </c>
    </row>
    <row r="157" spans="2:7" x14ac:dyDescent="0.5">
      <c r="B157" s="30">
        <v>66</v>
      </c>
      <c r="C157" s="30" t="s">
        <v>206</v>
      </c>
      <c r="D157" s="32">
        <v>44009</v>
      </c>
      <c r="E157" s="34">
        <v>434440</v>
      </c>
      <c r="F157" s="30" t="str">
        <f t="shared" si="2"/>
        <v>Below 30L</v>
      </c>
      <c r="G157" s="30" t="str">
        <f t="shared" ref="G157:G220" si="3">IF(AND(DATE(2021,4,1)&lt;=D157,D157&lt;=DATE(2022,3,31)),"FY 21-22","FY 20-21")</f>
        <v>FY 20-21</v>
      </c>
    </row>
    <row r="158" spans="2:7" x14ac:dyDescent="0.5">
      <c r="B158" s="30">
        <v>67</v>
      </c>
      <c r="C158" s="30" t="s">
        <v>208</v>
      </c>
      <c r="D158" s="32">
        <v>44011</v>
      </c>
      <c r="E158" s="34">
        <v>433740</v>
      </c>
      <c r="F158" s="30" t="str">
        <f t="shared" si="2"/>
        <v>Below 30L</v>
      </c>
      <c r="G158" s="30" t="str">
        <f t="shared" si="3"/>
        <v>FY 20-21</v>
      </c>
    </row>
    <row r="159" spans="2:7" x14ac:dyDescent="0.5">
      <c r="B159" s="30">
        <v>68</v>
      </c>
      <c r="C159" s="30" t="s">
        <v>210</v>
      </c>
      <c r="D159" s="32">
        <v>44012</v>
      </c>
      <c r="E159" s="34">
        <v>484610</v>
      </c>
      <c r="F159" s="30" t="str">
        <f t="shared" si="2"/>
        <v>Below 30L</v>
      </c>
      <c r="G159" s="30" t="str">
        <f t="shared" si="3"/>
        <v>FY 20-21</v>
      </c>
    </row>
    <row r="160" spans="2:7" x14ac:dyDescent="0.5">
      <c r="B160" s="30">
        <v>69</v>
      </c>
      <c r="C160" s="30" t="s">
        <v>212</v>
      </c>
      <c r="D160" s="32">
        <v>44012</v>
      </c>
      <c r="E160" s="34">
        <v>309040</v>
      </c>
      <c r="F160" s="30" t="str">
        <f t="shared" si="2"/>
        <v>Below 30L</v>
      </c>
      <c r="G160" s="30" t="str">
        <f t="shared" si="3"/>
        <v>FY 20-21</v>
      </c>
    </row>
    <row r="161" spans="2:7" x14ac:dyDescent="0.5">
      <c r="B161" s="30">
        <v>70</v>
      </c>
      <c r="C161" s="30" t="s">
        <v>214</v>
      </c>
      <c r="D161" s="32">
        <v>44015</v>
      </c>
      <c r="E161" s="34">
        <v>350710</v>
      </c>
      <c r="F161" s="30" t="str">
        <f t="shared" si="2"/>
        <v>Below 30L</v>
      </c>
      <c r="G161" s="30" t="str">
        <f t="shared" si="3"/>
        <v>FY 20-21</v>
      </c>
    </row>
    <row r="162" spans="2:7" x14ac:dyDescent="0.5">
      <c r="B162" s="30">
        <v>71</v>
      </c>
      <c r="C162" s="30" t="s">
        <v>217</v>
      </c>
      <c r="D162" s="32">
        <v>44018</v>
      </c>
      <c r="E162" s="34">
        <v>317450</v>
      </c>
      <c r="F162" s="30" t="str">
        <f t="shared" si="2"/>
        <v>Below 30L</v>
      </c>
      <c r="G162" s="30" t="str">
        <f t="shared" si="3"/>
        <v>FY 20-21</v>
      </c>
    </row>
    <row r="163" spans="2:7" x14ac:dyDescent="0.5">
      <c r="B163" s="30">
        <v>72</v>
      </c>
      <c r="C163" s="30" t="s">
        <v>219</v>
      </c>
      <c r="D163" s="32">
        <v>44019</v>
      </c>
      <c r="E163" s="34">
        <v>4374900</v>
      </c>
      <c r="F163" s="30" t="str">
        <f t="shared" si="2"/>
        <v>40L to 50L</v>
      </c>
      <c r="G163" s="30" t="str">
        <f t="shared" si="3"/>
        <v>FY 20-21</v>
      </c>
    </row>
    <row r="164" spans="2:7" x14ac:dyDescent="0.5">
      <c r="B164" s="30">
        <v>73</v>
      </c>
      <c r="C164" s="30" t="s">
        <v>221</v>
      </c>
      <c r="D164" s="32">
        <v>44020</v>
      </c>
      <c r="E164" s="34">
        <v>379870</v>
      </c>
      <c r="F164" s="30" t="str">
        <f t="shared" si="2"/>
        <v>Below 30L</v>
      </c>
      <c r="G164" s="30" t="str">
        <f t="shared" si="3"/>
        <v>FY 20-21</v>
      </c>
    </row>
    <row r="165" spans="2:7" x14ac:dyDescent="0.5">
      <c r="B165" s="30">
        <v>74</v>
      </c>
      <c r="C165" s="30" t="s">
        <v>223</v>
      </c>
      <c r="D165" s="32">
        <v>44020</v>
      </c>
      <c r="E165" s="34">
        <v>415470</v>
      </c>
      <c r="F165" s="30" t="str">
        <f t="shared" si="2"/>
        <v>Below 30L</v>
      </c>
      <c r="G165" s="30" t="str">
        <f t="shared" si="3"/>
        <v>FY 20-21</v>
      </c>
    </row>
    <row r="166" spans="2:7" x14ac:dyDescent="0.5">
      <c r="B166" s="30">
        <v>75</v>
      </c>
      <c r="C166" s="30" t="s">
        <v>225</v>
      </c>
      <c r="D166" s="32">
        <v>44020</v>
      </c>
      <c r="E166" s="34">
        <v>451520</v>
      </c>
      <c r="F166" s="30" t="str">
        <f t="shared" si="2"/>
        <v>Below 30L</v>
      </c>
      <c r="G166" s="30" t="str">
        <f t="shared" si="3"/>
        <v>FY 20-21</v>
      </c>
    </row>
    <row r="167" spans="2:7" x14ac:dyDescent="0.5">
      <c r="B167" s="30">
        <v>76</v>
      </c>
      <c r="C167" s="30" t="s">
        <v>227</v>
      </c>
      <c r="D167" s="32">
        <v>44021</v>
      </c>
      <c r="E167" s="34">
        <v>453330</v>
      </c>
      <c r="F167" s="30" t="str">
        <f t="shared" si="2"/>
        <v>Below 30L</v>
      </c>
      <c r="G167" s="30" t="str">
        <f t="shared" si="3"/>
        <v>FY 20-21</v>
      </c>
    </row>
    <row r="168" spans="2:7" x14ac:dyDescent="0.5">
      <c r="B168" s="30">
        <v>77</v>
      </c>
      <c r="C168" s="30" t="s">
        <v>230</v>
      </c>
      <c r="D168" s="32">
        <v>44023</v>
      </c>
      <c r="E168" s="34">
        <v>343940</v>
      </c>
      <c r="F168" s="30" t="str">
        <f t="shared" si="2"/>
        <v>Below 30L</v>
      </c>
      <c r="G168" s="30" t="str">
        <f t="shared" si="3"/>
        <v>FY 20-21</v>
      </c>
    </row>
    <row r="169" spans="2:7" x14ac:dyDescent="0.5">
      <c r="B169" s="30">
        <v>78</v>
      </c>
      <c r="C169" s="30" t="s">
        <v>232</v>
      </c>
      <c r="D169" s="32">
        <v>44023</v>
      </c>
      <c r="E169" s="34">
        <v>369380</v>
      </c>
      <c r="F169" s="30" t="str">
        <f t="shared" si="2"/>
        <v>Below 30L</v>
      </c>
      <c r="G169" s="30" t="str">
        <f t="shared" si="3"/>
        <v>FY 20-21</v>
      </c>
    </row>
    <row r="170" spans="2:7" x14ac:dyDescent="0.5">
      <c r="B170" s="30">
        <v>79</v>
      </c>
      <c r="C170" s="30" t="s">
        <v>234</v>
      </c>
      <c r="D170" s="32">
        <v>44025</v>
      </c>
      <c r="E170" s="34">
        <v>242400</v>
      </c>
      <c r="F170" s="30" t="str">
        <f t="shared" si="2"/>
        <v>Below 30L</v>
      </c>
      <c r="G170" s="30" t="str">
        <f t="shared" si="3"/>
        <v>FY 20-21</v>
      </c>
    </row>
    <row r="171" spans="2:7" x14ac:dyDescent="0.5">
      <c r="B171" s="30">
        <v>80</v>
      </c>
      <c r="C171" s="30" t="s">
        <v>236</v>
      </c>
      <c r="D171" s="32">
        <v>44025</v>
      </c>
      <c r="E171" s="34">
        <v>343980</v>
      </c>
      <c r="F171" s="30" t="str">
        <f t="shared" si="2"/>
        <v>Below 30L</v>
      </c>
      <c r="G171" s="30" t="str">
        <f t="shared" si="3"/>
        <v>FY 20-21</v>
      </c>
    </row>
    <row r="172" spans="2:7" x14ac:dyDescent="0.5">
      <c r="B172" s="30">
        <v>81</v>
      </c>
      <c r="C172" s="30" t="s">
        <v>239</v>
      </c>
      <c r="D172" s="32">
        <v>44027</v>
      </c>
      <c r="E172" s="34">
        <v>337370</v>
      </c>
      <c r="F172" s="30" t="str">
        <f t="shared" si="2"/>
        <v>Below 30L</v>
      </c>
      <c r="G172" s="30" t="str">
        <f t="shared" si="3"/>
        <v>FY 20-21</v>
      </c>
    </row>
    <row r="173" spans="2:7" x14ac:dyDescent="0.5">
      <c r="B173" s="30">
        <v>82</v>
      </c>
      <c r="C173" s="30" t="s">
        <v>242</v>
      </c>
      <c r="D173" s="32">
        <v>44027</v>
      </c>
      <c r="E173" s="34">
        <v>393430</v>
      </c>
      <c r="F173" s="30" t="str">
        <f t="shared" si="2"/>
        <v>Below 30L</v>
      </c>
      <c r="G173" s="30" t="str">
        <f t="shared" si="3"/>
        <v>FY 20-21</v>
      </c>
    </row>
    <row r="174" spans="2:7" x14ac:dyDescent="0.5">
      <c r="B174" s="30">
        <v>83</v>
      </c>
      <c r="C174" s="30" t="s">
        <v>244</v>
      </c>
      <c r="D174" s="32">
        <v>44027</v>
      </c>
      <c r="E174" s="34">
        <v>404010</v>
      </c>
      <c r="F174" s="30" t="str">
        <f t="shared" si="2"/>
        <v>Below 30L</v>
      </c>
      <c r="G174" s="30" t="str">
        <f t="shared" si="3"/>
        <v>FY 20-21</v>
      </c>
    </row>
    <row r="175" spans="2:7" x14ac:dyDescent="0.5">
      <c r="B175" s="30">
        <v>84</v>
      </c>
      <c r="C175" s="30" t="s">
        <v>246</v>
      </c>
      <c r="D175" s="32">
        <v>44028</v>
      </c>
      <c r="E175" s="34">
        <v>448370</v>
      </c>
      <c r="F175" s="30" t="str">
        <f t="shared" si="2"/>
        <v>Below 30L</v>
      </c>
      <c r="G175" s="30" t="str">
        <f t="shared" si="3"/>
        <v>FY 20-21</v>
      </c>
    </row>
    <row r="176" spans="2:7" x14ac:dyDescent="0.5">
      <c r="B176" s="30">
        <v>85</v>
      </c>
      <c r="C176" s="30" t="s">
        <v>248</v>
      </c>
      <c r="D176" s="32">
        <v>44028</v>
      </c>
      <c r="E176" s="34">
        <v>426610</v>
      </c>
      <c r="F176" s="30" t="str">
        <f t="shared" si="2"/>
        <v>Below 30L</v>
      </c>
      <c r="G176" s="30" t="str">
        <f t="shared" si="3"/>
        <v>FY 20-21</v>
      </c>
    </row>
    <row r="177" spans="2:7" x14ac:dyDescent="0.5">
      <c r="B177" s="30">
        <v>86</v>
      </c>
      <c r="C177" s="30" t="s">
        <v>250</v>
      </c>
      <c r="D177" s="32">
        <v>44029</v>
      </c>
      <c r="E177" s="34">
        <v>400810</v>
      </c>
      <c r="F177" s="30" t="str">
        <f t="shared" si="2"/>
        <v>Below 30L</v>
      </c>
      <c r="G177" s="30" t="str">
        <f t="shared" si="3"/>
        <v>FY 20-21</v>
      </c>
    </row>
    <row r="178" spans="2:7" x14ac:dyDescent="0.5">
      <c r="B178" s="30">
        <v>87</v>
      </c>
      <c r="C178" s="30" t="s">
        <v>252</v>
      </c>
      <c r="D178" s="32">
        <v>44030</v>
      </c>
      <c r="E178" s="34">
        <v>234150</v>
      </c>
      <c r="F178" s="30" t="str">
        <f t="shared" si="2"/>
        <v>Below 30L</v>
      </c>
      <c r="G178" s="30" t="str">
        <f t="shared" si="3"/>
        <v>FY 20-21</v>
      </c>
    </row>
    <row r="179" spans="2:7" x14ac:dyDescent="0.5">
      <c r="B179" s="30">
        <v>88</v>
      </c>
      <c r="C179" s="30" t="s">
        <v>254</v>
      </c>
      <c r="D179" s="32">
        <v>44030</v>
      </c>
      <c r="E179" s="34">
        <v>402860</v>
      </c>
      <c r="F179" s="30" t="str">
        <f t="shared" si="2"/>
        <v>Below 30L</v>
      </c>
      <c r="G179" s="30" t="str">
        <f t="shared" si="3"/>
        <v>FY 20-21</v>
      </c>
    </row>
    <row r="180" spans="2:7" x14ac:dyDescent="0.5">
      <c r="B180" s="30">
        <v>89</v>
      </c>
      <c r="C180" s="30" t="s">
        <v>256</v>
      </c>
      <c r="D180" s="32">
        <v>44032</v>
      </c>
      <c r="E180" s="34">
        <v>408480</v>
      </c>
      <c r="F180" s="30" t="str">
        <f t="shared" si="2"/>
        <v>Below 30L</v>
      </c>
      <c r="G180" s="30" t="str">
        <f t="shared" si="3"/>
        <v>FY 20-21</v>
      </c>
    </row>
    <row r="181" spans="2:7" x14ac:dyDescent="0.5">
      <c r="B181" s="30">
        <v>90</v>
      </c>
      <c r="C181" s="30" t="s">
        <v>258</v>
      </c>
      <c r="D181" s="32">
        <v>44032</v>
      </c>
      <c r="E181" s="34">
        <v>6075310</v>
      </c>
      <c r="F181" s="30" t="str">
        <f t="shared" si="2"/>
        <v>50L and above</v>
      </c>
      <c r="G181" s="30" t="str">
        <f t="shared" si="3"/>
        <v>FY 20-21</v>
      </c>
    </row>
    <row r="182" spans="2:7" x14ac:dyDescent="0.5">
      <c r="B182" s="30">
        <v>91</v>
      </c>
      <c r="C182" s="30" t="s">
        <v>260</v>
      </c>
      <c r="D182" s="32">
        <v>44032</v>
      </c>
      <c r="E182" s="34">
        <v>448330</v>
      </c>
      <c r="F182" s="30" t="str">
        <f t="shared" si="2"/>
        <v>Below 30L</v>
      </c>
      <c r="G182" s="30" t="str">
        <f t="shared" si="3"/>
        <v>FY 20-21</v>
      </c>
    </row>
    <row r="183" spans="2:7" x14ac:dyDescent="0.5">
      <c r="B183" s="30">
        <v>92</v>
      </c>
      <c r="C183" s="30" t="s">
        <v>263</v>
      </c>
      <c r="D183" s="32">
        <v>44034</v>
      </c>
      <c r="E183" s="34">
        <v>381310</v>
      </c>
      <c r="F183" s="30" t="str">
        <f t="shared" si="2"/>
        <v>Below 30L</v>
      </c>
      <c r="G183" s="30" t="str">
        <f t="shared" si="3"/>
        <v>FY 20-21</v>
      </c>
    </row>
    <row r="184" spans="2:7" x14ac:dyDescent="0.5">
      <c r="B184" s="30">
        <v>93</v>
      </c>
      <c r="C184" s="30" t="s">
        <v>265</v>
      </c>
      <c r="D184" s="32">
        <v>44035</v>
      </c>
      <c r="E184" s="34">
        <v>35360</v>
      </c>
      <c r="F184" s="30" t="str">
        <f t="shared" si="2"/>
        <v>Below 30L</v>
      </c>
      <c r="G184" s="30" t="str">
        <f t="shared" si="3"/>
        <v>FY 20-21</v>
      </c>
    </row>
    <row r="185" spans="2:7" x14ac:dyDescent="0.5">
      <c r="B185" s="30">
        <v>94</v>
      </c>
      <c r="C185" s="30" t="s">
        <v>267</v>
      </c>
      <c r="D185" s="32">
        <v>44039</v>
      </c>
      <c r="E185" s="34">
        <v>336830</v>
      </c>
      <c r="F185" s="30" t="str">
        <f t="shared" si="2"/>
        <v>Below 30L</v>
      </c>
      <c r="G185" s="30" t="str">
        <f t="shared" si="3"/>
        <v>FY 20-21</v>
      </c>
    </row>
    <row r="186" spans="2:7" x14ac:dyDescent="0.5">
      <c r="B186" s="30">
        <v>95</v>
      </c>
      <c r="C186" s="30" t="s">
        <v>270</v>
      </c>
      <c r="D186" s="32">
        <v>44040</v>
      </c>
      <c r="E186" s="34">
        <v>452640</v>
      </c>
      <c r="F186" s="30" t="str">
        <f t="shared" si="2"/>
        <v>Below 30L</v>
      </c>
      <c r="G186" s="30" t="str">
        <f t="shared" si="3"/>
        <v>FY 20-21</v>
      </c>
    </row>
    <row r="187" spans="2:7" x14ac:dyDescent="0.5">
      <c r="B187" s="30">
        <v>96</v>
      </c>
      <c r="C187" s="30" t="s">
        <v>273</v>
      </c>
      <c r="D187" s="32">
        <v>44041</v>
      </c>
      <c r="E187" s="34">
        <v>363210</v>
      </c>
      <c r="F187" s="30" t="str">
        <f t="shared" si="2"/>
        <v>Below 30L</v>
      </c>
      <c r="G187" s="30" t="str">
        <f t="shared" si="3"/>
        <v>FY 20-21</v>
      </c>
    </row>
    <row r="188" spans="2:7" x14ac:dyDescent="0.5">
      <c r="B188" s="30">
        <v>97</v>
      </c>
      <c r="C188" s="30" t="s">
        <v>275</v>
      </c>
      <c r="D188" s="32">
        <v>44044</v>
      </c>
      <c r="E188" s="34">
        <v>459610</v>
      </c>
      <c r="F188" s="30" t="str">
        <f t="shared" si="2"/>
        <v>Below 30L</v>
      </c>
      <c r="G188" s="30" t="str">
        <f t="shared" si="3"/>
        <v>FY 20-21</v>
      </c>
    </row>
    <row r="189" spans="2:7" x14ac:dyDescent="0.5">
      <c r="B189" s="30">
        <v>98</v>
      </c>
      <c r="C189" s="30" t="s">
        <v>278</v>
      </c>
      <c r="D189" s="32">
        <v>44046</v>
      </c>
      <c r="E189" s="34">
        <v>468940</v>
      </c>
      <c r="F189" s="30" t="str">
        <f t="shared" si="2"/>
        <v>Below 30L</v>
      </c>
      <c r="G189" s="30" t="str">
        <f t="shared" si="3"/>
        <v>FY 20-21</v>
      </c>
    </row>
    <row r="190" spans="2:7" x14ac:dyDescent="0.5">
      <c r="B190" s="30">
        <v>99</v>
      </c>
      <c r="C190" s="30" t="s">
        <v>280</v>
      </c>
      <c r="D190" s="32">
        <v>44046</v>
      </c>
      <c r="E190" s="34">
        <v>386980</v>
      </c>
      <c r="F190" s="30" t="str">
        <f t="shared" si="2"/>
        <v>Below 30L</v>
      </c>
      <c r="G190" s="30" t="str">
        <f t="shared" si="3"/>
        <v>FY 20-21</v>
      </c>
    </row>
    <row r="191" spans="2:7" x14ac:dyDescent="0.5">
      <c r="B191" s="30">
        <v>100</v>
      </c>
      <c r="C191" s="30" t="s">
        <v>282</v>
      </c>
      <c r="D191" s="32">
        <v>44048</v>
      </c>
      <c r="E191" s="34">
        <v>384860</v>
      </c>
      <c r="F191" s="30" t="str">
        <f t="shared" si="2"/>
        <v>Below 30L</v>
      </c>
      <c r="G191" s="30" t="str">
        <f t="shared" si="3"/>
        <v>FY 20-21</v>
      </c>
    </row>
    <row r="192" spans="2:7" x14ac:dyDescent="0.5">
      <c r="B192" s="30">
        <v>101</v>
      </c>
      <c r="C192" s="30" t="s">
        <v>284</v>
      </c>
      <c r="D192" s="32">
        <v>44050</v>
      </c>
      <c r="E192" s="34">
        <v>476490</v>
      </c>
      <c r="F192" s="30" t="str">
        <f t="shared" si="2"/>
        <v>Below 30L</v>
      </c>
      <c r="G192" s="30" t="str">
        <f t="shared" si="3"/>
        <v>FY 20-21</v>
      </c>
    </row>
    <row r="193" spans="2:7" x14ac:dyDescent="0.5">
      <c r="B193" s="30">
        <v>102</v>
      </c>
      <c r="C193" s="30" t="s">
        <v>286</v>
      </c>
      <c r="D193" s="32">
        <v>44055</v>
      </c>
      <c r="E193" s="34">
        <v>221320</v>
      </c>
      <c r="F193" s="30" t="str">
        <f t="shared" si="2"/>
        <v>Below 30L</v>
      </c>
      <c r="G193" s="30" t="str">
        <f t="shared" si="3"/>
        <v>FY 20-21</v>
      </c>
    </row>
    <row r="194" spans="2:7" x14ac:dyDescent="0.5">
      <c r="B194" s="30">
        <v>103</v>
      </c>
      <c r="C194" s="30" t="s">
        <v>288</v>
      </c>
      <c r="D194" s="32">
        <v>44057</v>
      </c>
      <c r="E194" s="34">
        <v>361170</v>
      </c>
      <c r="F194" s="30" t="str">
        <f t="shared" si="2"/>
        <v>Below 30L</v>
      </c>
      <c r="G194" s="30" t="str">
        <f t="shared" si="3"/>
        <v>FY 20-21</v>
      </c>
    </row>
    <row r="195" spans="2:7" x14ac:dyDescent="0.5">
      <c r="B195" s="30">
        <v>104</v>
      </c>
      <c r="C195" s="30" t="s">
        <v>291</v>
      </c>
      <c r="D195" s="32">
        <v>44060</v>
      </c>
      <c r="E195" s="34">
        <v>468930</v>
      </c>
      <c r="F195" s="30" t="str">
        <f t="shared" si="2"/>
        <v>Below 30L</v>
      </c>
      <c r="G195" s="30" t="str">
        <f t="shared" si="3"/>
        <v>FY 20-21</v>
      </c>
    </row>
    <row r="196" spans="2:7" x14ac:dyDescent="0.5">
      <c r="B196" s="30">
        <v>105</v>
      </c>
      <c r="C196" s="30" t="s">
        <v>294</v>
      </c>
      <c r="D196" s="32">
        <v>44061</v>
      </c>
      <c r="E196" s="34">
        <v>425960</v>
      </c>
      <c r="F196" s="30" t="str">
        <f t="shared" si="2"/>
        <v>Below 30L</v>
      </c>
      <c r="G196" s="30" t="str">
        <f t="shared" si="3"/>
        <v>FY 20-21</v>
      </c>
    </row>
    <row r="197" spans="2:7" x14ac:dyDescent="0.5">
      <c r="B197" s="30">
        <v>106</v>
      </c>
      <c r="C197" s="30" t="s">
        <v>296</v>
      </c>
      <c r="D197" s="32">
        <v>44061</v>
      </c>
      <c r="E197" s="34">
        <v>489420</v>
      </c>
      <c r="F197" s="30" t="str">
        <f t="shared" si="2"/>
        <v>Below 30L</v>
      </c>
      <c r="G197" s="30" t="str">
        <f t="shared" si="3"/>
        <v>FY 20-21</v>
      </c>
    </row>
    <row r="198" spans="2:7" x14ac:dyDescent="0.5">
      <c r="B198" s="30">
        <v>107</v>
      </c>
      <c r="C198" s="30" t="s">
        <v>298</v>
      </c>
      <c r="D198" s="32">
        <v>44061</v>
      </c>
      <c r="E198" s="34">
        <v>487730</v>
      </c>
      <c r="F198" s="30" t="str">
        <f t="shared" si="2"/>
        <v>Below 30L</v>
      </c>
      <c r="G198" s="30" t="str">
        <f t="shared" si="3"/>
        <v>FY 20-21</v>
      </c>
    </row>
    <row r="199" spans="2:7" x14ac:dyDescent="0.5">
      <c r="B199" s="30">
        <v>108</v>
      </c>
      <c r="C199" s="30" t="s">
        <v>300</v>
      </c>
      <c r="D199" s="32">
        <v>44062</v>
      </c>
      <c r="E199" s="34">
        <v>5435440</v>
      </c>
      <c r="F199" s="30" t="str">
        <f t="shared" si="2"/>
        <v>50L and above</v>
      </c>
      <c r="G199" s="30" t="str">
        <f t="shared" si="3"/>
        <v>FY 20-21</v>
      </c>
    </row>
    <row r="200" spans="2:7" x14ac:dyDescent="0.5">
      <c r="B200" s="30">
        <v>109</v>
      </c>
      <c r="C200" s="30" t="s">
        <v>302</v>
      </c>
      <c r="D200" s="32">
        <v>44063</v>
      </c>
      <c r="E200" s="34">
        <v>228310</v>
      </c>
      <c r="F200" s="30" t="str">
        <f t="shared" si="2"/>
        <v>Below 30L</v>
      </c>
      <c r="G200" s="30" t="str">
        <f t="shared" si="3"/>
        <v>FY 20-21</v>
      </c>
    </row>
    <row r="201" spans="2:7" x14ac:dyDescent="0.5">
      <c r="B201" s="30">
        <v>110</v>
      </c>
      <c r="C201" s="30" t="s">
        <v>304</v>
      </c>
      <c r="D201" s="32">
        <v>44063</v>
      </c>
      <c r="E201" s="34">
        <v>231130</v>
      </c>
      <c r="F201" s="30" t="str">
        <f t="shared" si="2"/>
        <v>Below 30L</v>
      </c>
      <c r="G201" s="30" t="str">
        <f t="shared" si="3"/>
        <v>FY 20-21</v>
      </c>
    </row>
    <row r="202" spans="2:7" x14ac:dyDescent="0.5">
      <c r="B202" s="30">
        <v>111</v>
      </c>
      <c r="C202" s="30" t="s">
        <v>306</v>
      </c>
      <c r="D202" s="32">
        <v>44063</v>
      </c>
      <c r="E202" s="34">
        <v>309860</v>
      </c>
      <c r="F202" s="30" t="str">
        <f t="shared" si="2"/>
        <v>Below 30L</v>
      </c>
      <c r="G202" s="30" t="str">
        <f t="shared" si="3"/>
        <v>FY 20-21</v>
      </c>
    </row>
    <row r="203" spans="2:7" x14ac:dyDescent="0.5">
      <c r="B203" s="30">
        <v>112</v>
      </c>
      <c r="C203" s="30" t="s">
        <v>309</v>
      </c>
      <c r="D203" s="32">
        <v>44069</v>
      </c>
      <c r="E203" s="34">
        <v>469290</v>
      </c>
      <c r="F203" s="30" t="str">
        <f t="shared" si="2"/>
        <v>Below 30L</v>
      </c>
      <c r="G203" s="30" t="str">
        <f t="shared" si="3"/>
        <v>FY 20-21</v>
      </c>
    </row>
    <row r="204" spans="2:7" x14ac:dyDescent="0.5">
      <c r="B204" s="30">
        <v>113</v>
      </c>
      <c r="C204" s="30" t="s">
        <v>311</v>
      </c>
      <c r="D204" s="32">
        <v>44069</v>
      </c>
      <c r="E204" s="34">
        <v>485210</v>
      </c>
      <c r="F204" s="30" t="str">
        <f t="shared" si="2"/>
        <v>Below 30L</v>
      </c>
      <c r="G204" s="30" t="str">
        <f t="shared" si="3"/>
        <v>FY 20-21</v>
      </c>
    </row>
    <row r="205" spans="2:7" x14ac:dyDescent="0.5">
      <c r="B205" s="30">
        <v>114</v>
      </c>
      <c r="C205" s="30" t="s">
        <v>313</v>
      </c>
      <c r="D205" s="32">
        <v>44070</v>
      </c>
      <c r="E205" s="34">
        <v>336440</v>
      </c>
      <c r="F205" s="30" t="str">
        <f t="shared" si="2"/>
        <v>Below 30L</v>
      </c>
      <c r="G205" s="30" t="str">
        <f t="shared" si="3"/>
        <v>FY 20-21</v>
      </c>
    </row>
    <row r="206" spans="2:7" x14ac:dyDescent="0.5">
      <c r="B206" s="30">
        <v>115</v>
      </c>
      <c r="C206" s="30" t="s">
        <v>315</v>
      </c>
      <c r="D206" s="32">
        <v>44074</v>
      </c>
      <c r="E206" s="34">
        <v>230600</v>
      </c>
      <c r="F206" s="30" t="str">
        <f t="shared" si="2"/>
        <v>Below 30L</v>
      </c>
      <c r="G206" s="30" t="str">
        <f t="shared" si="3"/>
        <v>FY 20-21</v>
      </c>
    </row>
    <row r="207" spans="2:7" x14ac:dyDescent="0.5">
      <c r="B207" s="30">
        <v>116</v>
      </c>
      <c r="C207" s="30" t="s">
        <v>317</v>
      </c>
      <c r="D207" s="32">
        <v>44074</v>
      </c>
      <c r="E207" s="34">
        <v>442130</v>
      </c>
      <c r="F207" s="30" t="str">
        <f t="shared" si="2"/>
        <v>Below 30L</v>
      </c>
      <c r="G207" s="30" t="str">
        <f t="shared" si="3"/>
        <v>FY 20-21</v>
      </c>
    </row>
    <row r="208" spans="2:7" x14ac:dyDescent="0.5">
      <c r="B208" s="30">
        <v>117</v>
      </c>
      <c r="C208" s="30" t="s">
        <v>319</v>
      </c>
      <c r="D208" s="32">
        <v>44075</v>
      </c>
      <c r="E208" s="34">
        <v>347590</v>
      </c>
      <c r="F208" s="30" t="str">
        <f t="shared" si="2"/>
        <v>Below 30L</v>
      </c>
      <c r="G208" s="30" t="str">
        <f t="shared" si="3"/>
        <v>FY 20-21</v>
      </c>
    </row>
    <row r="209" spans="2:7" x14ac:dyDescent="0.5">
      <c r="B209" s="30">
        <v>118</v>
      </c>
      <c r="C209" s="30" t="s">
        <v>322</v>
      </c>
      <c r="D209" s="32">
        <v>44075</v>
      </c>
      <c r="E209" s="34">
        <v>484270</v>
      </c>
      <c r="F209" s="30" t="str">
        <f t="shared" si="2"/>
        <v>Below 30L</v>
      </c>
      <c r="G209" s="30" t="str">
        <f t="shared" si="3"/>
        <v>FY 20-21</v>
      </c>
    </row>
    <row r="210" spans="2:7" x14ac:dyDescent="0.5">
      <c r="B210" s="30">
        <v>119</v>
      </c>
      <c r="C210" s="30" t="s">
        <v>324</v>
      </c>
      <c r="D210" s="32">
        <v>44075</v>
      </c>
      <c r="E210" s="34">
        <v>371400</v>
      </c>
      <c r="F210" s="30" t="str">
        <f t="shared" si="2"/>
        <v>Below 30L</v>
      </c>
      <c r="G210" s="30" t="str">
        <f t="shared" si="3"/>
        <v>FY 20-21</v>
      </c>
    </row>
    <row r="211" spans="2:7" x14ac:dyDescent="0.5">
      <c r="B211" s="30">
        <v>120</v>
      </c>
      <c r="C211" s="30" t="s">
        <v>326</v>
      </c>
      <c r="D211" s="32">
        <v>44078</v>
      </c>
      <c r="E211" s="34">
        <v>413860</v>
      </c>
      <c r="F211" s="30" t="str">
        <f t="shared" si="2"/>
        <v>Below 30L</v>
      </c>
      <c r="G211" s="30" t="str">
        <f t="shared" si="3"/>
        <v>FY 20-21</v>
      </c>
    </row>
    <row r="212" spans="2:7" x14ac:dyDescent="0.5">
      <c r="B212" s="30">
        <v>121</v>
      </c>
      <c r="C212" s="30" t="s">
        <v>328</v>
      </c>
      <c r="D212" s="32">
        <v>44081</v>
      </c>
      <c r="E212" s="34">
        <v>496390</v>
      </c>
      <c r="F212" s="30" t="str">
        <f t="shared" si="2"/>
        <v>Below 30L</v>
      </c>
      <c r="G212" s="30" t="str">
        <f t="shared" si="3"/>
        <v>FY 20-21</v>
      </c>
    </row>
    <row r="213" spans="2:7" x14ac:dyDescent="0.5">
      <c r="B213" s="30">
        <v>122</v>
      </c>
      <c r="C213" s="30" t="s">
        <v>330</v>
      </c>
      <c r="D213" s="32">
        <v>44081</v>
      </c>
      <c r="E213" s="34">
        <v>265640</v>
      </c>
      <c r="F213" s="30" t="str">
        <f t="shared" si="2"/>
        <v>Below 30L</v>
      </c>
      <c r="G213" s="30" t="str">
        <f t="shared" si="3"/>
        <v>FY 20-21</v>
      </c>
    </row>
    <row r="214" spans="2:7" x14ac:dyDescent="0.5">
      <c r="B214" s="30">
        <v>123</v>
      </c>
      <c r="C214" s="30" t="s">
        <v>333</v>
      </c>
      <c r="D214" s="32">
        <v>44082</v>
      </c>
      <c r="E214" s="34">
        <v>287540</v>
      </c>
      <c r="F214" s="30" t="str">
        <f t="shared" si="2"/>
        <v>Below 30L</v>
      </c>
      <c r="G214" s="30" t="str">
        <f t="shared" si="3"/>
        <v>FY 20-21</v>
      </c>
    </row>
    <row r="215" spans="2:7" x14ac:dyDescent="0.5">
      <c r="B215" s="30">
        <v>124</v>
      </c>
      <c r="C215" s="30" t="s">
        <v>335</v>
      </c>
      <c r="D215" s="32">
        <v>44083</v>
      </c>
      <c r="E215" s="34">
        <v>320190</v>
      </c>
      <c r="F215" s="30" t="str">
        <f t="shared" si="2"/>
        <v>Below 30L</v>
      </c>
      <c r="G215" s="30" t="str">
        <f t="shared" si="3"/>
        <v>FY 20-21</v>
      </c>
    </row>
    <row r="216" spans="2:7" x14ac:dyDescent="0.5">
      <c r="B216" s="30">
        <v>125</v>
      </c>
      <c r="C216" s="30" t="s">
        <v>337</v>
      </c>
      <c r="D216" s="32">
        <v>44085</v>
      </c>
      <c r="E216" s="34">
        <v>31200</v>
      </c>
      <c r="F216" s="30" t="str">
        <f t="shared" si="2"/>
        <v>Below 30L</v>
      </c>
      <c r="G216" s="30" t="str">
        <f t="shared" si="3"/>
        <v>FY 20-21</v>
      </c>
    </row>
    <row r="217" spans="2:7" x14ac:dyDescent="0.5">
      <c r="B217" s="30">
        <v>126</v>
      </c>
      <c r="C217" s="30" t="s">
        <v>339</v>
      </c>
      <c r="D217" s="32">
        <v>44085</v>
      </c>
      <c r="E217" s="34">
        <v>261830</v>
      </c>
      <c r="F217" s="30" t="str">
        <f t="shared" si="2"/>
        <v>Below 30L</v>
      </c>
      <c r="G217" s="30" t="str">
        <f t="shared" si="3"/>
        <v>FY 20-21</v>
      </c>
    </row>
    <row r="218" spans="2:7" x14ac:dyDescent="0.5">
      <c r="B218" s="30">
        <v>127</v>
      </c>
      <c r="C218" s="30" t="s">
        <v>341</v>
      </c>
      <c r="D218" s="32">
        <v>44090</v>
      </c>
      <c r="E218" s="34">
        <v>409610</v>
      </c>
      <c r="F218" s="30" t="str">
        <f t="shared" si="2"/>
        <v>Below 30L</v>
      </c>
      <c r="G218" s="30" t="str">
        <f t="shared" si="3"/>
        <v>FY 20-21</v>
      </c>
    </row>
    <row r="219" spans="2:7" x14ac:dyDescent="0.5">
      <c r="B219" s="30">
        <v>128</v>
      </c>
      <c r="C219" s="30" t="s">
        <v>343</v>
      </c>
      <c r="D219" s="32">
        <v>44090</v>
      </c>
      <c r="E219" s="34">
        <v>436450</v>
      </c>
      <c r="F219" s="30" t="str">
        <f t="shared" si="2"/>
        <v>Below 30L</v>
      </c>
      <c r="G219" s="30" t="str">
        <f t="shared" si="3"/>
        <v>FY 20-21</v>
      </c>
    </row>
    <row r="220" spans="2:7" x14ac:dyDescent="0.5">
      <c r="B220" s="30">
        <v>129</v>
      </c>
      <c r="C220" s="30" t="s">
        <v>345</v>
      </c>
      <c r="D220" s="32">
        <v>44092</v>
      </c>
      <c r="E220" s="34">
        <v>396810</v>
      </c>
      <c r="F220" s="30" t="str">
        <f t="shared" ref="F220:F283" si="4">IF(E220&lt;3000000,"Below 30L",IF(E220&lt;4000000,"30L to 40L",IF(E220&lt;5000000,"40L to 50L",IF(E220&gt;=5000000,"50L and above"))))</f>
        <v>Below 30L</v>
      </c>
      <c r="G220" s="30" t="str">
        <f t="shared" si="3"/>
        <v>FY 20-21</v>
      </c>
    </row>
    <row r="221" spans="2:7" x14ac:dyDescent="0.5">
      <c r="B221" s="30">
        <v>130</v>
      </c>
      <c r="C221" s="30" t="s">
        <v>347</v>
      </c>
      <c r="D221" s="32">
        <v>44093</v>
      </c>
      <c r="E221" s="34">
        <v>357630</v>
      </c>
      <c r="F221" s="30" t="str">
        <f t="shared" si="4"/>
        <v>Below 30L</v>
      </c>
      <c r="G221" s="30" t="str">
        <f t="shared" ref="G221:G284" si="5">IF(AND(DATE(2021,4,1)&lt;=D221,D221&lt;=DATE(2022,3,31)),"FY 21-22","FY 20-21")</f>
        <v>FY 20-21</v>
      </c>
    </row>
    <row r="222" spans="2:7" x14ac:dyDescent="0.5">
      <c r="B222" s="30">
        <v>131</v>
      </c>
      <c r="C222" s="30" t="s">
        <v>349</v>
      </c>
      <c r="D222" s="32">
        <v>44095</v>
      </c>
      <c r="E222" s="34">
        <v>257380</v>
      </c>
      <c r="F222" s="30" t="str">
        <f t="shared" si="4"/>
        <v>Below 30L</v>
      </c>
      <c r="G222" s="30" t="str">
        <f t="shared" si="5"/>
        <v>FY 20-21</v>
      </c>
    </row>
    <row r="223" spans="2:7" x14ac:dyDescent="0.5">
      <c r="B223" s="30">
        <v>132</v>
      </c>
      <c r="C223" s="30" t="s">
        <v>351</v>
      </c>
      <c r="D223" s="32">
        <v>44095</v>
      </c>
      <c r="E223" s="34">
        <v>260190</v>
      </c>
      <c r="F223" s="30" t="str">
        <f t="shared" si="4"/>
        <v>Below 30L</v>
      </c>
      <c r="G223" s="30" t="str">
        <f t="shared" si="5"/>
        <v>FY 20-21</v>
      </c>
    </row>
    <row r="224" spans="2:7" x14ac:dyDescent="0.5">
      <c r="B224" s="30">
        <v>133</v>
      </c>
      <c r="C224" s="30" t="s">
        <v>1308</v>
      </c>
      <c r="D224" s="32">
        <v>44096</v>
      </c>
      <c r="E224" s="34">
        <v>425730</v>
      </c>
      <c r="F224" s="30" t="str">
        <f t="shared" si="4"/>
        <v>Below 30L</v>
      </c>
      <c r="G224" s="30" t="str">
        <f t="shared" si="5"/>
        <v>FY 20-21</v>
      </c>
    </row>
    <row r="225" spans="2:7" x14ac:dyDescent="0.5">
      <c r="B225" s="30">
        <v>134</v>
      </c>
      <c r="C225" s="30" t="s">
        <v>354</v>
      </c>
      <c r="D225" s="32">
        <v>44097</v>
      </c>
      <c r="E225" s="34">
        <v>499520</v>
      </c>
      <c r="F225" s="30" t="str">
        <f t="shared" si="4"/>
        <v>Below 30L</v>
      </c>
      <c r="G225" s="30" t="str">
        <f t="shared" si="5"/>
        <v>FY 20-21</v>
      </c>
    </row>
    <row r="226" spans="2:7" x14ac:dyDescent="0.5">
      <c r="B226" s="30">
        <v>135</v>
      </c>
      <c r="C226" s="30" t="s">
        <v>356</v>
      </c>
      <c r="D226" s="32">
        <v>44098</v>
      </c>
      <c r="E226" s="34">
        <v>344930</v>
      </c>
      <c r="F226" s="30" t="str">
        <f t="shared" si="4"/>
        <v>Below 30L</v>
      </c>
      <c r="G226" s="30" t="str">
        <f t="shared" si="5"/>
        <v>FY 20-21</v>
      </c>
    </row>
    <row r="227" spans="2:7" x14ac:dyDescent="0.5">
      <c r="B227" s="30">
        <v>136</v>
      </c>
      <c r="C227" s="30" t="s">
        <v>358</v>
      </c>
      <c r="D227" s="32">
        <v>44098</v>
      </c>
      <c r="E227" s="34">
        <v>272690</v>
      </c>
      <c r="F227" s="30" t="str">
        <f t="shared" si="4"/>
        <v>Below 30L</v>
      </c>
      <c r="G227" s="30" t="str">
        <f t="shared" si="5"/>
        <v>FY 20-21</v>
      </c>
    </row>
    <row r="228" spans="2:7" x14ac:dyDescent="0.5">
      <c r="B228" s="30">
        <v>137</v>
      </c>
      <c r="C228" s="30" t="s">
        <v>360</v>
      </c>
      <c r="D228" s="32">
        <v>44099</v>
      </c>
      <c r="E228" s="34">
        <v>253760</v>
      </c>
      <c r="F228" s="30" t="str">
        <f t="shared" si="4"/>
        <v>Below 30L</v>
      </c>
      <c r="G228" s="30" t="str">
        <f t="shared" si="5"/>
        <v>FY 20-21</v>
      </c>
    </row>
    <row r="229" spans="2:7" x14ac:dyDescent="0.5">
      <c r="B229" s="30">
        <v>138</v>
      </c>
      <c r="C229" s="30" t="s">
        <v>362</v>
      </c>
      <c r="D229" s="32">
        <v>44100</v>
      </c>
      <c r="E229" s="34">
        <v>361660</v>
      </c>
      <c r="F229" s="30" t="str">
        <f t="shared" si="4"/>
        <v>Below 30L</v>
      </c>
      <c r="G229" s="30" t="str">
        <f t="shared" si="5"/>
        <v>FY 20-21</v>
      </c>
    </row>
    <row r="230" spans="2:7" x14ac:dyDescent="0.5">
      <c r="B230" s="30">
        <v>139</v>
      </c>
      <c r="C230" s="30" t="s">
        <v>364</v>
      </c>
      <c r="D230" s="32">
        <v>44102</v>
      </c>
      <c r="E230" s="34">
        <v>325730</v>
      </c>
      <c r="F230" s="30" t="str">
        <f t="shared" si="4"/>
        <v>Below 30L</v>
      </c>
      <c r="G230" s="30" t="str">
        <f t="shared" si="5"/>
        <v>FY 20-21</v>
      </c>
    </row>
    <row r="231" spans="2:7" x14ac:dyDescent="0.5">
      <c r="B231" s="30">
        <v>140</v>
      </c>
      <c r="C231" s="30" t="s">
        <v>366</v>
      </c>
      <c r="D231" s="32">
        <v>44103</v>
      </c>
      <c r="E231" s="34">
        <v>343420</v>
      </c>
      <c r="F231" s="30" t="str">
        <f t="shared" si="4"/>
        <v>Below 30L</v>
      </c>
      <c r="G231" s="30" t="str">
        <f t="shared" si="5"/>
        <v>FY 20-21</v>
      </c>
    </row>
    <row r="232" spans="2:7" x14ac:dyDescent="0.5">
      <c r="B232" s="30">
        <v>141</v>
      </c>
      <c r="C232" s="30" t="s">
        <v>368</v>
      </c>
      <c r="D232" s="32">
        <v>44103</v>
      </c>
      <c r="E232" s="34">
        <v>413230</v>
      </c>
      <c r="F232" s="30" t="str">
        <f t="shared" si="4"/>
        <v>Below 30L</v>
      </c>
      <c r="G232" s="30" t="str">
        <f t="shared" si="5"/>
        <v>FY 20-21</v>
      </c>
    </row>
    <row r="233" spans="2:7" x14ac:dyDescent="0.5">
      <c r="B233" s="30">
        <v>142</v>
      </c>
      <c r="C233" s="30" t="s">
        <v>370</v>
      </c>
      <c r="D233" s="32">
        <v>44104</v>
      </c>
      <c r="E233" s="34">
        <v>287450</v>
      </c>
      <c r="F233" s="30" t="str">
        <f t="shared" si="4"/>
        <v>Below 30L</v>
      </c>
      <c r="G233" s="30" t="str">
        <f t="shared" si="5"/>
        <v>FY 20-21</v>
      </c>
    </row>
    <row r="234" spans="2:7" x14ac:dyDescent="0.5">
      <c r="B234" s="30">
        <v>143</v>
      </c>
      <c r="C234" s="30" t="s">
        <v>372</v>
      </c>
      <c r="D234" s="32">
        <v>44104</v>
      </c>
      <c r="E234" s="34">
        <v>465230</v>
      </c>
      <c r="F234" s="30" t="str">
        <f t="shared" si="4"/>
        <v>Below 30L</v>
      </c>
      <c r="G234" s="30" t="str">
        <f t="shared" si="5"/>
        <v>FY 20-21</v>
      </c>
    </row>
    <row r="235" spans="2:7" x14ac:dyDescent="0.5">
      <c r="B235" s="30">
        <v>144</v>
      </c>
      <c r="C235" s="30" t="s">
        <v>374</v>
      </c>
      <c r="D235" s="32">
        <v>44104</v>
      </c>
      <c r="E235" s="34">
        <v>459200</v>
      </c>
      <c r="F235" s="30" t="str">
        <f t="shared" si="4"/>
        <v>Below 30L</v>
      </c>
      <c r="G235" s="30" t="str">
        <f t="shared" si="5"/>
        <v>FY 20-21</v>
      </c>
    </row>
    <row r="236" spans="2:7" x14ac:dyDescent="0.5">
      <c r="B236" s="30">
        <v>145</v>
      </c>
      <c r="C236" s="30" t="s">
        <v>376</v>
      </c>
      <c r="D236" s="32">
        <v>44104</v>
      </c>
      <c r="E236" s="34">
        <v>363610</v>
      </c>
      <c r="F236" s="30" t="str">
        <f t="shared" si="4"/>
        <v>Below 30L</v>
      </c>
      <c r="G236" s="30" t="str">
        <f t="shared" si="5"/>
        <v>FY 20-21</v>
      </c>
    </row>
    <row r="237" spans="2:7" x14ac:dyDescent="0.5">
      <c r="B237" s="30">
        <v>146</v>
      </c>
      <c r="C237" s="30" t="s">
        <v>379</v>
      </c>
      <c r="D237" s="32">
        <v>44104</v>
      </c>
      <c r="E237" s="34">
        <v>324490</v>
      </c>
      <c r="F237" s="30" t="str">
        <f t="shared" si="4"/>
        <v>Below 30L</v>
      </c>
      <c r="G237" s="30" t="str">
        <f t="shared" si="5"/>
        <v>FY 20-21</v>
      </c>
    </row>
    <row r="238" spans="2:7" x14ac:dyDescent="0.5">
      <c r="B238" s="30">
        <v>147</v>
      </c>
      <c r="C238" s="30" t="s">
        <v>381</v>
      </c>
      <c r="D238" s="32">
        <v>44105</v>
      </c>
      <c r="E238" s="34">
        <v>477100</v>
      </c>
      <c r="F238" s="30" t="str">
        <f t="shared" si="4"/>
        <v>Below 30L</v>
      </c>
      <c r="G238" s="30" t="str">
        <f t="shared" si="5"/>
        <v>FY 20-21</v>
      </c>
    </row>
    <row r="239" spans="2:7" x14ac:dyDescent="0.5">
      <c r="B239" s="30">
        <v>148</v>
      </c>
      <c r="C239" s="30" t="s">
        <v>384</v>
      </c>
      <c r="D239" s="32">
        <v>44106</v>
      </c>
      <c r="E239" s="34">
        <v>277730</v>
      </c>
      <c r="F239" s="30" t="str">
        <f t="shared" si="4"/>
        <v>Below 30L</v>
      </c>
      <c r="G239" s="30" t="str">
        <f t="shared" si="5"/>
        <v>FY 20-21</v>
      </c>
    </row>
    <row r="240" spans="2:7" x14ac:dyDescent="0.5">
      <c r="B240" s="30">
        <v>149</v>
      </c>
      <c r="C240" s="30" t="s">
        <v>386</v>
      </c>
      <c r="D240" s="32">
        <v>44106</v>
      </c>
      <c r="E240" s="34">
        <v>338510</v>
      </c>
      <c r="F240" s="30" t="str">
        <f t="shared" si="4"/>
        <v>Below 30L</v>
      </c>
      <c r="G240" s="30" t="str">
        <f t="shared" si="5"/>
        <v>FY 20-21</v>
      </c>
    </row>
    <row r="241" spans="2:7" x14ac:dyDescent="0.5">
      <c r="B241" s="30">
        <v>150</v>
      </c>
      <c r="C241" s="30" t="s">
        <v>388</v>
      </c>
      <c r="D241" s="32">
        <v>44113</v>
      </c>
      <c r="E241" s="34">
        <v>494440</v>
      </c>
      <c r="F241" s="30" t="str">
        <f t="shared" si="4"/>
        <v>Below 30L</v>
      </c>
      <c r="G241" s="30" t="str">
        <f t="shared" si="5"/>
        <v>FY 20-21</v>
      </c>
    </row>
    <row r="242" spans="2:7" x14ac:dyDescent="0.5">
      <c r="B242" s="30">
        <v>151</v>
      </c>
      <c r="C242" s="30" t="s">
        <v>390</v>
      </c>
      <c r="D242" s="32">
        <v>44114</v>
      </c>
      <c r="E242" s="34">
        <v>354520</v>
      </c>
      <c r="F242" s="30" t="str">
        <f t="shared" si="4"/>
        <v>Below 30L</v>
      </c>
      <c r="G242" s="30" t="str">
        <f t="shared" si="5"/>
        <v>FY 20-21</v>
      </c>
    </row>
    <row r="243" spans="2:7" x14ac:dyDescent="0.5">
      <c r="B243" s="30">
        <v>152</v>
      </c>
      <c r="C243" s="30" t="s">
        <v>392</v>
      </c>
      <c r="D243" s="32">
        <v>44114</v>
      </c>
      <c r="E243" s="34">
        <v>236430</v>
      </c>
      <c r="F243" s="30" t="str">
        <f t="shared" si="4"/>
        <v>Below 30L</v>
      </c>
      <c r="G243" s="30" t="str">
        <f t="shared" si="5"/>
        <v>FY 20-21</v>
      </c>
    </row>
    <row r="244" spans="2:7" x14ac:dyDescent="0.5">
      <c r="B244" s="30">
        <v>153</v>
      </c>
      <c r="C244" s="30" t="s">
        <v>394</v>
      </c>
      <c r="D244" s="32">
        <v>44114</v>
      </c>
      <c r="E244" s="34">
        <v>269550</v>
      </c>
      <c r="F244" s="30" t="str">
        <f t="shared" si="4"/>
        <v>Below 30L</v>
      </c>
      <c r="G244" s="30" t="str">
        <f t="shared" si="5"/>
        <v>FY 20-21</v>
      </c>
    </row>
    <row r="245" spans="2:7" x14ac:dyDescent="0.5">
      <c r="B245" s="30">
        <v>154</v>
      </c>
      <c r="C245" s="30" t="s">
        <v>396</v>
      </c>
      <c r="D245" s="32">
        <v>44116</v>
      </c>
      <c r="E245" s="34">
        <v>4699400</v>
      </c>
      <c r="F245" s="30" t="str">
        <f t="shared" si="4"/>
        <v>40L to 50L</v>
      </c>
      <c r="G245" s="30" t="str">
        <f t="shared" si="5"/>
        <v>FY 20-21</v>
      </c>
    </row>
    <row r="246" spans="2:7" x14ac:dyDescent="0.5">
      <c r="B246" s="30">
        <v>155</v>
      </c>
      <c r="C246" s="30" t="s">
        <v>398</v>
      </c>
      <c r="D246" s="32">
        <v>44116</v>
      </c>
      <c r="E246" s="34">
        <v>40290</v>
      </c>
      <c r="F246" s="30" t="str">
        <f t="shared" si="4"/>
        <v>Below 30L</v>
      </c>
      <c r="G246" s="30" t="str">
        <f t="shared" si="5"/>
        <v>FY 20-21</v>
      </c>
    </row>
    <row r="247" spans="2:7" x14ac:dyDescent="0.5">
      <c r="B247" s="30">
        <v>156</v>
      </c>
      <c r="C247" s="30" t="s">
        <v>400</v>
      </c>
      <c r="D247" s="32">
        <v>44120</v>
      </c>
      <c r="E247" s="34">
        <v>427530</v>
      </c>
      <c r="F247" s="30" t="str">
        <f t="shared" si="4"/>
        <v>Below 30L</v>
      </c>
      <c r="G247" s="30" t="str">
        <f t="shared" si="5"/>
        <v>FY 20-21</v>
      </c>
    </row>
    <row r="248" spans="2:7" x14ac:dyDescent="0.5">
      <c r="B248" s="30">
        <v>157</v>
      </c>
      <c r="C248" s="30" t="s">
        <v>402</v>
      </c>
      <c r="D248" s="32">
        <v>44121</v>
      </c>
      <c r="E248" s="34">
        <v>375010</v>
      </c>
      <c r="F248" s="30" t="str">
        <f t="shared" si="4"/>
        <v>Below 30L</v>
      </c>
      <c r="G248" s="30" t="str">
        <f t="shared" si="5"/>
        <v>FY 20-21</v>
      </c>
    </row>
    <row r="249" spans="2:7" x14ac:dyDescent="0.5">
      <c r="B249" s="30">
        <v>158</v>
      </c>
      <c r="C249" s="30" t="s">
        <v>404</v>
      </c>
      <c r="D249" s="32">
        <v>44125</v>
      </c>
      <c r="E249" s="34">
        <v>233840</v>
      </c>
      <c r="F249" s="30" t="str">
        <f t="shared" si="4"/>
        <v>Below 30L</v>
      </c>
      <c r="G249" s="30" t="str">
        <f t="shared" si="5"/>
        <v>FY 20-21</v>
      </c>
    </row>
    <row r="250" spans="2:7" x14ac:dyDescent="0.5">
      <c r="B250" s="30">
        <v>159</v>
      </c>
      <c r="C250" s="30" t="s">
        <v>406</v>
      </c>
      <c r="D250" s="32">
        <v>44125</v>
      </c>
      <c r="E250" s="34">
        <v>486560</v>
      </c>
      <c r="F250" s="30" t="str">
        <f t="shared" si="4"/>
        <v>Below 30L</v>
      </c>
      <c r="G250" s="30" t="str">
        <f t="shared" si="5"/>
        <v>FY 20-21</v>
      </c>
    </row>
    <row r="251" spans="2:7" x14ac:dyDescent="0.5">
      <c r="B251" s="30">
        <v>160</v>
      </c>
      <c r="C251" s="30" t="s">
        <v>408</v>
      </c>
      <c r="D251" s="32">
        <v>44126</v>
      </c>
      <c r="E251" s="34">
        <v>394840</v>
      </c>
      <c r="F251" s="30" t="str">
        <f t="shared" si="4"/>
        <v>Below 30L</v>
      </c>
      <c r="G251" s="30" t="str">
        <f t="shared" si="5"/>
        <v>FY 20-21</v>
      </c>
    </row>
    <row r="252" spans="2:7" x14ac:dyDescent="0.5">
      <c r="B252" s="30">
        <v>161</v>
      </c>
      <c r="C252" s="30" t="s">
        <v>410</v>
      </c>
      <c r="D252" s="32">
        <v>44127</v>
      </c>
      <c r="E252" s="34">
        <v>496620</v>
      </c>
      <c r="F252" s="30" t="str">
        <f t="shared" si="4"/>
        <v>Below 30L</v>
      </c>
      <c r="G252" s="30" t="str">
        <f t="shared" si="5"/>
        <v>FY 20-21</v>
      </c>
    </row>
    <row r="253" spans="2:7" x14ac:dyDescent="0.5">
      <c r="B253" s="30">
        <v>162</v>
      </c>
      <c r="C253" s="30" t="s">
        <v>412</v>
      </c>
      <c r="D253" s="32">
        <v>44127</v>
      </c>
      <c r="E253" s="34">
        <v>423630</v>
      </c>
      <c r="F253" s="30" t="str">
        <f t="shared" si="4"/>
        <v>Below 30L</v>
      </c>
      <c r="G253" s="30" t="str">
        <f t="shared" si="5"/>
        <v>FY 20-21</v>
      </c>
    </row>
    <row r="254" spans="2:7" x14ac:dyDescent="0.5">
      <c r="B254" s="30">
        <v>163</v>
      </c>
      <c r="C254" s="30" t="s">
        <v>414</v>
      </c>
      <c r="D254" s="32">
        <v>44130</v>
      </c>
      <c r="E254" s="34">
        <v>342230</v>
      </c>
      <c r="F254" s="30" t="str">
        <f t="shared" si="4"/>
        <v>Below 30L</v>
      </c>
      <c r="G254" s="30" t="str">
        <f t="shared" si="5"/>
        <v>FY 20-21</v>
      </c>
    </row>
    <row r="255" spans="2:7" x14ac:dyDescent="0.5">
      <c r="B255" s="30">
        <v>164</v>
      </c>
      <c r="C255" s="30" t="s">
        <v>416</v>
      </c>
      <c r="D255" s="32">
        <v>44131</v>
      </c>
      <c r="E255" s="34">
        <v>313120</v>
      </c>
      <c r="F255" s="30" t="str">
        <f t="shared" si="4"/>
        <v>Below 30L</v>
      </c>
      <c r="G255" s="30" t="str">
        <f t="shared" si="5"/>
        <v>FY 20-21</v>
      </c>
    </row>
    <row r="256" spans="2:7" x14ac:dyDescent="0.5">
      <c r="B256" s="30">
        <v>165</v>
      </c>
      <c r="C256" s="30" t="s">
        <v>418</v>
      </c>
      <c r="D256" s="32">
        <v>44132</v>
      </c>
      <c r="E256" s="34">
        <v>482500</v>
      </c>
      <c r="F256" s="30" t="str">
        <f t="shared" si="4"/>
        <v>Below 30L</v>
      </c>
      <c r="G256" s="30" t="str">
        <f t="shared" si="5"/>
        <v>FY 20-21</v>
      </c>
    </row>
    <row r="257" spans="2:7" x14ac:dyDescent="0.5">
      <c r="B257" s="30">
        <v>166</v>
      </c>
      <c r="C257" s="30" t="s">
        <v>420</v>
      </c>
      <c r="D257" s="32">
        <v>44133</v>
      </c>
      <c r="E257" s="34">
        <v>228570</v>
      </c>
      <c r="F257" s="30" t="str">
        <f t="shared" si="4"/>
        <v>Below 30L</v>
      </c>
      <c r="G257" s="30" t="str">
        <f t="shared" si="5"/>
        <v>FY 20-21</v>
      </c>
    </row>
    <row r="258" spans="2:7" x14ac:dyDescent="0.5">
      <c r="B258" s="30">
        <v>167</v>
      </c>
      <c r="C258" s="30" t="s">
        <v>422</v>
      </c>
      <c r="D258" s="32">
        <v>44135</v>
      </c>
      <c r="E258" s="34">
        <v>374680</v>
      </c>
      <c r="F258" s="30" t="str">
        <f t="shared" si="4"/>
        <v>Below 30L</v>
      </c>
      <c r="G258" s="30" t="str">
        <f t="shared" si="5"/>
        <v>FY 20-21</v>
      </c>
    </row>
    <row r="259" spans="2:7" x14ac:dyDescent="0.5">
      <c r="B259" s="30">
        <v>168</v>
      </c>
      <c r="C259" s="30" t="s">
        <v>424</v>
      </c>
      <c r="D259" s="32">
        <v>44135</v>
      </c>
      <c r="E259" s="34">
        <v>270290</v>
      </c>
      <c r="F259" s="30" t="str">
        <f t="shared" si="4"/>
        <v>Below 30L</v>
      </c>
      <c r="G259" s="30" t="str">
        <f t="shared" si="5"/>
        <v>FY 20-21</v>
      </c>
    </row>
    <row r="260" spans="2:7" x14ac:dyDescent="0.5">
      <c r="B260" s="30">
        <v>169</v>
      </c>
      <c r="C260" s="30" t="s">
        <v>426</v>
      </c>
      <c r="D260" s="32">
        <v>44140</v>
      </c>
      <c r="E260" s="34">
        <v>230290</v>
      </c>
      <c r="F260" s="30" t="str">
        <f t="shared" si="4"/>
        <v>Below 30L</v>
      </c>
      <c r="G260" s="30" t="str">
        <f t="shared" si="5"/>
        <v>FY 20-21</v>
      </c>
    </row>
    <row r="261" spans="2:7" x14ac:dyDescent="0.5">
      <c r="B261" s="30">
        <v>170</v>
      </c>
      <c r="C261" s="30" t="s">
        <v>429</v>
      </c>
      <c r="D261" s="32">
        <v>44140</v>
      </c>
      <c r="E261" s="34">
        <v>204300</v>
      </c>
      <c r="F261" s="30" t="str">
        <f t="shared" si="4"/>
        <v>Below 30L</v>
      </c>
      <c r="G261" s="30" t="str">
        <f t="shared" si="5"/>
        <v>FY 20-21</v>
      </c>
    </row>
    <row r="262" spans="2:7" x14ac:dyDescent="0.5">
      <c r="B262" s="30">
        <v>171</v>
      </c>
      <c r="C262" s="30" t="s">
        <v>431</v>
      </c>
      <c r="D262" s="32">
        <v>44140</v>
      </c>
      <c r="E262" s="34">
        <v>429430</v>
      </c>
      <c r="F262" s="30" t="str">
        <f t="shared" si="4"/>
        <v>Below 30L</v>
      </c>
      <c r="G262" s="30" t="str">
        <f t="shared" si="5"/>
        <v>FY 20-21</v>
      </c>
    </row>
    <row r="263" spans="2:7" x14ac:dyDescent="0.5">
      <c r="B263" s="30">
        <v>172</v>
      </c>
      <c r="C263" s="30" t="s">
        <v>433</v>
      </c>
      <c r="D263" s="32">
        <v>44141</v>
      </c>
      <c r="E263" s="34">
        <v>208840</v>
      </c>
      <c r="F263" s="30" t="str">
        <f t="shared" si="4"/>
        <v>Below 30L</v>
      </c>
      <c r="G263" s="30" t="str">
        <f t="shared" si="5"/>
        <v>FY 20-21</v>
      </c>
    </row>
    <row r="264" spans="2:7" x14ac:dyDescent="0.5">
      <c r="B264" s="30">
        <v>173</v>
      </c>
      <c r="C264" s="30" t="s">
        <v>435</v>
      </c>
      <c r="D264" s="32">
        <v>44142</v>
      </c>
      <c r="E264" s="34">
        <v>459190</v>
      </c>
      <c r="F264" s="30" t="str">
        <f t="shared" si="4"/>
        <v>Below 30L</v>
      </c>
      <c r="G264" s="30" t="str">
        <f t="shared" si="5"/>
        <v>FY 20-21</v>
      </c>
    </row>
    <row r="265" spans="2:7" x14ac:dyDescent="0.5">
      <c r="B265" s="30">
        <v>174</v>
      </c>
      <c r="C265" s="30" t="s">
        <v>437</v>
      </c>
      <c r="D265" s="32">
        <v>44142</v>
      </c>
      <c r="E265" s="34">
        <v>356940</v>
      </c>
      <c r="F265" s="30" t="str">
        <f t="shared" si="4"/>
        <v>Below 30L</v>
      </c>
      <c r="G265" s="30" t="str">
        <f t="shared" si="5"/>
        <v>FY 20-21</v>
      </c>
    </row>
    <row r="266" spans="2:7" x14ac:dyDescent="0.5">
      <c r="B266" s="30">
        <v>175</v>
      </c>
      <c r="C266" s="30" t="s">
        <v>439</v>
      </c>
      <c r="D266" s="32">
        <v>44148</v>
      </c>
      <c r="E266" s="34">
        <v>205260</v>
      </c>
      <c r="F266" s="30" t="str">
        <f t="shared" si="4"/>
        <v>Below 30L</v>
      </c>
      <c r="G266" s="30" t="str">
        <f t="shared" si="5"/>
        <v>FY 20-21</v>
      </c>
    </row>
    <row r="267" spans="2:7" x14ac:dyDescent="0.5">
      <c r="B267" s="30">
        <v>176</v>
      </c>
      <c r="C267" s="30" t="s">
        <v>441</v>
      </c>
      <c r="D267" s="32">
        <v>44148</v>
      </c>
      <c r="E267" s="34">
        <v>397250</v>
      </c>
      <c r="F267" s="30" t="str">
        <f t="shared" si="4"/>
        <v>Below 30L</v>
      </c>
      <c r="G267" s="30" t="str">
        <f t="shared" si="5"/>
        <v>FY 20-21</v>
      </c>
    </row>
    <row r="268" spans="2:7" x14ac:dyDescent="0.5">
      <c r="B268" s="30">
        <v>177</v>
      </c>
      <c r="C268" s="30" t="s">
        <v>443</v>
      </c>
      <c r="D268" s="32">
        <v>44148</v>
      </c>
      <c r="E268" s="34">
        <v>473010</v>
      </c>
      <c r="F268" s="30" t="str">
        <f t="shared" si="4"/>
        <v>Below 30L</v>
      </c>
      <c r="G268" s="30" t="str">
        <f t="shared" si="5"/>
        <v>FY 20-21</v>
      </c>
    </row>
    <row r="269" spans="2:7" x14ac:dyDescent="0.5">
      <c r="B269" s="30">
        <v>178</v>
      </c>
      <c r="C269" s="30" t="s">
        <v>445</v>
      </c>
      <c r="D269" s="32">
        <v>44153</v>
      </c>
      <c r="E269" s="34">
        <v>497830</v>
      </c>
      <c r="F269" s="30" t="str">
        <f t="shared" si="4"/>
        <v>Below 30L</v>
      </c>
      <c r="G269" s="30" t="str">
        <f t="shared" si="5"/>
        <v>FY 20-21</v>
      </c>
    </row>
    <row r="270" spans="2:7" x14ac:dyDescent="0.5">
      <c r="B270" s="30">
        <v>179</v>
      </c>
      <c r="C270" s="30" t="s">
        <v>447</v>
      </c>
      <c r="D270" s="32">
        <v>44154</v>
      </c>
      <c r="E270" s="34">
        <v>260110</v>
      </c>
      <c r="F270" s="30" t="str">
        <f t="shared" si="4"/>
        <v>Below 30L</v>
      </c>
      <c r="G270" s="30" t="str">
        <f t="shared" si="5"/>
        <v>FY 20-21</v>
      </c>
    </row>
    <row r="271" spans="2:7" x14ac:dyDescent="0.5">
      <c r="B271" s="30">
        <v>180</v>
      </c>
      <c r="C271" s="30" t="s">
        <v>449</v>
      </c>
      <c r="D271" s="32">
        <v>44155</v>
      </c>
      <c r="E271" s="34">
        <v>270080</v>
      </c>
      <c r="F271" s="30" t="str">
        <f t="shared" si="4"/>
        <v>Below 30L</v>
      </c>
      <c r="G271" s="30" t="str">
        <f t="shared" si="5"/>
        <v>FY 20-21</v>
      </c>
    </row>
    <row r="272" spans="2:7" x14ac:dyDescent="0.5">
      <c r="B272" s="30">
        <v>181</v>
      </c>
      <c r="C272" s="30" t="s">
        <v>451</v>
      </c>
      <c r="D272" s="32">
        <v>44160</v>
      </c>
      <c r="E272" s="34">
        <v>422330</v>
      </c>
      <c r="F272" s="30" t="str">
        <f t="shared" si="4"/>
        <v>Below 30L</v>
      </c>
      <c r="G272" s="30" t="str">
        <f t="shared" si="5"/>
        <v>FY 20-21</v>
      </c>
    </row>
    <row r="273" spans="2:7" x14ac:dyDescent="0.5">
      <c r="B273" s="30">
        <v>182</v>
      </c>
      <c r="C273" s="30" t="s">
        <v>453</v>
      </c>
      <c r="D273" s="32">
        <v>44161</v>
      </c>
      <c r="E273" s="34">
        <v>252510</v>
      </c>
      <c r="F273" s="30" t="str">
        <f t="shared" si="4"/>
        <v>Below 30L</v>
      </c>
      <c r="G273" s="30" t="str">
        <f t="shared" si="5"/>
        <v>FY 20-21</v>
      </c>
    </row>
    <row r="274" spans="2:7" x14ac:dyDescent="0.5">
      <c r="B274" s="30">
        <v>183</v>
      </c>
      <c r="C274" s="30" t="s">
        <v>455</v>
      </c>
      <c r="D274" s="32">
        <v>44162</v>
      </c>
      <c r="E274" s="34">
        <v>376120</v>
      </c>
      <c r="F274" s="30" t="str">
        <f t="shared" si="4"/>
        <v>Below 30L</v>
      </c>
      <c r="G274" s="30" t="str">
        <f t="shared" si="5"/>
        <v>FY 20-21</v>
      </c>
    </row>
    <row r="275" spans="2:7" x14ac:dyDescent="0.5">
      <c r="B275" s="30">
        <v>184</v>
      </c>
      <c r="C275" s="30" t="s">
        <v>457</v>
      </c>
      <c r="D275" s="32">
        <v>44162</v>
      </c>
      <c r="E275" s="34">
        <v>367080</v>
      </c>
      <c r="F275" s="30" t="str">
        <f t="shared" si="4"/>
        <v>Below 30L</v>
      </c>
      <c r="G275" s="30" t="str">
        <f t="shared" si="5"/>
        <v>FY 20-21</v>
      </c>
    </row>
    <row r="276" spans="2:7" x14ac:dyDescent="0.5">
      <c r="B276" s="30">
        <v>185</v>
      </c>
      <c r="C276" s="30" t="s">
        <v>459</v>
      </c>
      <c r="D276" s="32">
        <v>44162</v>
      </c>
      <c r="E276" s="34">
        <v>39110</v>
      </c>
      <c r="F276" s="30" t="str">
        <f t="shared" si="4"/>
        <v>Below 30L</v>
      </c>
      <c r="G276" s="30" t="str">
        <f t="shared" si="5"/>
        <v>FY 20-21</v>
      </c>
    </row>
    <row r="277" spans="2:7" x14ac:dyDescent="0.5">
      <c r="B277" s="30">
        <v>186</v>
      </c>
      <c r="C277" s="30" t="s">
        <v>461</v>
      </c>
      <c r="D277" s="32">
        <v>44163</v>
      </c>
      <c r="E277" s="34">
        <v>246800</v>
      </c>
      <c r="F277" s="30" t="str">
        <f t="shared" si="4"/>
        <v>Below 30L</v>
      </c>
      <c r="G277" s="30" t="str">
        <f t="shared" si="5"/>
        <v>FY 20-21</v>
      </c>
    </row>
    <row r="278" spans="2:7" x14ac:dyDescent="0.5">
      <c r="B278" s="30">
        <v>187</v>
      </c>
      <c r="C278" s="30" t="s">
        <v>463</v>
      </c>
      <c r="D278" s="32">
        <v>44165</v>
      </c>
      <c r="E278" s="34">
        <v>339230</v>
      </c>
      <c r="F278" s="30" t="str">
        <f t="shared" si="4"/>
        <v>Below 30L</v>
      </c>
      <c r="G278" s="30" t="str">
        <f t="shared" si="5"/>
        <v>FY 20-21</v>
      </c>
    </row>
    <row r="279" spans="2:7" x14ac:dyDescent="0.5">
      <c r="B279" s="30">
        <v>188</v>
      </c>
      <c r="C279" s="30" t="s">
        <v>465</v>
      </c>
      <c r="D279" s="32">
        <v>44165</v>
      </c>
      <c r="E279" s="34">
        <v>359950</v>
      </c>
      <c r="F279" s="30" t="str">
        <f t="shared" si="4"/>
        <v>Below 30L</v>
      </c>
      <c r="G279" s="30" t="str">
        <f t="shared" si="5"/>
        <v>FY 20-21</v>
      </c>
    </row>
    <row r="280" spans="2:7" x14ac:dyDescent="0.5">
      <c r="B280" s="30">
        <v>189</v>
      </c>
      <c r="C280" s="30" t="s">
        <v>467</v>
      </c>
      <c r="D280" s="32">
        <v>44170</v>
      </c>
      <c r="E280" s="34">
        <v>342950</v>
      </c>
      <c r="F280" s="30" t="str">
        <f t="shared" si="4"/>
        <v>Below 30L</v>
      </c>
      <c r="G280" s="30" t="str">
        <f t="shared" si="5"/>
        <v>FY 20-21</v>
      </c>
    </row>
    <row r="281" spans="2:7" x14ac:dyDescent="0.5">
      <c r="B281" s="30">
        <v>190</v>
      </c>
      <c r="C281" s="30" t="s">
        <v>470</v>
      </c>
      <c r="D281" s="32">
        <v>44170</v>
      </c>
      <c r="E281" s="34">
        <v>406180</v>
      </c>
      <c r="F281" s="30" t="str">
        <f t="shared" si="4"/>
        <v>Below 30L</v>
      </c>
      <c r="G281" s="30" t="str">
        <f t="shared" si="5"/>
        <v>FY 20-21</v>
      </c>
    </row>
    <row r="282" spans="2:7" x14ac:dyDescent="0.5">
      <c r="B282" s="30">
        <v>191</v>
      </c>
      <c r="C282" s="30" t="s">
        <v>472</v>
      </c>
      <c r="D282" s="32">
        <v>44170</v>
      </c>
      <c r="E282" s="34">
        <v>5702060</v>
      </c>
      <c r="F282" s="30" t="str">
        <f t="shared" si="4"/>
        <v>50L and above</v>
      </c>
      <c r="G282" s="30" t="str">
        <f t="shared" si="5"/>
        <v>FY 20-21</v>
      </c>
    </row>
    <row r="283" spans="2:7" x14ac:dyDescent="0.5">
      <c r="B283" s="30">
        <v>192</v>
      </c>
      <c r="C283" s="30" t="s">
        <v>474</v>
      </c>
      <c r="D283" s="32">
        <v>44172</v>
      </c>
      <c r="E283" s="34">
        <v>307890</v>
      </c>
      <c r="F283" s="30" t="str">
        <f t="shared" si="4"/>
        <v>Below 30L</v>
      </c>
      <c r="G283" s="30" t="str">
        <f t="shared" si="5"/>
        <v>FY 20-21</v>
      </c>
    </row>
    <row r="284" spans="2:7" x14ac:dyDescent="0.5">
      <c r="B284" s="30">
        <v>193</v>
      </c>
      <c r="C284" s="30" t="s">
        <v>476</v>
      </c>
      <c r="D284" s="32">
        <v>44172</v>
      </c>
      <c r="E284" s="34">
        <v>391680</v>
      </c>
      <c r="F284" s="30" t="str">
        <f t="shared" ref="F284:F347" si="6">IF(E284&lt;3000000,"Below 30L",IF(E284&lt;4000000,"30L to 40L",IF(E284&lt;5000000,"40L to 50L",IF(E284&gt;=5000000,"50L and above"))))</f>
        <v>Below 30L</v>
      </c>
      <c r="G284" s="30" t="str">
        <f t="shared" si="5"/>
        <v>FY 20-21</v>
      </c>
    </row>
    <row r="285" spans="2:7" x14ac:dyDescent="0.5">
      <c r="B285" s="30">
        <v>194</v>
      </c>
      <c r="C285" s="30" t="s">
        <v>478</v>
      </c>
      <c r="D285" s="32">
        <v>44173</v>
      </c>
      <c r="E285" s="34">
        <v>13558220</v>
      </c>
      <c r="F285" s="30" t="str">
        <f t="shared" si="6"/>
        <v>50L and above</v>
      </c>
      <c r="G285" s="30" t="str">
        <f t="shared" ref="G285:G348" si="7">IF(AND(DATE(2021,4,1)&lt;=D285,D285&lt;=DATE(2022,3,31)),"FY 21-22","FY 20-21")</f>
        <v>FY 20-21</v>
      </c>
    </row>
    <row r="286" spans="2:7" x14ac:dyDescent="0.5">
      <c r="B286" s="30">
        <v>195</v>
      </c>
      <c r="C286" s="30" t="s">
        <v>480</v>
      </c>
      <c r="D286" s="32">
        <v>44182</v>
      </c>
      <c r="E286" s="34">
        <v>271590</v>
      </c>
      <c r="F286" s="30" t="str">
        <f t="shared" si="6"/>
        <v>Below 30L</v>
      </c>
      <c r="G286" s="30" t="str">
        <f t="shared" si="7"/>
        <v>FY 20-21</v>
      </c>
    </row>
    <row r="287" spans="2:7" x14ac:dyDescent="0.5">
      <c r="B287" s="30">
        <v>196</v>
      </c>
      <c r="C287" s="30" t="s">
        <v>482</v>
      </c>
      <c r="D287" s="32">
        <v>44183</v>
      </c>
      <c r="E287" s="34">
        <v>334350</v>
      </c>
      <c r="F287" s="30" t="str">
        <f t="shared" si="6"/>
        <v>Below 30L</v>
      </c>
      <c r="G287" s="30" t="str">
        <f t="shared" si="7"/>
        <v>FY 20-21</v>
      </c>
    </row>
    <row r="288" spans="2:7" x14ac:dyDescent="0.5">
      <c r="B288" s="30">
        <v>197</v>
      </c>
      <c r="C288" s="30" t="s">
        <v>484</v>
      </c>
      <c r="D288" s="32">
        <v>44186</v>
      </c>
      <c r="E288" s="34">
        <v>342230</v>
      </c>
      <c r="F288" s="30" t="str">
        <f t="shared" si="6"/>
        <v>Below 30L</v>
      </c>
      <c r="G288" s="30" t="str">
        <f t="shared" si="7"/>
        <v>FY 20-21</v>
      </c>
    </row>
    <row r="289" spans="2:7" x14ac:dyDescent="0.5">
      <c r="B289" s="30">
        <v>198</v>
      </c>
      <c r="C289" s="30" t="s">
        <v>486</v>
      </c>
      <c r="D289" s="32">
        <v>44186</v>
      </c>
      <c r="E289" s="34">
        <v>352880</v>
      </c>
      <c r="F289" s="30" t="str">
        <f t="shared" si="6"/>
        <v>Below 30L</v>
      </c>
      <c r="G289" s="30" t="str">
        <f t="shared" si="7"/>
        <v>FY 20-21</v>
      </c>
    </row>
    <row r="290" spans="2:7" x14ac:dyDescent="0.5">
      <c r="B290" s="30">
        <v>199</v>
      </c>
      <c r="C290" s="30" t="s">
        <v>488</v>
      </c>
      <c r="D290" s="32">
        <v>44186</v>
      </c>
      <c r="E290" s="34">
        <v>416270</v>
      </c>
      <c r="F290" s="30" t="str">
        <f t="shared" si="6"/>
        <v>Below 30L</v>
      </c>
      <c r="G290" s="30" t="str">
        <f t="shared" si="7"/>
        <v>FY 20-21</v>
      </c>
    </row>
    <row r="291" spans="2:7" x14ac:dyDescent="0.5">
      <c r="B291" s="30">
        <v>200</v>
      </c>
      <c r="C291" s="30" t="s">
        <v>490</v>
      </c>
      <c r="D291" s="32">
        <v>44186</v>
      </c>
      <c r="E291" s="34">
        <v>430910</v>
      </c>
      <c r="F291" s="30" t="str">
        <f t="shared" si="6"/>
        <v>Below 30L</v>
      </c>
      <c r="G291" s="30" t="str">
        <f t="shared" si="7"/>
        <v>FY 20-21</v>
      </c>
    </row>
    <row r="292" spans="2:7" x14ac:dyDescent="0.5">
      <c r="B292" s="30">
        <v>201</v>
      </c>
      <c r="C292" s="30" t="s">
        <v>492</v>
      </c>
      <c r="D292" s="32">
        <v>44187</v>
      </c>
      <c r="E292" s="34">
        <v>261940</v>
      </c>
      <c r="F292" s="30" t="str">
        <f t="shared" si="6"/>
        <v>Below 30L</v>
      </c>
      <c r="G292" s="30" t="str">
        <f t="shared" si="7"/>
        <v>FY 20-21</v>
      </c>
    </row>
    <row r="293" spans="2:7" x14ac:dyDescent="0.5">
      <c r="B293" s="30">
        <v>202</v>
      </c>
      <c r="C293" s="30" t="s">
        <v>494</v>
      </c>
      <c r="D293" s="32">
        <v>44187</v>
      </c>
      <c r="E293" s="34">
        <v>221470</v>
      </c>
      <c r="F293" s="30" t="str">
        <f t="shared" si="6"/>
        <v>Below 30L</v>
      </c>
      <c r="G293" s="30" t="str">
        <f t="shared" si="7"/>
        <v>FY 20-21</v>
      </c>
    </row>
    <row r="294" spans="2:7" x14ac:dyDescent="0.5">
      <c r="B294" s="30">
        <v>203</v>
      </c>
      <c r="C294" s="30" t="s">
        <v>496</v>
      </c>
      <c r="D294" s="32">
        <v>44193</v>
      </c>
      <c r="E294" s="34">
        <v>420990</v>
      </c>
      <c r="F294" s="30" t="str">
        <f t="shared" si="6"/>
        <v>Below 30L</v>
      </c>
      <c r="G294" s="30" t="str">
        <f t="shared" si="7"/>
        <v>FY 20-21</v>
      </c>
    </row>
    <row r="295" spans="2:7" x14ac:dyDescent="0.5">
      <c r="B295" s="30">
        <v>204</v>
      </c>
      <c r="C295" s="30" t="s">
        <v>498</v>
      </c>
      <c r="D295" s="32">
        <v>44196</v>
      </c>
      <c r="E295" s="34">
        <v>2125810</v>
      </c>
      <c r="F295" s="30" t="str">
        <f t="shared" si="6"/>
        <v>Below 30L</v>
      </c>
      <c r="G295" s="30" t="str">
        <f t="shared" si="7"/>
        <v>FY 20-21</v>
      </c>
    </row>
    <row r="296" spans="2:7" x14ac:dyDescent="0.5">
      <c r="B296" s="30">
        <v>205</v>
      </c>
      <c r="C296" s="30" t="s">
        <v>500</v>
      </c>
      <c r="D296" s="32">
        <v>44197</v>
      </c>
      <c r="E296" s="34">
        <v>460950</v>
      </c>
      <c r="F296" s="30" t="str">
        <f t="shared" si="6"/>
        <v>Below 30L</v>
      </c>
      <c r="G296" s="30" t="str">
        <f t="shared" si="7"/>
        <v>FY 20-21</v>
      </c>
    </row>
    <row r="297" spans="2:7" x14ac:dyDescent="0.5">
      <c r="B297" s="30">
        <v>206</v>
      </c>
      <c r="C297" s="30" t="s">
        <v>503</v>
      </c>
      <c r="D297" s="32">
        <v>44203</v>
      </c>
      <c r="E297" s="34">
        <v>497450</v>
      </c>
      <c r="F297" s="30" t="str">
        <f t="shared" si="6"/>
        <v>Below 30L</v>
      </c>
      <c r="G297" s="30" t="str">
        <f t="shared" si="7"/>
        <v>FY 20-21</v>
      </c>
    </row>
    <row r="298" spans="2:7" x14ac:dyDescent="0.5">
      <c r="B298" s="30">
        <v>207</v>
      </c>
      <c r="C298" s="30" t="s">
        <v>505</v>
      </c>
      <c r="D298" s="32">
        <v>44203</v>
      </c>
      <c r="E298" s="34">
        <v>325300</v>
      </c>
      <c r="F298" s="30" t="str">
        <f t="shared" si="6"/>
        <v>Below 30L</v>
      </c>
      <c r="G298" s="30" t="str">
        <f t="shared" si="7"/>
        <v>FY 20-21</v>
      </c>
    </row>
    <row r="299" spans="2:7" x14ac:dyDescent="0.5">
      <c r="B299" s="30">
        <v>208</v>
      </c>
      <c r="C299" s="30" t="s">
        <v>507</v>
      </c>
      <c r="D299" s="32">
        <v>44203</v>
      </c>
      <c r="E299" s="34">
        <v>449520</v>
      </c>
      <c r="F299" s="30" t="str">
        <f t="shared" si="6"/>
        <v>Below 30L</v>
      </c>
      <c r="G299" s="30" t="str">
        <f t="shared" si="7"/>
        <v>FY 20-21</v>
      </c>
    </row>
    <row r="300" spans="2:7" x14ac:dyDescent="0.5">
      <c r="B300" s="30">
        <v>209</v>
      </c>
      <c r="C300" s="30" t="s">
        <v>509</v>
      </c>
      <c r="D300" s="32">
        <v>44205</v>
      </c>
      <c r="E300" s="34">
        <v>237540</v>
      </c>
      <c r="F300" s="30" t="str">
        <f t="shared" si="6"/>
        <v>Below 30L</v>
      </c>
      <c r="G300" s="30" t="str">
        <f t="shared" si="7"/>
        <v>FY 20-21</v>
      </c>
    </row>
    <row r="301" spans="2:7" x14ac:dyDescent="0.5">
      <c r="B301" s="30">
        <v>210</v>
      </c>
      <c r="C301" s="30" t="s">
        <v>511</v>
      </c>
      <c r="D301" s="32">
        <v>44211</v>
      </c>
      <c r="E301" s="34">
        <v>260730</v>
      </c>
      <c r="F301" s="30" t="str">
        <f t="shared" si="6"/>
        <v>Below 30L</v>
      </c>
      <c r="G301" s="30" t="str">
        <f t="shared" si="7"/>
        <v>FY 20-21</v>
      </c>
    </row>
    <row r="302" spans="2:7" x14ac:dyDescent="0.5">
      <c r="B302" s="30">
        <v>211</v>
      </c>
      <c r="C302" s="30" t="s">
        <v>513</v>
      </c>
      <c r="D302" s="32">
        <v>44212</v>
      </c>
      <c r="E302" s="34">
        <v>369470</v>
      </c>
      <c r="F302" s="30" t="str">
        <f t="shared" si="6"/>
        <v>Below 30L</v>
      </c>
      <c r="G302" s="30" t="str">
        <f t="shared" si="7"/>
        <v>FY 20-21</v>
      </c>
    </row>
    <row r="303" spans="2:7" x14ac:dyDescent="0.5">
      <c r="B303" s="30">
        <v>212</v>
      </c>
      <c r="C303" s="30" t="s">
        <v>515</v>
      </c>
      <c r="D303" s="32">
        <v>44214</v>
      </c>
      <c r="E303" s="34">
        <v>395500</v>
      </c>
      <c r="F303" s="30" t="str">
        <f t="shared" si="6"/>
        <v>Below 30L</v>
      </c>
      <c r="G303" s="30" t="str">
        <f t="shared" si="7"/>
        <v>FY 20-21</v>
      </c>
    </row>
    <row r="304" spans="2:7" x14ac:dyDescent="0.5">
      <c r="B304" s="30">
        <v>213</v>
      </c>
      <c r="C304" s="30" t="s">
        <v>517</v>
      </c>
      <c r="D304" s="32">
        <v>44214</v>
      </c>
      <c r="E304" s="34">
        <v>374810</v>
      </c>
      <c r="F304" s="30" t="str">
        <f t="shared" si="6"/>
        <v>Below 30L</v>
      </c>
      <c r="G304" s="30" t="str">
        <f t="shared" si="7"/>
        <v>FY 20-21</v>
      </c>
    </row>
    <row r="305" spans="2:7" x14ac:dyDescent="0.5">
      <c r="B305" s="30">
        <v>214</v>
      </c>
      <c r="C305" s="30" t="s">
        <v>519</v>
      </c>
      <c r="D305" s="32">
        <v>44218</v>
      </c>
      <c r="E305" s="34">
        <v>433570</v>
      </c>
      <c r="F305" s="30" t="str">
        <f t="shared" si="6"/>
        <v>Below 30L</v>
      </c>
      <c r="G305" s="30" t="str">
        <f t="shared" si="7"/>
        <v>FY 20-21</v>
      </c>
    </row>
    <row r="306" spans="2:7" x14ac:dyDescent="0.5">
      <c r="B306" s="30">
        <v>215</v>
      </c>
      <c r="C306" s="30" t="s">
        <v>521</v>
      </c>
      <c r="D306" s="32">
        <v>44219</v>
      </c>
      <c r="E306" s="34">
        <v>302470</v>
      </c>
      <c r="F306" s="30" t="str">
        <f t="shared" si="6"/>
        <v>Below 30L</v>
      </c>
      <c r="G306" s="30" t="str">
        <f t="shared" si="7"/>
        <v>FY 20-21</v>
      </c>
    </row>
    <row r="307" spans="2:7" x14ac:dyDescent="0.5">
      <c r="B307" s="30">
        <v>216</v>
      </c>
      <c r="C307" s="30" t="s">
        <v>523</v>
      </c>
      <c r="D307" s="32">
        <v>44221</v>
      </c>
      <c r="E307" s="34">
        <v>388980</v>
      </c>
      <c r="F307" s="30" t="str">
        <f t="shared" si="6"/>
        <v>Below 30L</v>
      </c>
      <c r="G307" s="30" t="str">
        <f t="shared" si="7"/>
        <v>FY 20-21</v>
      </c>
    </row>
    <row r="308" spans="2:7" x14ac:dyDescent="0.5">
      <c r="B308" s="30">
        <v>217</v>
      </c>
      <c r="C308" s="30" t="s">
        <v>525</v>
      </c>
      <c r="D308" s="32">
        <v>44221</v>
      </c>
      <c r="E308" s="34">
        <v>21830</v>
      </c>
      <c r="F308" s="30" t="str">
        <f t="shared" si="6"/>
        <v>Below 30L</v>
      </c>
      <c r="G308" s="30" t="str">
        <f t="shared" si="7"/>
        <v>FY 20-21</v>
      </c>
    </row>
    <row r="309" spans="2:7" x14ac:dyDescent="0.5">
      <c r="B309" s="30">
        <v>218</v>
      </c>
      <c r="C309" s="30" t="s">
        <v>527</v>
      </c>
      <c r="D309" s="32">
        <v>44221</v>
      </c>
      <c r="E309" s="34">
        <v>434470</v>
      </c>
      <c r="F309" s="30" t="str">
        <f t="shared" si="6"/>
        <v>Below 30L</v>
      </c>
      <c r="G309" s="30" t="str">
        <f t="shared" si="7"/>
        <v>FY 20-21</v>
      </c>
    </row>
    <row r="310" spans="2:7" x14ac:dyDescent="0.5">
      <c r="B310" s="30">
        <v>219</v>
      </c>
      <c r="C310" s="30" t="s">
        <v>529</v>
      </c>
      <c r="D310" s="32">
        <v>44223</v>
      </c>
      <c r="E310" s="34">
        <v>359170</v>
      </c>
      <c r="F310" s="30" t="str">
        <f t="shared" si="6"/>
        <v>Below 30L</v>
      </c>
      <c r="G310" s="30" t="str">
        <f t="shared" si="7"/>
        <v>FY 20-21</v>
      </c>
    </row>
    <row r="311" spans="2:7" x14ac:dyDescent="0.5">
      <c r="B311" s="30">
        <v>220</v>
      </c>
      <c r="C311" s="30" t="s">
        <v>531</v>
      </c>
      <c r="D311" s="32">
        <v>44225</v>
      </c>
      <c r="E311" s="34">
        <v>464740</v>
      </c>
      <c r="F311" s="30" t="str">
        <f t="shared" si="6"/>
        <v>Below 30L</v>
      </c>
      <c r="G311" s="30" t="str">
        <f t="shared" si="7"/>
        <v>FY 20-21</v>
      </c>
    </row>
    <row r="312" spans="2:7" x14ac:dyDescent="0.5">
      <c r="B312" s="30">
        <v>221</v>
      </c>
      <c r="C312" s="30" t="s">
        <v>533</v>
      </c>
      <c r="D312" s="32">
        <v>44229</v>
      </c>
      <c r="E312" s="34">
        <v>343880</v>
      </c>
      <c r="F312" s="30" t="str">
        <f t="shared" si="6"/>
        <v>Below 30L</v>
      </c>
      <c r="G312" s="30" t="str">
        <f t="shared" si="7"/>
        <v>FY 20-21</v>
      </c>
    </row>
    <row r="313" spans="2:7" x14ac:dyDescent="0.5">
      <c r="B313" s="30">
        <v>222</v>
      </c>
      <c r="C313" s="30" t="s">
        <v>536</v>
      </c>
      <c r="D313" s="32">
        <v>44230</v>
      </c>
      <c r="E313" s="34">
        <v>464470</v>
      </c>
      <c r="F313" s="30" t="str">
        <f t="shared" si="6"/>
        <v>Below 30L</v>
      </c>
      <c r="G313" s="30" t="str">
        <f t="shared" si="7"/>
        <v>FY 20-21</v>
      </c>
    </row>
    <row r="314" spans="2:7" x14ac:dyDescent="0.5">
      <c r="B314" s="30">
        <v>223</v>
      </c>
      <c r="C314" s="30" t="s">
        <v>538</v>
      </c>
      <c r="D314" s="32">
        <v>44231</v>
      </c>
      <c r="E314" s="34">
        <v>207340</v>
      </c>
      <c r="F314" s="30" t="str">
        <f t="shared" si="6"/>
        <v>Below 30L</v>
      </c>
      <c r="G314" s="30" t="str">
        <f t="shared" si="7"/>
        <v>FY 20-21</v>
      </c>
    </row>
    <row r="315" spans="2:7" x14ac:dyDescent="0.5">
      <c r="B315" s="30">
        <v>224</v>
      </c>
      <c r="C315" s="30" t="s">
        <v>540</v>
      </c>
      <c r="D315" s="32">
        <v>44231</v>
      </c>
      <c r="E315" s="34">
        <v>235030</v>
      </c>
      <c r="F315" s="30" t="str">
        <f t="shared" si="6"/>
        <v>Below 30L</v>
      </c>
      <c r="G315" s="30" t="str">
        <f t="shared" si="7"/>
        <v>FY 20-21</v>
      </c>
    </row>
    <row r="316" spans="2:7" x14ac:dyDescent="0.5">
      <c r="B316" s="30">
        <v>225</v>
      </c>
      <c r="C316" s="30" t="s">
        <v>542</v>
      </c>
      <c r="D316" s="32">
        <v>44231</v>
      </c>
      <c r="E316" s="34">
        <v>289800</v>
      </c>
      <c r="F316" s="30" t="str">
        <f t="shared" si="6"/>
        <v>Below 30L</v>
      </c>
      <c r="G316" s="30" t="str">
        <f t="shared" si="7"/>
        <v>FY 20-21</v>
      </c>
    </row>
    <row r="317" spans="2:7" x14ac:dyDescent="0.5">
      <c r="B317" s="30">
        <v>226</v>
      </c>
      <c r="C317" s="30" t="s">
        <v>544</v>
      </c>
      <c r="D317" s="32">
        <v>44231</v>
      </c>
      <c r="E317" s="34">
        <v>452530</v>
      </c>
      <c r="F317" s="30" t="str">
        <f t="shared" si="6"/>
        <v>Below 30L</v>
      </c>
      <c r="G317" s="30" t="str">
        <f t="shared" si="7"/>
        <v>FY 20-21</v>
      </c>
    </row>
    <row r="318" spans="2:7" x14ac:dyDescent="0.5">
      <c r="B318" s="30">
        <v>227</v>
      </c>
      <c r="C318" s="30" t="s">
        <v>546</v>
      </c>
      <c r="D318" s="32">
        <v>44232</v>
      </c>
      <c r="E318" s="34">
        <v>461930</v>
      </c>
      <c r="F318" s="30" t="str">
        <f t="shared" si="6"/>
        <v>Below 30L</v>
      </c>
      <c r="G318" s="30" t="str">
        <f t="shared" si="7"/>
        <v>FY 20-21</v>
      </c>
    </row>
    <row r="319" spans="2:7" x14ac:dyDescent="0.5">
      <c r="B319" s="30">
        <v>228</v>
      </c>
      <c r="C319" s="30" t="s">
        <v>548</v>
      </c>
      <c r="D319" s="32">
        <v>44235</v>
      </c>
      <c r="E319" s="34">
        <v>380650</v>
      </c>
      <c r="F319" s="30" t="str">
        <f t="shared" si="6"/>
        <v>Below 30L</v>
      </c>
      <c r="G319" s="30" t="str">
        <f t="shared" si="7"/>
        <v>FY 20-21</v>
      </c>
    </row>
    <row r="320" spans="2:7" x14ac:dyDescent="0.5">
      <c r="B320" s="30">
        <v>229</v>
      </c>
      <c r="C320" s="30" t="s">
        <v>550</v>
      </c>
      <c r="D320" s="32">
        <v>44239</v>
      </c>
      <c r="E320" s="34">
        <v>362410</v>
      </c>
      <c r="F320" s="30" t="str">
        <f t="shared" si="6"/>
        <v>Below 30L</v>
      </c>
      <c r="G320" s="30" t="str">
        <f t="shared" si="7"/>
        <v>FY 20-21</v>
      </c>
    </row>
    <row r="321" spans="2:7" x14ac:dyDescent="0.5">
      <c r="B321" s="30">
        <v>230</v>
      </c>
      <c r="C321" s="30" t="s">
        <v>552</v>
      </c>
      <c r="D321" s="32">
        <v>44239</v>
      </c>
      <c r="E321" s="34">
        <v>6899270</v>
      </c>
      <c r="F321" s="30" t="str">
        <f t="shared" si="6"/>
        <v>50L and above</v>
      </c>
      <c r="G321" s="30" t="str">
        <f t="shared" si="7"/>
        <v>FY 20-21</v>
      </c>
    </row>
    <row r="322" spans="2:7" x14ac:dyDescent="0.5">
      <c r="B322" s="30">
        <v>231</v>
      </c>
      <c r="C322" s="30" t="s">
        <v>554</v>
      </c>
      <c r="D322" s="32">
        <v>44240</v>
      </c>
      <c r="E322" s="34">
        <v>417340</v>
      </c>
      <c r="F322" s="30" t="str">
        <f t="shared" si="6"/>
        <v>Below 30L</v>
      </c>
      <c r="G322" s="30" t="str">
        <f t="shared" si="7"/>
        <v>FY 20-21</v>
      </c>
    </row>
    <row r="323" spans="2:7" x14ac:dyDescent="0.5">
      <c r="B323" s="30">
        <v>232</v>
      </c>
      <c r="C323" s="30" t="s">
        <v>556</v>
      </c>
      <c r="D323" s="32">
        <v>44242</v>
      </c>
      <c r="E323" s="34">
        <v>214490</v>
      </c>
      <c r="F323" s="30" t="str">
        <f t="shared" si="6"/>
        <v>Below 30L</v>
      </c>
      <c r="G323" s="30" t="str">
        <f t="shared" si="7"/>
        <v>FY 20-21</v>
      </c>
    </row>
    <row r="324" spans="2:7" x14ac:dyDescent="0.5">
      <c r="B324" s="30">
        <v>233</v>
      </c>
      <c r="C324" s="30" t="s">
        <v>558</v>
      </c>
      <c r="D324" s="32">
        <v>44242</v>
      </c>
      <c r="E324" s="34">
        <v>395980</v>
      </c>
      <c r="F324" s="30" t="str">
        <f t="shared" si="6"/>
        <v>Below 30L</v>
      </c>
      <c r="G324" s="30" t="str">
        <f t="shared" si="7"/>
        <v>FY 20-21</v>
      </c>
    </row>
    <row r="325" spans="2:7" x14ac:dyDescent="0.5">
      <c r="B325" s="30">
        <v>234</v>
      </c>
      <c r="C325" s="30" t="s">
        <v>560</v>
      </c>
      <c r="D325" s="32">
        <v>44245</v>
      </c>
      <c r="E325" s="34">
        <v>278800</v>
      </c>
      <c r="F325" s="30" t="str">
        <f t="shared" si="6"/>
        <v>Below 30L</v>
      </c>
      <c r="G325" s="30" t="str">
        <f t="shared" si="7"/>
        <v>FY 20-21</v>
      </c>
    </row>
    <row r="326" spans="2:7" x14ac:dyDescent="0.5">
      <c r="B326" s="30">
        <v>235</v>
      </c>
      <c r="C326" s="30" t="s">
        <v>562</v>
      </c>
      <c r="D326" s="32">
        <v>44247</v>
      </c>
      <c r="E326" s="34">
        <v>431320</v>
      </c>
      <c r="F326" s="30" t="str">
        <f t="shared" si="6"/>
        <v>Below 30L</v>
      </c>
      <c r="G326" s="30" t="str">
        <f t="shared" si="7"/>
        <v>FY 20-21</v>
      </c>
    </row>
    <row r="327" spans="2:7" x14ac:dyDescent="0.5">
      <c r="B327" s="30">
        <v>236</v>
      </c>
      <c r="C327" s="30" t="s">
        <v>564</v>
      </c>
      <c r="D327" s="32">
        <v>44250</v>
      </c>
      <c r="E327" s="34">
        <v>216430</v>
      </c>
      <c r="F327" s="30" t="str">
        <f t="shared" si="6"/>
        <v>Below 30L</v>
      </c>
      <c r="G327" s="30" t="str">
        <f t="shared" si="7"/>
        <v>FY 20-21</v>
      </c>
    </row>
    <row r="328" spans="2:7" x14ac:dyDescent="0.5">
      <c r="B328" s="30">
        <v>237</v>
      </c>
      <c r="C328" s="30" t="s">
        <v>566</v>
      </c>
      <c r="D328" s="32">
        <v>44251</v>
      </c>
      <c r="E328" s="34">
        <v>201920</v>
      </c>
      <c r="F328" s="30" t="str">
        <f t="shared" si="6"/>
        <v>Below 30L</v>
      </c>
      <c r="G328" s="30" t="str">
        <f t="shared" si="7"/>
        <v>FY 20-21</v>
      </c>
    </row>
    <row r="329" spans="2:7" x14ac:dyDescent="0.5">
      <c r="B329" s="30">
        <v>238</v>
      </c>
      <c r="C329" s="30" t="s">
        <v>568</v>
      </c>
      <c r="D329" s="32">
        <v>44251</v>
      </c>
      <c r="E329" s="34">
        <v>383620</v>
      </c>
      <c r="F329" s="30" t="str">
        <f t="shared" si="6"/>
        <v>Below 30L</v>
      </c>
      <c r="G329" s="30" t="str">
        <f t="shared" si="7"/>
        <v>FY 20-21</v>
      </c>
    </row>
    <row r="330" spans="2:7" x14ac:dyDescent="0.5">
      <c r="B330" s="30">
        <v>239</v>
      </c>
      <c r="C330" s="30" t="s">
        <v>570</v>
      </c>
      <c r="D330" s="32">
        <v>44254</v>
      </c>
      <c r="E330" s="34">
        <v>495540</v>
      </c>
      <c r="F330" s="30" t="str">
        <f t="shared" si="6"/>
        <v>Below 30L</v>
      </c>
      <c r="G330" s="30" t="str">
        <f t="shared" si="7"/>
        <v>FY 20-21</v>
      </c>
    </row>
    <row r="331" spans="2:7" x14ac:dyDescent="0.5">
      <c r="B331" s="30">
        <v>240</v>
      </c>
      <c r="C331" s="30" t="s">
        <v>572</v>
      </c>
      <c r="D331" s="32">
        <v>44256</v>
      </c>
      <c r="E331" s="34">
        <v>285080</v>
      </c>
      <c r="F331" s="30" t="str">
        <f t="shared" si="6"/>
        <v>Below 30L</v>
      </c>
      <c r="G331" s="30" t="str">
        <f t="shared" si="7"/>
        <v>FY 20-21</v>
      </c>
    </row>
    <row r="332" spans="2:7" x14ac:dyDescent="0.5">
      <c r="B332" s="30">
        <v>241</v>
      </c>
      <c r="C332" s="30" t="s">
        <v>575</v>
      </c>
      <c r="D332" s="32">
        <v>44256</v>
      </c>
      <c r="E332" s="34">
        <v>441790</v>
      </c>
      <c r="F332" s="30" t="str">
        <f t="shared" si="6"/>
        <v>Below 30L</v>
      </c>
      <c r="G332" s="30" t="str">
        <f t="shared" si="7"/>
        <v>FY 20-21</v>
      </c>
    </row>
    <row r="333" spans="2:7" x14ac:dyDescent="0.5">
      <c r="B333" s="30">
        <v>242</v>
      </c>
      <c r="C333" s="30" t="s">
        <v>578</v>
      </c>
      <c r="D333" s="32">
        <v>44257</v>
      </c>
      <c r="E333" s="34">
        <v>339640</v>
      </c>
      <c r="F333" s="30" t="str">
        <f t="shared" si="6"/>
        <v>Below 30L</v>
      </c>
      <c r="G333" s="30" t="str">
        <f t="shared" si="7"/>
        <v>FY 20-21</v>
      </c>
    </row>
    <row r="334" spans="2:7" x14ac:dyDescent="0.5">
      <c r="B334" s="30">
        <v>243</v>
      </c>
      <c r="C334" s="30" t="s">
        <v>580</v>
      </c>
      <c r="D334" s="32">
        <v>44264</v>
      </c>
      <c r="E334" s="34">
        <v>494660</v>
      </c>
      <c r="F334" s="30" t="str">
        <f t="shared" si="6"/>
        <v>Below 30L</v>
      </c>
      <c r="G334" s="30" t="str">
        <f t="shared" si="7"/>
        <v>FY 20-21</v>
      </c>
    </row>
    <row r="335" spans="2:7" x14ac:dyDescent="0.5">
      <c r="B335" s="30">
        <v>244</v>
      </c>
      <c r="C335" s="30" t="s">
        <v>582</v>
      </c>
      <c r="D335" s="32">
        <v>44264</v>
      </c>
      <c r="E335" s="34">
        <v>463590</v>
      </c>
      <c r="F335" s="30" t="str">
        <f t="shared" si="6"/>
        <v>Below 30L</v>
      </c>
      <c r="G335" s="30" t="str">
        <f t="shared" si="7"/>
        <v>FY 20-21</v>
      </c>
    </row>
    <row r="336" spans="2:7" x14ac:dyDescent="0.5">
      <c r="B336" s="30">
        <v>245</v>
      </c>
      <c r="C336" s="30" t="s">
        <v>584</v>
      </c>
      <c r="D336" s="32">
        <v>44265</v>
      </c>
      <c r="E336" s="34">
        <v>474470</v>
      </c>
      <c r="F336" s="30" t="str">
        <f t="shared" si="6"/>
        <v>Below 30L</v>
      </c>
      <c r="G336" s="30" t="str">
        <f t="shared" si="7"/>
        <v>FY 20-21</v>
      </c>
    </row>
    <row r="337" spans="2:7" x14ac:dyDescent="0.5">
      <c r="B337" s="30">
        <v>246</v>
      </c>
      <c r="C337" s="30" t="s">
        <v>586</v>
      </c>
      <c r="D337" s="32">
        <v>44266</v>
      </c>
      <c r="E337" s="34">
        <v>236850</v>
      </c>
      <c r="F337" s="30" t="str">
        <f t="shared" si="6"/>
        <v>Below 30L</v>
      </c>
      <c r="G337" s="30" t="str">
        <f t="shared" si="7"/>
        <v>FY 20-21</v>
      </c>
    </row>
    <row r="338" spans="2:7" x14ac:dyDescent="0.5">
      <c r="B338" s="30">
        <v>247</v>
      </c>
      <c r="C338" s="30" t="s">
        <v>588</v>
      </c>
      <c r="D338" s="32">
        <v>44267</v>
      </c>
      <c r="E338" s="34">
        <v>37380</v>
      </c>
      <c r="F338" s="30" t="str">
        <f t="shared" si="6"/>
        <v>Below 30L</v>
      </c>
      <c r="G338" s="30" t="str">
        <f t="shared" si="7"/>
        <v>FY 20-21</v>
      </c>
    </row>
    <row r="339" spans="2:7" x14ac:dyDescent="0.5">
      <c r="B339" s="30">
        <v>248</v>
      </c>
      <c r="C339" s="30" t="s">
        <v>590</v>
      </c>
      <c r="D339" s="32">
        <v>44268</v>
      </c>
      <c r="E339" s="34">
        <v>474250</v>
      </c>
      <c r="F339" s="30" t="str">
        <f t="shared" si="6"/>
        <v>Below 30L</v>
      </c>
      <c r="G339" s="30" t="str">
        <f t="shared" si="7"/>
        <v>FY 20-21</v>
      </c>
    </row>
    <row r="340" spans="2:7" x14ac:dyDescent="0.5">
      <c r="B340" s="30">
        <v>249</v>
      </c>
      <c r="C340" s="30" t="s">
        <v>592</v>
      </c>
      <c r="D340" s="32">
        <v>44270</v>
      </c>
      <c r="E340" s="34">
        <v>322680</v>
      </c>
      <c r="F340" s="30" t="str">
        <f t="shared" si="6"/>
        <v>Below 30L</v>
      </c>
      <c r="G340" s="30" t="str">
        <f t="shared" si="7"/>
        <v>FY 20-21</v>
      </c>
    </row>
    <row r="341" spans="2:7" x14ac:dyDescent="0.5">
      <c r="B341" s="30">
        <v>250</v>
      </c>
      <c r="C341" s="30" t="s">
        <v>594</v>
      </c>
      <c r="D341" s="32">
        <v>44270</v>
      </c>
      <c r="E341" s="34">
        <v>245600</v>
      </c>
      <c r="F341" s="30" t="str">
        <f t="shared" si="6"/>
        <v>Below 30L</v>
      </c>
      <c r="G341" s="30" t="str">
        <f t="shared" si="7"/>
        <v>FY 20-21</v>
      </c>
    </row>
    <row r="342" spans="2:7" x14ac:dyDescent="0.5">
      <c r="B342" s="30">
        <v>251</v>
      </c>
      <c r="C342" s="30" t="s">
        <v>596</v>
      </c>
      <c r="D342" s="32">
        <v>44270</v>
      </c>
      <c r="E342" s="34">
        <v>276510</v>
      </c>
      <c r="F342" s="30" t="str">
        <f t="shared" si="6"/>
        <v>Below 30L</v>
      </c>
      <c r="G342" s="30" t="str">
        <f t="shared" si="7"/>
        <v>FY 20-21</v>
      </c>
    </row>
    <row r="343" spans="2:7" x14ac:dyDescent="0.5">
      <c r="B343" s="30">
        <v>252</v>
      </c>
      <c r="C343" s="30" t="s">
        <v>598</v>
      </c>
      <c r="D343" s="32">
        <v>44272</v>
      </c>
      <c r="E343" s="34">
        <v>290150</v>
      </c>
      <c r="F343" s="30" t="str">
        <f t="shared" si="6"/>
        <v>Below 30L</v>
      </c>
      <c r="G343" s="30" t="str">
        <f t="shared" si="7"/>
        <v>FY 20-21</v>
      </c>
    </row>
    <row r="344" spans="2:7" x14ac:dyDescent="0.5">
      <c r="B344" s="30">
        <v>253</v>
      </c>
      <c r="C344" s="30" t="s">
        <v>600</v>
      </c>
      <c r="D344" s="32">
        <v>44272</v>
      </c>
      <c r="E344" s="34">
        <v>215830</v>
      </c>
      <c r="F344" s="30" t="str">
        <f t="shared" si="6"/>
        <v>Below 30L</v>
      </c>
      <c r="G344" s="30" t="str">
        <f t="shared" si="7"/>
        <v>FY 20-21</v>
      </c>
    </row>
    <row r="345" spans="2:7" x14ac:dyDescent="0.5">
      <c r="B345" s="30">
        <v>254</v>
      </c>
      <c r="C345" s="30" t="s">
        <v>602</v>
      </c>
      <c r="D345" s="32">
        <v>44273</v>
      </c>
      <c r="E345" s="34">
        <v>310790</v>
      </c>
      <c r="F345" s="30" t="str">
        <f t="shared" si="6"/>
        <v>Below 30L</v>
      </c>
      <c r="G345" s="30" t="str">
        <f t="shared" si="7"/>
        <v>FY 20-21</v>
      </c>
    </row>
    <row r="346" spans="2:7" x14ac:dyDescent="0.5">
      <c r="B346" s="30">
        <v>255</v>
      </c>
      <c r="C346" s="30" t="s">
        <v>604</v>
      </c>
      <c r="D346" s="32">
        <v>44278</v>
      </c>
      <c r="E346" s="34">
        <v>275200</v>
      </c>
      <c r="F346" s="30" t="str">
        <f t="shared" si="6"/>
        <v>Below 30L</v>
      </c>
      <c r="G346" s="30" t="str">
        <f t="shared" si="7"/>
        <v>FY 20-21</v>
      </c>
    </row>
    <row r="347" spans="2:7" x14ac:dyDescent="0.5">
      <c r="B347" s="30">
        <v>256</v>
      </c>
      <c r="C347" s="30" t="s">
        <v>606</v>
      </c>
      <c r="D347" s="32">
        <v>44279</v>
      </c>
      <c r="E347" s="34">
        <v>347560</v>
      </c>
      <c r="F347" s="30" t="str">
        <f t="shared" si="6"/>
        <v>Below 30L</v>
      </c>
      <c r="G347" s="30" t="str">
        <f t="shared" si="7"/>
        <v>FY 20-21</v>
      </c>
    </row>
    <row r="348" spans="2:7" x14ac:dyDescent="0.5">
      <c r="B348" s="30">
        <v>257</v>
      </c>
      <c r="C348" s="30" t="s">
        <v>609</v>
      </c>
      <c r="D348" s="32">
        <v>44280</v>
      </c>
      <c r="E348" s="34">
        <v>463330</v>
      </c>
      <c r="F348" s="30" t="str">
        <f t="shared" ref="F348:F411" si="8">IF(E348&lt;3000000,"Below 30L",IF(E348&lt;4000000,"30L to 40L",IF(E348&lt;5000000,"40L to 50L",IF(E348&gt;=5000000,"50L and above"))))</f>
        <v>Below 30L</v>
      </c>
      <c r="G348" s="30" t="str">
        <f t="shared" si="7"/>
        <v>FY 20-21</v>
      </c>
    </row>
    <row r="349" spans="2:7" x14ac:dyDescent="0.5">
      <c r="B349" s="30">
        <v>258</v>
      </c>
      <c r="C349" s="30" t="s">
        <v>611</v>
      </c>
      <c r="D349" s="32">
        <v>44286</v>
      </c>
      <c r="E349" s="34">
        <v>237420</v>
      </c>
      <c r="F349" s="30" t="str">
        <f t="shared" si="8"/>
        <v>Below 30L</v>
      </c>
      <c r="G349" s="30" t="str">
        <f t="shared" ref="G349:G412" si="9">IF(AND(DATE(2021,4,1)&lt;=D349,D349&lt;=DATE(2022,3,31)),"FY 21-22","FY 20-21")</f>
        <v>FY 20-21</v>
      </c>
    </row>
    <row r="350" spans="2:7" x14ac:dyDescent="0.5">
      <c r="B350" s="30">
        <v>259</v>
      </c>
      <c r="C350" s="30" t="s">
        <v>613</v>
      </c>
      <c r="D350" s="32">
        <v>44286</v>
      </c>
      <c r="E350" s="34">
        <v>367870</v>
      </c>
      <c r="F350" s="30" t="str">
        <f t="shared" si="8"/>
        <v>Below 30L</v>
      </c>
      <c r="G350" s="30" t="str">
        <f t="shared" si="9"/>
        <v>FY 20-21</v>
      </c>
    </row>
    <row r="351" spans="2:7" x14ac:dyDescent="0.5">
      <c r="B351" s="30">
        <v>260</v>
      </c>
      <c r="C351" s="30" t="s">
        <v>615</v>
      </c>
      <c r="D351" s="32">
        <v>44287</v>
      </c>
      <c r="E351" s="34">
        <v>10252420</v>
      </c>
      <c r="F351" s="30" t="str">
        <f t="shared" si="8"/>
        <v>50L and above</v>
      </c>
      <c r="G351" s="30" t="str">
        <f t="shared" si="9"/>
        <v>FY 21-22</v>
      </c>
    </row>
    <row r="352" spans="2:7" x14ac:dyDescent="0.5">
      <c r="B352" s="30">
        <v>261</v>
      </c>
      <c r="C352" s="30" t="s">
        <v>617</v>
      </c>
      <c r="D352" s="32">
        <v>44289</v>
      </c>
      <c r="E352" s="34">
        <v>277050</v>
      </c>
      <c r="F352" s="30" t="str">
        <f t="shared" si="8"/>
        <v>Below 30L</v>
      </c>
      <c r="G352" s="30" t="str">
        <f t="shared" si="9"/>
        <v>FY 21-22</v>
      </c>
    </row>
    <row r="353" spans="2:7" x14ac:dyDescent="0.5">
      <c r="B353" s="30">
        <v>262</v>
      </c>
      <c r="C353" s="30" t="s">
        <v>619</v>
      </c>
      <c r="D353" s="32">
        <v>44289</v>
      </c>
      <c r="E353" s="34">
        <v>234800</v>
      </c>
      <c r="F353" s="30" t="str">
        <f t="shared" si="8"/>
        <v>Below 30L</v>
      </c>
      <c r="G353" s="30" t="str">
        <f t="shared" si="9"/>
        <v>FY 21-22</v>
      </c>
    </row>
    <row r="354" spans="2:7" x14ac:dyDescent="0.5">
      <c r="B354" s="30">
        <v>263</v>
      </c>
      <c r="C354" s="30" t="s">
        <v>621</v>
      </c>
      <c r="D354" s="32">
        <v>44291</v>
      </c>
      <c r="E354" s="34">
        <v>491400</v>
      </c>
      <c r="F354" s="30" t="str">
        <f t="shared" si="8"/>
        <v>Below 30L</v>
      </c>
      <c r="G354" s="30" t="str">
        <f t="shared" si="9"/>
        <v>FY 21-22</v>
      </c>
    </row>
    <row r="355" spans="2:7" x14ac:dyDescent="0.5">
      <c r="B355" s="30">
        <v>264</v>
      </c>
      <c r="C355" s="30" t="s">
        <v>623</v>
      </c>
      <c r="D355" s="32">
        <v>44292</v>
      </c>
      <c r="E355" s="34">
        <v>203540</v>
      </c>
      <c r="F355" s="30" t="str">
        <f t="shared" si="8"/>
        <v>Below 30L</v>
      </c>
      <c r="G355" s="30" t="str">
        <f t="shared" si="9"/>
        <v>FY 21-22</v>
      </c>
    </row>
    <row r="356" spans="2:7" x14ac:dyDescent="0.5">
      <c r="B356" s="30">
        <v>265</v>
      </c>
      <c r="C356" s="30" t="s">
        <v>625</v>
      </c>
      <c r="D356" s="32">
        <v>44293</v>
      </c>
      <c r="E356" s="34">
        <v>255220</v>
      </c>
      <c r="F356" s="30" t="str">
        <f t="shared" si="8"/>
        <v>Below 30L</v>
      </c>
      <c r="G356" s="30" t="str">
        <f t="shared" si="9"/>
        <v>FY 21-22</v>
      </c>
    </row>
    <row r="357" spans="2:7" x14ac:dyDescent="0.5">
      <c r="B357" s="30">
        <v>266</v>
      </c>
      <c r="C357" s="30" t="s">
        <v>627</v>
      </c>
      <c r="D357" s="32">
        <v>44294</v>
      </c>
      <c r="E357" s="34">
        <v>233510</v>
      </c>
      <c r="F357" s="30" t="str">
        <f t="shared" si="8"/>
        <v>Below 30L</v>
      </c>
      <c r="G357" s="30" t="str">
        <f t="shared" si="9"/>
        <v>FY 21-22</v>
      </c>
    </row>
    <row r="358" spans="2:7" x14ac:dyDescent="0.5">
      <c r="B358" s="30">
        <v>267</v>
      </c>
      <c r="C358" s="30" t="s">
        <v>629</v>
      </c>
      <c r="D358" s="32">
        <v>44294</v>
      </c>
      <c r="E358" s="34">
        <v>287430</v>
      </c>
      <c r="F358" s="30" t="str">
        <f t="shared" si="8"/>
        <v>Below 30L</v>
      </c>
      <c r="G358" s="30" t="str">
        <f t="shared" si="9"/>
        <v>FY 21-22</v>
      </c>
    </row>
    <row r="359" spans="2:7" x14ac:dyDescent="0.5">
      <c r="B359" s="30">
        <v>268</v>
      </c>
      <c r="C359" s="30" t="s">
        <v>631</v>
      </c>
      <c r="D359" s="32">
        <v>44295</v>
      </c>
      <c r="E359" s="34">
        <v>448190</v>
      </c>
      <c r="F359" s="30" t="str">
        <f t="shared" si="8"/>
        <v>Below 30L</v>
      </c>
      <c r="G359" s="30" t="str">
        <f t="shared" si="9"/>
        <v>FY 21-22</v>
      </c>
    </row>
    <row r="360" spans="2:7" x14ac:dyDescent="0.5">
      <c r="B360" s="30">
        <v>269</v>
      </c>
      <c r="C360" s="30" t="s">
        <v>633</v>
      </c>
      <c r="D360" s="32">
        <v>44295</v>
      </c>
      <c r="E360" s="34">
        <v>443830</v>
      </c>
      <c r="F360" s="30" t="str">
        <f t="shared" si="8"/>
        <v>Below 30L</v>
      </c>
      <c r="G360" s="30" t="str">
        <f t="shared" si="9"/>
        <v>FY 21-22</v>
      </c>
    </row>
    <row r="361" spans="2:7" x14ac:dyDescent="0.5">
      <c r="B361" s="30">
        <v>270</v>
      </c>
      <c r="C361" s="30" t="s">
        <v>635</v>
      </c>
      <c r="D361" s="32">
        <v>44298</v>
      </c>
      <c r="E361" s="34">
        <v>322290</v>
      </c>
      <c r="F361" s="30" t="str">
        <f t="shared" si="8"/>
        <v>Below 30L</v>
      </c>
      <c r="G361" s="30" t="str">
        <f t="shared" si="9"/>
        <v>FY 21-22</v>
      </c>
    </row>
    <row r="362" spans="2:7" x14ac:dyDescent="0.5">
      <c r="B362" s="30">
        <v>271</v>
      </c>
      <c r="C362" s="30" t="s">
        <v>637</v>
      </c>
      <c r="D362" s="32">
        <v>44298</v>
      </c>
      <c r="E362" s="34">
        <v>202040</v>
      </c>
      <c r="F362" s="30" t="str">
        <f t="shared" si="8"/>
        <v>Below 30L</v>
      </c>
      <c r="G362" s="30" t="str">
        <f t="shared" si="9"/>
        <v>FY 21-22</v>
      </c>
    </row>
    <row r="363" spans="2:7" x14ac:dyDescent="0.5">
      <c r="B363" s="30">
        <v>272</v>
      </c>
      <c r="C363" s="30" t="s">
        <v>639</v>
      </c>
      <c r="D363" s="32">
        <v>44298</v>
      </c>
      <c r="E363" s="34">
        <v>254090</v>
      </c>
      <c r="F363" s="30" t="str">
        <f t="shared" si="8"/>
        <v>Below 30L</v>
      </c>
      <c r="G363" s="30" t="str">
        <f t="shared" si="9"/>
        <v>FY 21-22</v>
      </c>
    </row>
    <row r="364" spans="2:7" x14ac:dyDescent="0.5">
      <c r="B364" s="30">
        <v>273</v>
      </c>
      <c r="C364" s="30" t="s">
        <v>641</v>
      </c>
      <c r="D364" s="32">
        <v>44298</v>
      </c>
      <c r="E364" s="34">
        <v>449120</v>
      </c>
      <c r="F364" s="30" t="str">
        <f t="shared" si="8"/>
        <v>Below 30L</v>
      </c>
      <c r="G364" s="30" t="str">
        <f t="shared" si="9"/>
        <v>FY 21-22</v>
      </c>
    </row>
    <row r="365" spans="2:7" x14ac:dyDescent="0.5">
      <c r="B365" s="30">
        <v>274</v>
      </c>
      <c r="C365" s="30" t="s">
        <v>643</v>
      </c>
      <c r="D365" s="32">
        <v>44300</v>
      </c>
      <c r="E365" s="34">
        <v>403890</v>
      </c>
      <c r="F365" s="30" t="str">
        <f t="shared" si="8"/>
        <v>Below 30L</v>
      </c>
      <c r="G365" s="30" t="str">
        <f t="shared" si="9"/>
        <v>FY 21-22</v>
      </c>
    </row>
    <row r="366" spans="2:7" x14ac:dyDescent="0.5">
      <c r="B366" s="30">
        <v>275</v>
      </c>
      <c r="C366" s="30" t="s">
        <v>645</v>
      </c>
      <c r="D366" s="32">
        <v>44302</v>
      </c>
      <c r="E366" s="34">
        <v>284840</v>
      </c>
      <c r="F366" s="30" t="str">
        <f t="shared" si="8"/>
        <v>Below 30L</v>
      </c>
      <c r="G366" s="30" t="str">
        <f t="shared" si="9"/>
        <v>FY 21-22</v>
      </c>
    </row>
    <row r="367" spans="2:7" x14ac:dyDescent="0.5">
      <c r="B367" s="30">
        <v>276</v>
      </c>
      <c r="C367" s="30" t="s">
        <v>647</v>
      </c>
      <c r="D367" s="32">
        <v>44302</v>
      </c>
      <c r="E367" s="34">
        <v>400460</v>
      </c>
      <c r="F367" s="30" t="str">
        <f t="shared" si="8"/>
        <v>Below 30L</v>
      </c>
      <c r="G367" s="30" t="str">
        <f t="shared" si="9"/>
        <v>FY 21-22</v>
      </c>
    </row>
    <row r="368" spans="2:7" x14ac:dyDescent="0.5">
      <c r="B368" s="30">
        <v>277</v>
      </c>
      <c r="C368" s="30" t="s">
        <v>649</v>
      </c>
      <c r="D368" s="32">
        <v>44303</v>
      </c>
      <c r="E368" s="34">
        <v>281550</v>
      </c>
      <c r="F368" s="30" t="str">
        <f t="shared" si="8"/>
        <v>Below 30L</v>
      </c>
      <c r="G368" s="30" t="str">
        <f t="shared" si="9"/>
        <v>FY 21-22</v>
      </c>
    </row>
    <row r="369" spans="2:7" x14ac:dyDescent="0.5">
      <c r="B369" s="30">
        <v>278</v>
      </c>
      <c r="C369" s="30" t="s">
        <v>651</v>
      </c>
      <c r="D369" s="32">
        <v>44303</v>
      </c>
      <c r="E369" s="34">
        <v>283210</v>
      </c>
      <c r="F369" s="30" t="str">
        <f t="shared" si="8"/>
        <v>Below 30L</v>
      </c>
      <c r="G369" s="30" t="str">
        <f t="shared" si="9"/>
        <v>FY 21-22</v>
      </c>
    </row>
    <row r="370" spans="2:7" x14ac:dyDescent="0.5">
      <c r="B370" s="30">
        <v>279</v>
      </c>
      <c r="C370" s="30" t="s">
        <v>653</v>
      </c>
      <c r="D370" s="32">
        <v>44305</v>
      </c>
      <c r="E370" s="34">
        <v>277600</v>
      </c>
      <c r="F370" s="30" t="str">
        <f t="shared" si="8"/>
        <v>Below 30L</v>
      </c>
      <c r="G370" s="30" t="str">
        <f t="shared" si="9"/>
        <v>FY 21-22</v>
      </c>
    </row>
    <row r="371" spans="2:7" x14ac:dyDescent="0.5">
      <c r="B371" s="30">
        <v>280</v>
      </c>
      <c r="C371" s="30" t="s">
        <v>655</v>
      </c>
      <c r="D371" s="32">
        <v>44305</v>
      </c>
      <c r="E371" s="34">
        <v>24700</v>
      </c>
      <c r="F371" s="30" t="str">
        <f t="shared" si="8"/>
        <v>Below 30L</v>
      </c>
      <c r="G371" s="30" t="str">
        <f t="shared" si="9"/>
        <v>FY 21-22</v>
      </c>
    </row>
    <row r="372" spans="2:7" x14ac:dyDescent="0.5">
      <c r="B372" s="30">
        <v>281</v>
      </c>
      <c r="C372" s="30" t="s">
        <v>657</v>
      </c>
      <c r="D372" s="32">
        <v>44305</v>
      </c>
      <c r="E372" s="34">
        <v>449990</v>
      </c>
      <c r="F372" s="30" t="str">
        <f t="shared" si="8"/>
        <v>Below 30L</v>
      </c>
      <c r="G372" s="30" t="str">
        <f t="shared" si="9"/>
        <v>FY 21-22</v>
      </c>
    </row>
    <row r="373" spans="2:7" x14ac:dyDescent="0.5">
      <c r="B373" s="30">
        <v>282</v>
      </c>
      <c r="C373" s="30" t="s">
        <v>659</v>
      </c>
      <c r="D373" s="32">
        <v>44305</v>
      </c>
      <c r="E373" s="34">
        <v>397160</v>
      </c>
      <c r="F373" s="30" t="str">
        <f t="shared" si="8"/>
        <v>Below 30L</v>
      </c>
      <c r="G373" s="30" t="str">
        <f t="shared" si="9"/>
        <v>FY 21-22</v>
      </c>
    </row>
    <row r="374" spans="2:7" x14ac:dyDescent="0.5">
      <c r="B374" s="30">
        <v>283</v>
      </c>
      <c r="C374" s="30" t="s">
        <v>661</v>
      </c>
      <c r="D374" s="32">
        <v>44306</v>
      </c>
      <c r="E374" s="34">
        <v>428840</v>
      </c>
      <c r="F374" s="30" t="str">
        <f t="shared" si="8"/>
        <v>Below 30L</v>
      </c>
      <c r="G374" s="30" t="str">
        <f t="shared" si="9"/>
        <v>FY 21-22</v>
      </c>
    </row>
    <row r="375" spans="2:7" x14ac:dyDescent="0.5">
      <c r="B375" s="30">
        <v>284</v>
      </c>
      <c r="C375" s="30" t="s">
        <v>663</v>
      </c>
      <c r="D375" s="32">
        <v>44308</v>
      </c>
      <c r="E375" s="34">
        <v>397150</v>
      </c>
      <c r="F375" s="30" t="str">
        <f t="shared" si="8"/>
        <v>Below 30L</v>
      </c>
      <c r="G375" s="30" t="str">
        <f t="shared" si="9"/>
        <v>FY 21-22</v>
      </c>
    </row>
    <row r="376" spans="2:7" x14ac:dyDescent="0.5">
      <c r="B376" s="30">
        <v>285</v>
      </c>
      <c r="C376" s="30" t="s">
        <v>665</v>
      </c>
      <c r="D376" s="32">
        <v>44308</v>
      </c>
      <c r="E376" s="34">
        <v>413530</v>
      </c>
      <c r="F376" s="30" t="str">
        <f t="shared" si="8"/>
        <v>Below 30L</v>
      </c>
      <c r="G376" s="30" t="str">
        <f t="shared" si="9"/>
        <v>FY 21-22</v>
      </c>
    </row>
    <row r="377" spans="2:7" x14ac:dyDescent="0.5">
      <c r="B377" s="30">
        <v>286</v>
      </c>
      <c r="C377" s="30" t="s">
        <v>667</v>
      </c>
      <c r="D377" s="32">
        <v>44309</v>
      </c>
      <c r="E377" s="34">
        <v>489190</v>
      </c>
      <c r="F377" s="30" t="str">
        <f t="shared" si="8"/>
        <v>Below 30L</v>
      </c>
      <c r="G377" s="30" t="str">
        <f t="shared" si="9"/>
        <v>FY 21-22</v>
      </c>
    </row>
    <row r="378" spans="2:7" x14ac:dyDescent="0.5">
      <c r="B378" s="30">
        <v>287</v>
      </c>
      <c r="C378" s="30" t="s">
        <v>669</v>
      </c>
      <c r="D378" s="32">
        <v>44312</v>
      </c>
      <c r="E378" s="34">
        <v>274850</v>
      </c>
      <c r="F378" s="30" t="str">
        <f t="shared" si="8"/>
        <v>Below 30L</v>
      </c>
      <c r="G378" s="30" t="str">
        <f t="shared" si="9"/>
        <v>FY 21-22</v>
      </c>
    </row>
    <row r="379" spans="2:7" x14ac:dyDescent="0.5">
      <c r="B379" s="30">
        <v>288</v>
      </c>
      <c r="C379" s="30" t="s">
        <v>671</v>
      </c>
      <c r="D379" s="32">
        <v>44312</v>
      </c>
      <c r="E379" s="34">
        <v>333930</v>
      </c>
      <c r="F379" s="30" t="str">
        <f t="shared" si="8"/>
        <v>Below 30L</v>
      </c>
      <c r="G379" s="30" t="str">
        <f t="shared" si="9"/>
        <v>FY 21-22</v>
      </c>
    </row>
    <row r="380" spans="2:7" x14ac:dyDescent="0.5">
      <c r="B380" s="30">
        <v>289</v>
      </c>
      <c r="C380" s="30" t="s">
        <v>673</v>
      </c>
      <c r="D380" s="32">
        <v>44312</v>
      </c>
      <c r="E380" s="34">
        <v>330040</v>
      </c>
      <c r="F380" s="30" t="str">
        <f t="shared" si="8"/>
        <v>Below 30L</v>
      </c>
      <c r="G380" s="30" t="str">
        <f t="shared" si="9"/>
        <v>FY 21-22</v>
      </c>
    </row>
    <row r="381" spans="2:7" x14ac:dyDescent="0.5">
      <c r="B381" s="30">
        <v>290</v>
      </c>
      <c r="C381" s="30" t="s">
        <v>675</v>
      </c>
      <c r="D381" s="32">
        <v>44313</v>
      </c>
      <c r="E381" s="34">
        <v>212740</v>
      </c>
      <c r="F381" s="30" t="str">
        <f t="shared" si="8"/>
        <v>Below 30L</v>
      </c>
      <c r="G381" s="30" t="str">
        <f t="shared" si="9"/>
        <v>FY 21-22</v>
      </c>
    </row>
    <row r="382" spans="2:7" x14ac:dyDescent="0.5">
      <c r="B382" s="30">
        <v>291</v>
      </c>
      <c r="C382" s="30" t="s">
        <v>677</v>
      </c>
      <c r="D382" s="32">
        <v>44315</v>
      </c>
      <c r="E382" s="34">
        <v>229650</v>
      </c>
      <c r="F382" s="30" t="str">
        <f t="shared" si="8"/>
        <v>Below 30L</v>
      </c>
      <c r="G382" s="30" t="str">
        <f t="shared" si="9"/>
        <v>FY 21-22</v>
      </c>
    </row>
    <row r="383" spans="2:7" x14ac:dyDescent="0.5">
      <c r="B383" s="30">
        <v>292</v>
      </c>
      <c r="C383" s="30" t="s">
        <v>679</v>
      </c>
      <c r="D383" s="32">
        <v>44316</v>
      </c>
      <c r="E383" s="34">
        <v>276090</v>
      </c>
      <c r="F383" s="30" t="str">
        <f t="shared" si="8"/>
        <v>Below 30L</v>
      </c>
      <c r="G383" s="30" t="str">
        <f t="shared" si="9"/>
        <v>FY 21-22</v>
      </c>
    </row>
    <row r="384" spans="2:7" x14ac:dyDescent="0.5">
      <c r="B384" s="30">
        <v>293</v>
      </c>
      <c r="C384" s="30" t="s">
        <v>681</v>
      </c>
      <c r="D384" s="32">
        <v>44316</v>
      </c>
      <c r="E384" s="34">
        <v>250910</v>
      </c>
      <c r="F384" s="30" t="str">
        <f t="shared" si="8"/>
        <v>Below 30L</v>
      </c>
      <c r="G384" s="30" t="str">
        <f t="shared" si="9"/>
        <v>FY 21-22</v>
      </c>
    </row>
    <row r="385" spans="2:7" x14ac:dyDescent="0.5">
      <c r="B385" s="30">
        <v>294</v>
      </c>
      <c r="C385" s="30" t="s">
        <v>683</v>
      </c>
      <c r="D385" s="32">
        <v>44317</v>
      </c>
      <c r="E385" s="34">
        <v>498030</v>
      </c>
      <c r="F385" s="30" t="str">
        <f t="shared" si="8"/>
        <v>Below 30L</v>
      </c>
      <c r="G385" s="30" t="str">
        <f t="shared" si="9"/>
        <v>FY 21-22</v>
      </c>
    </row>
    <row r="386" spans="2:7" x14ac:dyDescent="0.5">
      <c r="B386" s="30">
        <v>295</v>
      </c>
      <c r="C386" s="30" t="s">
        <v>685</v>
      </c>
      <c r="D386" s="32">
        <v>44319</v>
      </c>
      <c r="E386" s="34">
        <v>258340</v>
      </c>
      <c r="F386" s="30" t="str">
        <f t="shared" si="8"/>
        <v>Below 30L</v>
      </c>
      <c r="G386" s="30" t="str">
        <f t="shared" si="9"/>
        <v>FY 21-22</v>
      </c>
    </row>
    <row r="387" spans="2:7" x14ac:dyDescent="0.5">
      <c r="B387" s="30">
        <v>296</v>
      </c>
      <c r="C387" s="30" t="s">
        <v>687</v>
      </c>
      <c r="D387" s="32">
        <v>44319</v>
      </c>
      <c r="E387" s="34">
        <v>240520</v>
      </c>
      <c r="F387" s="30" t="str">
        <f t="shared" si="8"/>
        <v>Below 30L</v>
      </c>
      <c r="G387" s="30" t="str">
        <f t="shared" si="9"/>
        <v>FY 21-22</v>
      </c>
    </row>
    <row r="388" spans="2:7" x14ac:dyDescent="0.5">
      <c r="B388" s="30">
        <v>297</v>
      </c>
      <c r="C388" s="30" t="s">
        <v>689</v>
      </c>
      <c r="D388" s="32">
        <v>44321</v>
      </c>
      <c r="E388" s="34">
        <v>403020</v>
      </c>
      <c r="F388" s="30" t="str">
        <f t="shared" si="8"/>
        <v>Below 30L</v>
      </c>
      <c r="G388" s="30" t="str">
        <f t="shared" si="9"/>
        <v>FY 21-22</v>
      </c>
    </row>
    <row r="389" spans="2:7" x14ac:dyDescent="0.5">
      <c r="B389" s="30">
        <v>298</v>
      </c>
      <c r="C389" s="30" t="s">
        <v>691</v>
      </c>
      <c r="D389" s="32">
        <v>44321</v>
      </c>
      <c r="E389" s="34">
        <v>328460</v>
      </c>
      <c r="F389" s="30" t="str">
        <f t="shared" si="8"/>
        <v>Below 30L</v>
      </c>
      <c r="G389" s="30" t="str">
        <f t="shared" si="9"/>
        <v>FY 21-22</v>
      </c>
    </row>
    <row r="390" spans="2:7" x14ac:dyDescent="0.5">
      <c r="B390" s="30">
        <v>299</v>
      </c>
      <c r="C390" s="30" t="s">
        <v>693</v>
      </c>
      <c r="D390" s="32">
        <v>44322</v>
      </c>
      <c r="E390" s="34">
        <v>321090</v>
      </c>
      <c r="F390" s="30" t="str">
        <f t="shared" si="8"/>
        <v>Below 30L</v>
      </c>
      <c r="G390" s="30" t="str">
        <f t="shared" si="9"/>
        <v>FY 21-22</v>
      </c>
    </row>
    <row r="391" spans="2:7" x14ac:dyDescent="0.5">
      <c r="B391" s="30">
        <v>300</v>
      </c>
      <c r="C391" s="30" t="s">
        <v>695</v>
      </c>
      <c r="D391" s="32">
        <v>44322</v>
      </c>
      <c r="E391" s="34">
        <v>27380</v>
      </c>
      <c r="F391" s="30" t="str">
        <f t="shared" si="8"/>
        <v>Below 30L</v>
      </c>
      <c r="G391" s="30" t="str">
        <f t="shared" si="9"/>
        <v>FY 21-22</v>
      </c>
    </row>
    <row r="392" spans="2:7" x14ac:dyDescent="0.5">
      <c r="B392" s="30">
        <v>301</v>
      </c>
      <c r="C392" s="30" t="s">
        <v>697</v>
      </c>
      <c r="D392" s="32">
        <v>44323</v>
      </c>
      <c r="E392" s="34">
        <v>494080</v>
      </c>
      <c r="F392" s="30" t="str">
        <f t="shared" si="8"/>
        <v>Below 30L</v>
      </c>
      <c r="G392" s="30" t="str">
        <f t="shared" si="9"/>
        <v>FY 21-22</v>
      </c>
    </row>
    <row r="393" spans="2:7" x14ac:dyDescent="0.5">
      <c r="B393" s="30">
        <v>302</v>
      </c>
      <c r="C393" s="30" t="s">
        <v>699</v>
      </c>
      <c r="D393" s="32">
        <v>44325</v>
      </c>
      <c r="E393" s="34">
        <v>4279450</v>
      </c>
      <c r="F393" s="30" t="str">
        <f t="shared" si="8"/>
        <v>40L to 50L</v>
      </c>
      <c r="G393" s="30" t="str">
        <f t="shared" si="9"/>
        <v>FY 21-22</v>
      </c>
    </row>
    <row r="394" spans="2:7" x14ac:dyDescent="0.5">
      <c r="B394" s="30">
        <v>303</v>
      </c>
      <c r="C394" s="30" t="s">
        <v>702</v>
      </c>
      <c r="D394" s="32">
        <v>44326</v>
      </c>
      <c r="E394" s="34">
        <v>42630</v>
      </c>
      <c r="F394" s="30" t="str">
        <f t="shared" si="8"/>
        <v>Below 30L</v>
      </c>
      <c r="G394" s="30" t="str">
        <f t="shared" si="9"/>
        <v>FY 21-22</v>
      </c>
    </row>
    <row r="395" spans="2:7" x14ac:dyDescent="0.5">
      <c r="B395" s="30">
        <v>304</v>
      </c>
      <c r="C395" s="30" t="s">
        <v>705</v>
      </c>
      <c r="D395" s="32">
        <v>44326</v>
      </c>
      <c r="E395" s="34">
        <v>491380</v>
      </c>
      <c r="F395" s="30" t="str">
        <f t="shared" si="8"/>
        <v>Below 30L</v>
      </c>
      <c r="G395" s="30" t="str">
        <f t="shared" si="9"/>
        <v>FY 21-22</v>
      </c>
    </row>
    <row r="396" spans="2:7" x14ac:dyDescent="0.5">
      <c r="B396" s="30">
        <v>305</v>
      </c>
      <c r="C396" s="30" t="s">
        <v>707</v>
      </c>
      <c r="D396" s="32">
        <v>44327</v>
      </c>
      <c r="E396" s="34">
        <v>35080</v>
      </c>
      <c r="F396" s="30" t="str">
        <f t="shared" si="8"/>
        <v>Below 30L</v>
      </c>
      <c r="G396" s="30" t="str">
        <f t="shared" si="9"/>
        <v>FY 21-22</v>
      </c>
    </row>
    <row r="397" spans="2:7" x14ac:dyDescent="0.5">
      <c r="B397" s="30">
        <v>306</v>
      </c>
      <c r="C397" s="30" t="s">
        <v>709</v>
      </c>
      <c r="D397" s="32">
        <v>44328</v>
      </c>
      <c r="E397" s="34">
        <v>33330</v>
      </c>
      <c r="F397" s="30" t="str">
        <f t="shared" si="8"/>
        <v>Below 30L</v>
      </c>
      <c r="G397" s="30" t="str">
        <f t="shared" si="9"/>
        <v>FY 21-22</v>
      </c>
    </row>
    <row r="398" spans="2:7" x14ac:dyDescent="0.5">
      <c r="B398" s="30">
        <v>307</v>
      </c>
      <c r="C398" s="30" t="s">
        <v>711</v>
      </c>
      <c r="D398" s="32">
        <v>44329</v>
      </c>
      <c r="E398" s="34">
        <v>29410</v>
      </c>
      <c r="F398" s="30" t="str">
        <f t="shared" si="8"/>
        <v>Below 30L</v>
      </c>
      <c r="G398" s="30" t="str">
        <f t="shared" si="9"/>
        <v>FY 21-22</v>
      </c>
    </row>
    <row r="399" spans="2:7" x14ac:dyDescent="0.5">
      <c r="B399" s="30">
        <v>308</v>
      </c>
      <c r="C399" s="30" t="s">
        <v>713</v>
      </c>
      <c r="D399" s="32">
        <v>44329</v>
      </c>
      <c r="E399" s="34">
        <v>488580</v>
      </c>
      <c r="F399" s="30" t="str">
        <f t="shared" si="8"/>
        <v>Below 30L</v>
      </c>
      <c r="G399" s="30" t="str">
        <f t="shared" si="9"/>
        <v>FY 21-22</v>
      </c>
    </row>
    <row r="400" spans="2:7" x14ac:dyDescent="0.5">
      <c r="B400" s="30">
        <v>309</v>
      </c>
      <c r="C400" s="30" t="s">
        <v>715</v>
      </c>
      <c r="D400" s="32">
        <v>44331</v>
      </c>
      <c r="E400" s="34">
        <v>458040</v>
      </c>
      <c r="F400" s="30" t="str">
        <f t="shared" si="8"/>
        <v>Below 30L</v>
      </c>
      <c r="G400" s="30" t="str">
        <f t="shared" si="9"/>
        <v>FY 21-22</v>
      </c>
    </row>
    <row r="401" spans="2:7" x14ac:dyDescent="0.5">
      <c r="B401" s="30">
        <v>310</v>
      </c>
      <c r="C401" s="30" t="s">
        <v>717</v>
      </c>
      <c r="D401" s="32">
        <v>44333</v>
      </c>
      <c r="E401" s="34">
        <v>31230</v>
      </c>
      <c r="F401" s="30" t="str">
        <f t="shared" si="8"/>
        <v>Below 30L</v>
      </c>
      <c r="G401" s="30" t="str">
        <f t="shared" si="9"/>
        <v>FY 21-22</v>
      </c>
    </row>
    <row r="402" spans="2:7" x14ac:dyDescent="0.5">
      <c r="B402" s="30">
        <v>311</v>
      </c>
      <c r="C402" s="30" t="s">
        <v>719</v>
      </c>
      <c r="D402" s="32">
        <v>44333</v>
      </c>
      <c r="E402" s="34">
        <v>492890</v>
      </c>
      <c r="F402" s="30" t="str">
        <f t="shared" si="8"/>
        <v>Below 30L</v>
      </c>
      <c r="G402" s="30" t="str">
        <f t="shared" si="9"/>
        <v>FY 21-22</v>
      </c>
    </row>
    <row r="403" spans="2:7" x14ac:dyDescent="0.5">
      <c r="B403" s="30">
        <v>312</v>
      </c>
      <c r="C403" s="30" t="s">
        <v>721</v>
      </c>
      <c r="D403" s="32">
        <v>44332</v>
      </c>
      <c r="E403" s="34">
        <v>4951880</v>
      </c>
      <c r="F403" s="30" t="str">
        <f t="shared" si="8"/>
        <v>40L to 50L</v>
      </c>
      <c r="G403" s="30" t="str">
        <f t="shared" si="9"/>
        <v>FY 21-22</v>
      </c>
    </row>
    <row r="404" spans="2:7" x14ac:dyDescent="0.5">
      <c r="B404" s="30">
        <v>313</v>
      </c>
      <c r="C404" s="30" t="s">
        <v>723</v>
      </c>
      <c r="D404" s="32">
        <v>44334</v>
      </c>
      <c r="E404" s="34">
        <v>422770</v>
      </c>
      <c r="F404" s="30" t="str">
        <f t="shared" si="8"/>
        <v>Below 30L</v>
      </c>
      <c r="G404" s="30" t="str">
        <f t="shared" si="9"/>
        <v>FY 21-22</v>
      </c>
    </row>
    <row r="405" spans="2:7" x14ac:dyDescent="0.5">
      <c r="B405" s="30">
        <v>314</v>
      </c>
      <c r="C405" s="30" t="s">
        <v>725</v>
      </c>
      <c r="D405" s="32">
        <v>44334</v>
      </c>
      <c r="E405" s="34">
        <v>471550</v>
      </c>
      <c r="F405" s="30" t="str">
        <f t="shared" si="8"/>
        <v>Below 30L</v>
      </c>
      <c r="G405" s="30" t="str">
        <f t="shared" si="9"/>
        <v>FY 21-22</v>
      </c>
    </row>
    <row r="406" spans="2:7" x14ac:dyDescent="0.5">
      <c r="B406" s="30">
        <v>315</v>
      </c>
      <c r="C406" s="30" t="s">
        <v>727</v>
      </c>
      <c r="D406" s="32">
        <v>44335</v>
      </c>
      <c r="E406" s="34">
        <v>493100</v>
      </c>
      <c r="F406" s="30" t="str">
        <f t="shared" si="8"/>
        <v>Below 30L</v>
      </c>
      <c r="G406" s="30" t="str">
        <f t="shared" si="9"/>
        <v>FY 21-22</v>
      </c>
    </row>
    <row r="407" spans="2:7" x14ac:dyDescent="0.5">
      <c r="B407" s="30">
        <v>316</v>
      </c>
      <c r="C407" s="30" t="s">
        <v>729</v>
      </c>
      <c r="D407" s="32">
        <v>44335</v>
      </c>
      <c r="E407" s="34">
        <v>32770</v>
      </c>
      <c r="F407" s="30" t="str">
        <f t="shared" si="8"/>
        <v>Below 30L</v>
      </c>
      <c r="G407" s="30" t="str">
        <f t="shared" si="9"/>
        <v>FY 21-22</v>
      </c>
    </row>
    <row r="408" spans="2:7" x14ac:dyDescent="0.5">
      <c r="B408" s="30">
        <v>317</v>
      </c>
      <c r="C408" s="30" t="s">
        <v>731</v>
      </c>
      <c r="D408" s="32">
        <v>44337</v>
      </c>
      <c r="E408" s="34">
        <v>33370</v>
      </c>
      <c r="F408" s="30" t="str">
        <f t="shared" si="8"/>
        <v>Below 30L</v>
      </c>
      <c r="G408" s="30" t="str">
        <f t="shared" si="9"/>
        <v>FY 21-22</v>
      </c>
    </row>
    <row r="409" spans="2:7" x14ac:dyDescent="0.5">
      <c r="B409" s="30">
        <v>318</v>
      </c>
      <c r="C409" s="30" t="s">
        <v>733</v>
      </c>
      <c r="D409" s="32">
        <v>44337</v>
      </c>
      <c r="E409" s="34">
        <v>33290</v>
      </c>
      <c r="F409" s="30" t="str">
        <f t="shared" si="8"/>
        <v>Below 30L</v>
      </c>
      <c r="G409" s="30" t="str">
        <f t="shared" si="9"/>
        <v>FY 21-22</v>
      </c>
    </row>
    <row r="410" spans="2:7" x14ac:dyDescent="0.5">
      <c r="B410" s="30">
        <v>319</v>
      </c>
      <c r="C410" s="30" t="s">
        <v>735</v>
      </c>
      <c r="D410" s="32">
        <v>44337</v>
      </c>
      <c r="E410" s="34">
        <v>31350</v>
      </c>
      <c r="F410" s="30" t="str">
        <f t="shared" si="8"/>
        <v>Below 30L</v>
      </c>
      <c r="G410" s="30" t="str">
        <f t="shared" si="9"/>
        <v>FY 21-22</v>
      </c>
    </row>
    <row r="411" spans="2:7" x14ac:dyDescent="0.5">
      <c r="B411" s="30">
        <v>320</v>
      </c>
      <c r="C411" s="30" t="s">
        <v>738</v>
      </c>
      <c r="D411" s="32">
        <v>44339</v>
      </c>
      <c r="E411" s="34">
        <v>4062620</v>
      </c>
      <c r="F411" s="30" t="str">
        <f t="shared" si="8"/>
        <v>40L to 50L</v>
      </c>
      <c r="G411" s="30" t="str">
        <f t="shared" si="9"/>
        <v>FY 21-22</v>
      </c>
    </row>
    <row r="412" spans="2:7" x14ac:dyDescent="0.5">
      <c r="B412" s="30">
        <v>321</v>
      </c>
      <c r="C412" s="30" t="s">
        <v>740</v>
      </c>
      <c r="D412" s="32">
        <v>44338</v>
      </c>
      <c r="E412" s="34">
        <v>4672170</v>
      </c>
      <c r="F412" s="30" t="str">
        <f t="shared" ref="F412:F475" si="10">IF(E412&lt;3000000,"Below 30L",IF(E412&lt;4000000,"30L to 40L",IF(E412&lt;5000000,"40L to 50L",IF(E412&gt;=5000000,"50L and above"))))</f>
        <v>40L to 50L</v>
      </c>
      <c r="G412" s="30" t="str">
        <f t="shared" si="9"/>
        <v>FY 21-22</v>
      </c>
    </row>
    <row r="413" spans="2:7" x14ac:dyDescent="0.5">
      <c r="B413" s="30">
        <v>322</v>
      </c>
      <c r="C413" s="30" t="s">
        <v>742</v>
      </c>
      <c r="D413" s="32">
        <v>44338</v>
      </c>
      <c r="E413" s="34">
        <v>33750</v>
      </c>
      <c r="F413" s="30" t="str">
        <f t="shared" si="10"/>
        <v>Below 30L</v>
      </c>
      <c r="G413" s="30" t="str">
        <f t="shared" ref="G413:G476" si="11">IF(AND(DATE(2021,4,1)&lt;=D413,D413&lt;=DATE(2022,3,31)),"FY 21-22","FY 20-21")</f>
        <v>FY 21-22</v>
      </c>
    </row>
    <row r="414" spans="2:7" x14ac:dyDescent="0.5">
      <c r="B414" s="30">
        <v>323</v>
      </c>
      <c r="C414" s="30" t="s">
        <v>744</v>
      </c>
      <c r="D414" s="32">
        <v>44338</v>
      </c>
      <c r="E414" s="34">
        <v>31040</v>
      </c>
      <c r="F414" s="30" t="str">
        <f t="shared" si="10"/>
        <v>Below 30L</v>
      </c>
      <c r="G414" s="30" t="str">
        <f t="shared" si="11"/>
        <v>FY 21-22</v>
      </c>
    </row>
    <row r="415" spans="2:7" x14ac:dyDescent="0.5">
      <c r="B415" s="30">
        <v>324</v>
      </c>
      <c r="C415" s="30" t="s">
        <v>746</v>
      </c>
      <c r="D415" s="32">
        <v>44340</v>
      </c>
      <c r="E415" s="34">
        <v>36470</v>
      </c>
      <c r="F415" s="30" t="str">
        <f t="shared" si="10"/>
        <v>Below 30L</v>
      </c>
      <c r="G415" s="30" t="str">
        <f t="shared" si="11"/>
        <v>FY 21-22</v>
      </c>
    </row>
    <row r="416" spans="2:7" x14ac:dyDescent="0.5">
      <c r="B416" s="30">
        <v>325</v>
      </c>
      <c r="C416" s="30" t="s">
        <v>748</v>
      </c>
      <c r="D416" s="32">
        <v>44340</v>
      </c>
      <c r="E416" s="34">
        <v>31200</v>
      </c>
      <c r="F416" s="30" t="str">
        <f t="shared" si="10"/>
        <v>Below 30L</v>
      </c>
      <c r="G416" s="30" t="str">
        <f t="shared" si="11"/>
        <v>FY 21-22</v>
      </c>
    </row>
    <row r="417" spans="2:7" x14ac:dyDescent="0.5">
      <c r="B417" s="30">
        <v>326</v>
      </c>
      <c r="C417" s="30" t="s">
        <v>750</v>
      </c>
      <c r="D417" s="32">
        <v>44344</v>
      </c>
      <c r="E417" s="34">
        <v>384050</v>
      </c>
      <c r="F417" s="30" t="str">
        <f t="shared" si="10"/>
        <v>Below 30L</v>
      </c>
      <c r="G417" s="30" t="str">
        <f t="shared" si="11"/>
        <v>FY 21-22</v>
      </c>
    </row>
    <row r="418" spans="2:7" x14ac:dyDescent="0.5">
      <c r="B418" s="30">
        <v>327</v>
      </c>
      <c r="C418" s="30" t="s">
        <v>752</v>
      </c>
      <c r="D418" s="32">
        <v>44344</v>
      </c>
      <c r="E418" s="34">
        <v>487120</v>
      </c>
      <c r="F418" s="30" t="str">
        <f t="shared" si="10"/>
        <v>Below 30L</v>
      </c>
      <c r="G418" s="30" t="str">
        <f t="shared" si="11"/>
        <v>FY 21-22</v>
      </c>
    </row>
    <row r="419" spans="2:7" x14ac:dyDescent="0.5">
      <c r="B419" s="30">
        <v>328</v>
      </c>
      <c r="C419" s="30" t="s">
        <v>754</v>
      </c>
      <c r="D419" s="32">
        <v>44345</v>
      </c>
      <c r="E419" s="34">
        <v>4611710</v>
      </c>
      <c r="F419" s="30" t="str">
        <f t="shared" si="10"/>
        <v>40L to 50L</v>
      </c>
      <c r="G419" s="30" t="str">
        <f t="shared" si="11"/>
        <v>FY 21-22</v>
      </c>
    </row>
    <row r="420" spans="2:7" x14ac:dyDescent="0.5">
      <c r="B420" s="30">
        <v>329</v>
      </c>
      <c r="C420" s="30" t="s">
        <v>756</v>
      </c>
      <c r="D420" s="32">
        <v>44347</v>
      </c>
      <c r="E420" s="34">
        <v>302270</v>
      </c>
      <c r="F420" s="30" t="str">
        <f t="shared" si="10"/>
        <v>Below 30L</v>
      </c>
      <c r="G420" s="30" t="str">
        <f t="shared" si="11"/>
        <v>FY 21-22</v>
      </c>
    </row>
    <row r="421" spans="2:7" x14ac:dyDescent="0.5">
      <c r="B421" s="30">
        <v>330</v>
      </c>
      <c r="C421" s="30" t="s">
        <v>758</v>
      </c>
      <c r="D421" s="32">
        <v>44347</v>
      </c>
      <c r="E421" s="34">
        <v>255750</v>
      </c>
      <c r="F421" s="30" t="str">
        <f t="shared" si="10"/>
        <v>Below 30L</v>
      </c>
      <c r="G421" s="30" t="str">
        <f t="shared" si="11"/>
        <v>FY 21-22</v>
      </c>
    </row>
    <row r="422" spans="2:7" x14ac:dyDescent="0.5">
      <c r="B422" s="30">
        <v>331</v>
      </c>
      <c r="C422" s="30" t="s">
        <v>760</v>
      </c>
      <c r="D422" s="32">
        <v>44348</v>
      </c>
      <c r="E422" s="34">
        <v>371830</v>
      </c>
      <c r="F422" s="30" t="str">
        <f t="shared" si="10"/>
        <v>Below 30L</v>
      </c>
      <c r="G422" s="30" t="str">
        <f t="shared" si="11"/>
        <v>FY 21-22</v>
      </c>
    </row>
    <row r="423" spans="2:7" x14ac:dyDescent="0.5">
      <c r="B423" s="30">
        <v>332</v>
      </c>
      <c r="C423" s="30" t="s">
        <v>762</v>
      </c>
      <c r="D423" s="32">
        <v>44348</v>
      </c>
      <c r="E423" s="34">
        <v>493750</v>
      </c>
      <c r="F423" s="30" t="str">
        <f t="shared" si="10"/>
        <v>Below 30L</v>
      </c>
      <c r="G423" s="30" t="str">
        <f t="shared" si="11"/>
        <v>FY 21-22</v>
      </c>
    </row>
    <row r="424" spans="2:7" x14ac:dyDescent="0.5">
      <c r="B424" s="30">
        <v>333</v>
      </c>
      <c r="C424" s="30" t="s">
        <v>764</v>
      </c>
      <c r="D424" s="32">
        <v>44350</v>
      </c>
      <c r="E424" s="34">
        <v>407360</v>
      </c>
      <c r="F424" s="30" t="str">
        <f t="shared" si="10"/>
        <v>Below 30L</v>
      </c>
      <c r="G424" s="30" t="str">
        <f t="shared" si="11"/>
        <v>FY 21-22</v>
      </c>
    </row>
    <row r="425" spans="2:7" x14ac:dyDescent="0.5">
      <c r="B425" s="30">
        <v>334</v>
      </c>
      <c r="C425" s="30" t="s">
        <v>766</v>
      </c>
      <c r="D425" s="32">
        <v>44350</v>
      </c>
      <c r="E425" s="34">
        <v>262680</v>
      </c>
      <c r="F425" s="30" t="str">
        <f t="shared" si="10"/>
        <v>Below 30L</v>
      </c>
      <c r="G425" s="30" t="str">
        <f t="shared" si="11"/>
        <v>FY 21-22</v>
      </c>
    </row>
    <row r="426" spans="2:7" x14ac:dyDescent="0.5">
      <c r="B426" s="30">
        <v>335</v>
      </c>
      <c r="C426" s="30" t="s">
        <v>768</v>
      </c>
      <c r="D426" s="32">
        <v>44353</v>
      </c>
      <c r="E426" s="34">
        <v>4080130</v>
      </c>
      <c r="F426" s="30" t="str">
        <f t="shared" si="10"/>
        <v>40L to 50L</v>
      </c>
      <c r="G426" s="30" t="str">
        <f t="shared" si="11"/>
        <v>FY 21-22</v>
      </c>
    </row>
    <row r="427" spans="2:7" x14ac:dyDescent="0.5">
      <c r="B427" s="30">
        <v>336</v>
      </c>
      <c r="C427" s="30" t="s">
        <v>770</v>
      </c>
      <c r="D427" s="32">
        <v>44351</v>
      </c>
      <c r="E427" s="34">
        <v>490650</v>
      </c>
      <c r="F427" s="30" t="str">
        <f t="shared" si="10"/>
        <v>Below 30L</v>
      </c>
      <c r="G427" s="30" t="str">
        <f t="shared" si="11"/>
        <v>FY 21-22</v>
      </c>
    </row>
    <row r="428" spans="2:7" x14ac:dyDescent="0.5">
      <c r="B428" s="30">
        <v>337</v>
      </c>
      <c r="C428" s="30" t="s">
        <v>772</v>
      </c>
      <c r="D428" s="32">
        <v>44352</v>
      </c>
      <c r="E428" s="34">
        <v>262560</v>
      </c>
      <c r="F428" s="30" t="str">
        <f t="shared" si="10"/>
        <v>Below 30L</v>
      </c>
      <c r="G428" s="30" t="str">
        <f t="shared" si="11"/>
        <v>FY 21-22</v>
      </c>
    </row>
    <row r="429" spans="2:7" x14ac:dyDescent="0.5">
      <c r="B429" s="30">
        <v>338</v>
      </c>
      <c r="C429" s="30" t="s">
        <v>774</v>
      </c>
      <c r="D429" s="32">
        <v>44356</v>
      </c>
      <c r="E429" s="34">
        <v>2262240</v>
      </c>
      <c r="F429" s="30" t="str">
        <f t="shared" si="10"/>
        <v>Below 30L</v>
      </c>
      <c r="G429" s="30" t="str">
        <f t="shared" si="11"/>
        <v>FY 21-22</v>
      </c>
    </row>
    <row r="430" spans="2:7" x14ac:dyDescent="0.5">
      <c r="B430" s="30">
        <v>339</v>
      </c>
      <c r="C430" s="30" t="s">
        <v>776</v>
      </c>
      <c r="D430" s="32">
        <v>44357</v>
      </c>
      <c r="E430" s="34">
        <v>354620</v>
      </c>
      <c r="F430" s="30" t="str">
        <f t="shared" si="10"/>
        <v>Below 30L</v>
      </c>
      <c r="G430" s="30" t="str">
        <f t="shared" si="11"/>
        <v>FY 21-22</v>
      </c>
    </row>
    <row r="431" spans="2:7" x14ac:dyDescent="0.5">
      <c r="B431" s="30">
        <v>340</v>
      </c>
      <c r="C431" s="30" t="s">
        <v>778</v>
      </c>
      <c r="D431" s="32">
        <v>44361</v>
      </c>
      <c r="E431" s="34">
        <v>346810</v>
      </c>
      <c r="F431" s="30" t="str">
        <f t="shared" si="10"/>
        <v>Below 30L</v>
      </c>
      <c r="G431" s="30" t="str">
        <f t="shared" si="11"/>
        <v>FY 21-22</v>
      </c>
    </row>
    <row r="432" spans="2:7" x14ac:dyDescent="0.5">
      <c r="B432" s="30">
        <v>341</v>
      </c>
      <c r="C432" s="30" t="s">
        <v>780</v>
      </c>
      <c r="D432" s="32">
        <v>44361</v>
      </c>
      <c r="E432" s="34">
        <v>268040</v>
      </c>
      <c r="F432" s="30" t="str">
        <f t="shared" si="10"/>
        <v>Below 30L</v>
      </c>
      <c r="G432" s="30" t="str">
        <f t="shared" si="11"/>
        <v>FY 21-22</v>
      </c>
    </row>
    <row r="433" spans="2:7" x14ac:dyDescent="0.5">
      <c r="B433" s="30">
        <v>342</v>
      </c>
      <c r="C433" s="30" t="s">
        <v>782</v>
      </c>
      <c r="D433" s="32">
        <v>44364</v>
      </c>
      <c r="E433" s="34">
        <v>447580</v>
      </c>
      <c r="F433" s="30" t="str">
        <f t="shared" si="10"/>
        <v>Below 30L</v>
      </c>
      <c r="G433" s="30" t="str">
        <f t="shared" si="11"/>
        <v>FY 21-22</v>
      </c>
    </row>
    <row r="434" spans="2:7" x14ac:dyDescent="0.5">
      <c r="B434" s="30">
        <v>343</v>
      </c>
      <c r="C434" s="30" t="s">
        <v>784</v>
      </c>
      <c r="D434" s="32">
        <v>44365</v>
      </c>
      <c r="E434" s="34">
        <v>293240</v>
      </c>
      <c r="F434" s="30" t="str">
        <f t="shared" si="10"/>
        <v>Below 30L</v>
      </c>
      <c r="G434" s="30" t="str">
        <f t="shared" si="11"/>
        <v>FY 21-22</v>
      </c>
    </row>
    <row r="435" spans="2:7" x14ac:dyDescent="0.5">
      <c r="B435" s="30">
        <v>344</v>
      </c>
      <c r="C435" s="30" t="s">
        <v>786</v>
      </c>
      <c r="D435" s="32">
        <v>44366</v>
      </c>
      <c r="E435" s="34">
        <v>455400</v>
      </c>
      <c r="F435" s="30" t="str">
        <f t="shared" si="10"/>
        <v>Below 30L</v>
      </c>
      <c r="G435" s="30" t="str">
        <f t="shared" si="11"/>
        <v>FY 21-22</v>
      </c>
    </row>
    <row r="436" spans="2:7" x14ac:dyDescent="0.5">
      <c r="B436" s="30">
        <v>345</v>
      </c>
      <c r="C436" s="30" t="s">
        <v>788</v>
      </c>
      <c r="D436" s="32">
        <v>44368</v>
      </c>
      <c r="E436" s="34">
        <v>451620</v>
      </c>
      <c r="F436" s="30" t="str">
        <f t="shared" si="10"/>
        <v>Below 30L</v>
      </c>
      <c r="G436" s="30" t="str">
        <f t="shared" si="11"/>
        <v>FY 21-22</v>
      </c>
    </row>
    <row r="437" spans="2:7" x14ac:dyDescent="0.5">
      <c r="B437" s="30">
        <v>346</v>
      </c>
      <c r="C437" s="30" t="s">
        <v>790</v>
      </c>
      <c r="D437" s="32">
        <v>44368</v>
      </c>
      <c r="E437" s="34">
        <v>253470</v>
      </c>
      <c r="F437" s="30" t="str">
        <f t="shared" si="10"/>
        <v>Below 30L</v>
      </c>
      <c r="G437" s="30" t="str">
        <f t="shared" si="11"/>
        <v>FY 21-22</v>
      </c>
    </row>
    <row r="438" spans="2:7" x14ac:dyDescent="0.5">
      <c r="B438" s="30">
        <v>347</v>
      </c>
      <c r="C438" s="30" t="s">
        <v>792</v>
      </c>
      <c r="D438" s="32">
        <v>44371</v>
      </c>
      <c r="E438" s="34">
        <v>459760</v>
      </c>
      <c r="F438" s="30" t="str">
        <f t="shared" si="10"/>
        <v>Below 30L</v>
      </c>
      <c r="G438" s="30" t="str">
        <f t="shared" si="11"/>
        <v>FY 21-22</v>
      </c>
    </row>
    <row r="439" spans="2:7" x14ac:dyDescent="0.5">
      <c r="B439" s="30">
        <v>348</v>
      </c>
      <c r="C439" s="30" t="s">
        <v>794</v>
      </c>
      <c r="D439" s="32">
        <v>44371</v>
      </c>
      <c r="E439" s="34">
        <v>334490</v>
      </c>
      <c r="F439" s="30" t="str">
        <f t="shared" si="10"/>
        <v>Below 30L</v>
      </c>
      <c r="G439" s="30" t="str">
        <f t="shared" si="11"/>
        <v>FY 21-22</v>
      </c>
    </row>
    <row r="440" spans="2:7" x14ac:dyDescent="0.5">
      <c r="B440" s="30">
        <v>349</v>
      </c>
      <c r="C440" s="30" t="s">
        <v>796</v>
      </c>
      <c r="D440" s="32">
        <v>44373</v>
      </c>
      <c r="E440" s="34">
        <v>4330520</v>
      </c>
      <c r="F440" s="30" t="str">
        <f t="shared" si="10"/>
        <v>40L to 50L</v>
      </c>
      <c r="G440" s="30" t="str">
        <f t="shared" si="11"/>
        <v>FY 21-22</v>
      </c>
    </row>
    <row r="441" spans="2:7" x14ac:dyDescent="0.5">
      <c r="B441" s="30">
        <v>350</v>
      </c>
      <c r="C441" s="30" t="s">
        <v>798</v>
      </c>
      <c r="D441" s="32">
        <v>44376</v>
      </c>
      <c r="E441" s="34">
        <v>372550</v>
      </c>
      <c r="F441" s="30" t="str">
        <f t="shared" si="10"/>
        <v>Below 30L</v>
      </c>
      <c r="G441" s="30" t="str">
        <f t="shared" si="11"/>
        <v>FY 21-22</v>
      </c>
    </row>
    <row r="442" spans="2:7" x14ac:dyDescent="0.5">
      <c r="B442" s="30">
        <v>351</v>
      </c>
      <c r="C442" s="30" t="s">
        <v>800</v>
      </c>
      <c r="D442" s="32">
        <v>44377</v>
      </c>
      <c r="E442" s="34">
        <v>218040</v>
      </c>
      <c r="F442" s="30" t="str">
        <f t="shared" si="10"/>
        <v>Below 30L</v>
      </c>
      <c r="G442" s="30" t="str">
        <f t="shared" si="11"/>
        <v>FY 21-22</v>
      </c>
    </row>
    <row r="443" spans="2:7" x14ac:dyDescent="0.5">
      <c r="B443" s="30">
        <v>352</v>
      </c>
      <c r="C443" s="30" t="s">
        <v>802</v>
      </c>
      <c r="D443" s="32">
        <v>44377</v>
      </c>
      <c r="E443" s="34">
        <v>304750</v>
      </c>
      <c r="F443" s="30" t="str">
        <f t="shared" si="10"/>
        <v>Below 30L</v>
      </c>
      <c r="G443" s="30" t="str">
        <f t="shared" si="11"/>
        <v>FY 21-22</v>
      </c>
    </row>
    <row r="444" spans="2:7" x14ac:dyDescent="0.5">
      <c r="B444" s="30">
        <v>353</v>
      </c>
      <c r="C444" s="30" t="s">
        <v>804</v>
      </c>
      <c r="D444" s="32">
        <v>44381</v>
      </c>
      <c r="E444" s="34">
        <v>4673740</v>
      </c>
      <c r="F444" s="30" t="str">
        <f t="shared" si="10"/>
        <v>40L to 50L</v>
      </c>
      <c r="G444" s="30" t="str">
        <f t="shared" si="11"/>
        <v>FY 21-22</v>
      </c>
    </row>
    <row r="445" spans="2:7" x14ac:dyDescent="0.5">
      <c r="B445" s="30">
        <v>354</v>
      </c>
      <c r="C445" s="30" t="s">
        <v>806</v>
      </c>
      <c r="D445" s="32">
        <v>44379</v>
      </c>
      <c r="E445" s="34">
        <v>223240</v>
      </c>
      <c r="F445" s="30" t="str">
        <f t="shared" si="10"/>
        <v>Below 30L</v>
      </c>
      <c r="G445" s="30" t="str">
        <f t="shared" si="11"/>
        <v>FY 21-22</v>
      </c>
    </row>
    <row r="446" spans="2:7" x14ac:dyDescent="0.5">
      <c r="B446" s="30">
        <v>355</v>
      </c>
      <c r="C446" s="30" t="s">
        <v>808</v>
      </c>
      <c r="D446" s="32">
        <v>44380</v>
      </c>
      <c r="E446" s="34">
        <v>4880550</v>
      </c>
      <c r="F446" s="30" t="str">
        <f t="shared" si="10"/>
        <v>40L to 50L</v>
      </c>
      <c r="G446" s="30" t="str">
        <f t="shared" si="11"/>
        <v>FY 21-22</v>
      </c>
    </row>
    <row r="447" spans="2:7" x14ac:dyDescent="0.5">
      <c r="B447" s="30">
        <v>356</v>
      </c>
      <c r="C447" s="30" t="s">
        <v>810</v>
      </c>
      <c r="D447" s="32">
        <v>44380</v>
      </c>
      <c r="E447" s="34">
        <v>4982880</v>
      </c>
      <c r="F447" s="30" t="str">
        <f t="shared" si="10"/>
        <v>40L to 50L</v>
      </c>
      <c r="G447" s="30" t="str">
        <f t="shared" si="11"/>
        <v>FY 21-22</v>
      </c>
    </row>
    <row r="448" spans="2:7" x14ac:dyDescent="0.5">
      <c r="B448" s="30">
        <v>357</v>
      </c>
      <c r="C448" s="30" t="s">
        <v>812</v>
      </c>
      <c r="D448" s="32">
        <v>44380</v>
      </c>
      <c r="E448" s="34">
        <v>335690</v>
      </c>
      <c r="F448" s="30" t="str">
        <f t="shared" si="10"/>
        <v>Below 30L</v>
      </c>
      <c r="G448" s="30" t="str">
        <f t="shared" si="11"/>
        <v>FY 21-22</v>
      </c>
    </row>
    <row r="449" spans="2:7" x14ac:dyDescent="0.5">
      <c r="B449" s="30">
        <v>358</v>
      </c>
      <c r="C449" s="30" t="s">
        <v>814</v>
      </c>
      <c r="D449" s="32">
        <v>44382</v>
      </c>
      <c r="E449" s="34">
        <v>337610</v>
      </c>
      <c r="F449" s="30" t="str">
        <f t="shared" si="10"/>
        <v>Below 30L</v>
      </c>
      <c r="G449" s="30" t="str">
        <f t="shared" si="11"/>
        <v>FY 21-22</v>
      </c>
    </row>
    <row r="450" spans="2:7" x14ac:dyDescent="0.5">
      <c r="B450" s="30">
        <v>359</v>
      </c>
      <c r="C450" s="30" t="s">
        <v>816</v>
      </c>
      <c r="D450" s="32">
        <v>44382</v>
      </c>
      <c r="E450" s="34">
        <v>315160</v>
      </c>
      <c r="F450" s="30" t="str">
        <f t="shared" si="10"/>
        <v>Below 30L</v>
      </c>
      <c r="G450" s="30" t="str">
        <f t="shared" si="11"/>
        <v>FY 21-22</v>
      </c>
    </row>
    <row r="451" spans="2:7" x14ac:dyDescent="0.5">
      <c r="B451" s="30">
        <v>360</v>
      </c>
      <c r="C451" s="30" t="s">
        <v>818</v>
      </c>
      <c r="D451" s="32">
        <v>44383</v>
      </c>
      <c r="E451" s="34">
        <v>258880</v>
      </c>
      <c r="F451" s="30" t="str">
        <f t="shared" si="10"/>
        <v>Below 30L</v>
      </c>
      <c r="G451" s="30" t="str">
        <f t="shared" si="11"/>
        <v>FY 21-22</v>
      </c>
    </row>
    <row r="452" spans="2:7" x14ac:dyDescent="0.5">
      <c r="B452" s="30">
        <v>361</v>
      </c>
      <c r="C452" s="30" t="s">
        <v>820</v>
      </c>
      <c r="D452" s="32">
        <v>44384</v>
      </c>
      <c r="E452" s="34">
        <v>4879050</v>
      </c>
      <c r="F452" s="30" t="str">
        <f t="shared" si="10"/>
        <v>40L to 50L</v>
      </c>
      <c r="G452" s="30" t="str">
        <f t="shared" si="11"/>
        <v>FY 21-22</v>
      </c>
    </row>
    <row r="453" spans="2:7" x14ac:dyDescent="0.5">
      <c r="B453" s="30">
        <v>362</v>
      </c>
      <c r="C453" s="30" t="s">
        <v>822</v>
      </c>
      <c r="D453" s="32">
        <v>44384</v>
      </c>
      <c r="E453" s="34">
        <v>4517900</v>
      </c>
      <c r="F453" s="30" t="str">
        <f t="shared" si="10"/>
        <v>40L to 50L</v>
      </c>
      <c r="G453" s="30" t="str">
        <f t="shared" si="11"/>
        <v>FY 21-22</v>
      </c>
    </row>
    <row r="454" spans="2:7" x14ac:dyDescent="0.5">
      <c r="B454" s="30">
        <v>363</v>
      </c>
      <c r="C454" s="30" t="s">
        <v>824</v>
      </c>
      <c r="D454" s="32">
        <v>44388</v>
      </c>
      <c r="E454" s="34">
        <v>4059510</v>
      </c>
      <c r="F454" s="30" t="str">
        <f t="shared" si="10"/>
        <v>40L to 50L</v>
      </c>
      <c r="G454" s="30" t="str">
        <f t="shared" si="11"/>
        <v>FY 21-22</v>
      </c>
    </row>
    <row r="455" spans="2:7" x14ac:dyDescent="0.5">
      <c r="B455" s="30">
        <v>364</v>
      </c>
      <c r="C455" s="30" t="s">
        <v>826</v>
      </c>
      <c r="D455" s="32">
        <v>44384</v>
      </c>
      <c r="E455" s="34">
        <v>420600</v>
      </c>
      <c r="F455" s="30" t="str">
        <f t="shared" si="10"/>
        <v>Below 30L</v>
      </c>
      <c r="G455" s="30" t="str">
        <f t="shared" si="11"/>
        <v>FY 21-22</v>
      </c>
    </row>
    <row r="456" spans="2:7" x14ac:dyDescent="0.5">
      <c r="B456" s="30">
        <v>365</v>
      </c>
      <c r="C456" s="30" t="s">
        <v>828</v>
      </c>
      <c r="D456" s="32">
        <v>44385</v>
      </c>
      <c r="E456" s="34">
        <v>247030</v>
      </c>
      <c r="F456" s="30" t="str">
        <f t="shared" si="10"/>
        <v>Below 30L</v>
      </c>
      <c r="G456" s="30" t="str">
        <f t="shared" si="11"/>
        <v>FY 21-22</v>
      </c>
    </row>
    <row r="457" spans="2:7" x14ac:dyDescent="0.5">
      <c r="B457" s="30">
        <v>366</v>
      </c>
      <c r="C457" s="30" t="s">
        <v>830</v>
      </c>
      <c r="D457" s="32">
        <v>44385</v>
      </c>
      <c r="E457" s="34">
        <v>254270</v>
      </c>
      <c r="F457" s="30" t="str">
        <f t="shared" si="10"/>
        <v>Below 30L</v>
      </c>
      <c r="G457" s="30" t="str">
        <f t="shared" si="11"/>
        <v>FY 21-22</v>
      </c>
    </row>
    <row r="458" spans="2:7" x14ac:dyDescent="0.5">
      <c r="B458" s="30">
        <v>367</v>
      </c>
      <c r="C458" s="30" t="s">
        <v>832</v>
      </c>
      <c r="D458" s="32">
        <v>44385</v>
      </c>
      <c r="E458" s="34">
        <v>344300</v>
      </c>
      <c r="F458" s="30" t="str">
        <f t="shared" si="10"/>
        <v>Below 30L</v>
      </c>
      <c r="G458" s="30" t="str">
        <f t="shared" si="11"/>
        <v>FY 21-22</v>
      </c>
    </row>
    <row r="459" spans="2:7" x14ac:dyDescent="0.5">
      <c r="B459" s="30">
        <v>368</v>
      </c>
      <c r="C459" s="30" t="s">
        <v>834</v>
      </c>
      <c r="D459" s="32">
        <v>44385</v>
      </c>
      <c r="E459" s="34">
        <v>457400</v>
      </c>
      <c r="F459" s="30" t="str">
        <f t="shared" si="10"/>
        <v>Below 30L</v>
      </c>
      <c r="G459" s="30" t="str">
        <f t="shared" si="11"/>
        <v>FY 21-22</v>
      </c>
    </row>
    <row r="460" spans="2:7" x14ac:dyDescent="0.5">
      <c r="B460" s="30">
        <v>369</v>
      </c>
      <c r="C460" s="30" t="s">
        <v>836</v>
      </c>
      <c r="D460" s="32">
        <v>44386</v>
      </c>
      <c r="E460" s="34">
        <v>314630</v>
      </c>
      <c r="F460" s="30" t="str">
        <f t="shared" si="10"/>
        <v>Below 30L</v>
      </c>
      <c r="G460" s="30" t="str">
        <f t="shared" si="11"/>
        <v>FY 21-22</v>
      </c>
    </row>
    <row r="461" spans="2:7" x14ac:dyDescent="0.5">
      <c r="B461" s="30">
        <v>370</v>
      </c>
      <c r="C461" s="30" t="s">
        <v>838</v>
      </c>
      <c r="D461" s="32">
        <v>44387</v>
      </c>
      <c r="E461" s="34">
        <v>403900</v>
      </c>
      <c r="F461" s="30" t="str">
        <f t="shared" si="10"/>
        <v>Below 30L</v>
      </c>
      <c r="G461" s="30" t="str">
        <f t="shared" si="11"/>
        <v>FY 21-22</v>
      </c>
    </row>
    <row r="462" spans="2:7" x14ac:dyDescent="0.5">
      <c r="B462" s="30">
        <v>371</v>
      </c>
      <c r="C462" s="30" t="s">
        <v>840</v>
      </c>
      <c r="D462" s="32">
        <v>44389</v>
      </c>
      <c r="E462" s="34">
        <v>318940</v>
      </c>
      <c r="F462" s="30" t="str">
        <f t="shared" si="10"/>
        <v>Below 30L</v>
      </c>
      <c r="G462" s="30" t="str">
        <f t="shared" si="11"/>
        <v>FY 21-22</v>
      </c>
    </row>
    <row r="463" spans="2:7" x14ac:dyDescent="0.5">
      <c r="B463" s="30">
        <v>372</v>
      </c>
      <c r="C463" s="30" t="s">
        <v>842</v>
      </c>
      <c r="D463" s="32">
        <v>44389</v>
      </c>
      <c r="E463" s="34">
        <v>345820</v>
      </c>
      <c r="F463" s="30" t="str">
        <f t="shared" si="10"/>
        <v>Below 30L</v>
      </c>
      <c r="G463" s="30" t="str">
        <f t="shared" si="11"/>
        <v>FY 21-22</v>
      </c>
    </row>
    <row r="464" spans="2:7" x14ac:dyDescent="0.5">
      <c r="B464" s="30">
        <v>373</v>
      </c>
      <c r="C464" s="30" t="s">
        <v>844</v>
      </c>
      <c r="D464" s="32">
        <v>44389</v>
      </c>
      <c r="E464" s="34">
        <v>475420</v>
      </c>
      <c r="F464" s="30" t="str">
        <f t="shared" si="10"/>
        <v>Below 30L</v>
      </c>
      <c r="G464" s="30" t="str">
        <f t="shared" si="11"/>
        <v>FY 21-22</v>
      </c>
    </row>
    <row r="465" spans="2:7" x14ac:dyDescent="0.5">
      <c r="B465" s="30">
        <v>374</v>
      </c>
      <c r="C465" s="30" t="s">
        <v>846</v>
      </c>
      <c r="D465" s="32">
        <v>44389</v>
      </c>
      <c r="E465" s="34">
        <v>307180</v>
      </c>
      <c r="F465" s="30" t="str">
        <f t="shared" si="10"/>
        <v>Below 30L</v>
      </c>
      <c r="G465" s="30" t="str">
        <f t="shared" si="11"/>
        <v>FY 21-22</v>
      </c>
    </row>
    <row r="466" spans="2:7" x14ac:dyDescent="0.5">
      <c r="B466" s="30">
        <v>375</v>
      </c>
      <c r="C466" s="30" t="s">
        <v>848</v>
      </c>
      <c r="D466" s="32">
        <v>44389</v>
      </c>
      <c r="E466" s="34">
        <v>337680</v>
      </c>
      <c r="F466" s="30" t="str">
        <f t="shared" si="10"/>
        <v>Below 30L</v>
      </c>
      <c r="G466" s="30" t="str">
        <f t="shared" si="11"/>
        <v>FY 21-22</v>
      </c>
    </row>
    <row r="467" spans="2:7" x14ac:dyDescent="0.5">
      <c r="B467" s="30">
        <v>376</v>
      </c>
      <c r="C467" s="30" t="s">
        <v>850</v>
      </c>
      <c r="D467" s="32">
        <v>44391</v>
      </c>
      <c r="E467" s="34">
        <v>234720</v>
      </c>
      <c r="F467" s="30" t="str">
        <f t="shared" si="10"/>
        <v>Below 30L</v>
      </c>
      <c r="G467" s="30" t="str">
        <f t="shared" si="11"/>
        <v>FY 21-22</v>
      </c>
    </row>
    <row r="468" spans="2:7" x14ac:dyDescent="0.5">
      <c r="B468" s="30">
        <v>377</v>
      </c>
      <c r="C468" s="30" t="s">
        <v>852</v>
      </c>
      <c r="D468" s="32">
        <v>44396</v>
      </c>
      <c r="E468" s="34">
        <v>4996140</v>
      </c>
      <c r="F468" s="30" t="str">
        <f t="shared" si="10"/>
        <v>40L to 50L</v>
      </c>
      <c r="G468" s="30" t="str">
        <f t="shared" si="11"/>
        <v>FY 21-22</v>
      </c>
    </row>
    <row r="469" spans="2:7" x14ac:dyDescent="0.5">
      <c r="B469" s="30">
        <v>378</v>
      </c>
      <c r="C469" s="30" t="s">
        <v>854</v>
      </c>
      <c r="D469" s="32">
        <v>44396</v>
      </c>
      <c r="E469" s="34">
        <v>214640</v>
      </c>
      <c r="F469" s="30" t="str">
        <f t="shared" si="10"/>
        <v>Below 30L</v>
      </c>
      <c r="G469" s="30" t="str">
        <f t="shared" si="11"/>
        <v>FY 21-22</v>
      </c>
    </row>
    <row r="470" spans="2:7" x14ac:dyDescent="0.5">
      <c r="B470" s="30">
        <v>379</v>
      </c>
      <c r="C470" s="30" t="s">
        <v>856</v>
      </c>
      <c r="D470" s="32">
        <v>44395</v>
      </c>
      <c r="E470" s="34">
        <v>4211080</v>
      </c>
      <c r="F470" s="30" t="str">
        <f t="shared" si="10"/>
        <v>40L to 50L</v>
      </c>
      <c r="G470" s="30" t="str">
        <f t="shared" si="11"/>
        <v>FY 21-22</v>
      </c>
    </row>
    <row r="471" spans="2:7" x14ac:dyDescent="0.5">
      <c r="B471" s="30">
        <v>380</v>
      </c>
      <c r="C471" s="30" t="s">
        <v>858</v>
      </c>
      <c r="D471" s="32">
        <v>44397</v>
      </c>
      <c r="E471" s="34">
        <v>247860</v>
      </c>
      <c r="F471" s="30" t="str">
        <f t="shared" si="10"/>
        <v>Below 30L</v>
      </c>
      <c r="G471" s="30" t="str">
        <f t="shared" si="11"/>
        <v>FY 21-22</v>
      </c>
    </row>
    <row r="472" spans="2:7" x14ac:dyDescent="0.5">
      <c r="B472" s="30">
        <v>381</v>
      </c>
      <c r="C472" s="30" t="s">
        <v>860</v>
      </c>
      <c r="D472" s="32">
        <v>44398</v>
      </c>
      <c r="E472" s="34">
        <v>229830</v>
      </c>
      <c r="F472" s="30" t="str">
        <f t="shared" si="10"/>
        <v>Below 30L</v>
      </c>
      <c r="G472" s="30" t="str">
        <f t="shared" si="11"/>
        <v>FY 21-22</v>
      </c>
    </row>
    <row r="473" spans="2:7" x14ac:dyDescent="0.5">
      <c r="B473" s="30">
        <v>382</v>
      </c>
      <c r="C473" s="30" t="s">
        <v>862</v>
      </c>
      <c r="D473" s="32">
        <v>44398</v>
      </c>
      <c r="E473" s="34">
        <v>399460</v>
      </c>
      <c r="F473" s="30" t="str">
        <f t="shared" si="10"/>
        <v>Below 30L</v>
      </c>
      <c r="G473" s="30" t="str">
        <f t="shared" si="11"/>
        <v>FY 21-22</v>
      </c>
    </row>
    <row r="474" spans="2:7" x14ac:dyDescent="0.5">
      <c r="B474" s="30">
        <v>383</v>
      </c>
      <c r="C474" s="30" t="s">
        <v>864</v>
      </c>
      <c r="D474" s="32">
        <v>44399</v>
      </c>
      <c r="E474" s="34">
        <v>352720</v>
      </c>
      <c r="F474" s="30" t="str">
        <f t="shared" si="10"/>
        <v>Below 30L</v>
      </c>
      <c r="G474" s="30" t="str">
        <f t="shared" si="11"/>
        <v>FY 21-22</v>
      </c>
    </row>
    <row r="475" spans="2:7" x14ac:dyDescent="0.5">
      <c r="B475" s="30">
        <v>384</v>
      </c>
      <c r="C475" s="30" t="s">
        <v>866</v>
      </c>
      <c r="D475" s="32">
        <v>44401</v>
      </c>
      <c r="E475" s="34">
        <v>297520</v>
      </c>
      <c r="F475" s="30" t="str">
        <f t="shared" si="10"/>
        <v>Below 30L</v>
      </c>
      <c r="G475" s="30" t="str">
        <f t="shared" si="11"/>
        <v>FY 21-22</v>
      </c>
    </row>
    <row r="476" spans="2:7" x14ac:dyDescent="0.5">
      <c r="B476" s="30">
        <v>385</v>
      </c>
      <c r="C476" s="30" t="s">
        <v>868</v>
      </c>
      <c r="D476" s="32">
        <v>44401</v>
      </c>
      <c r="E476" s="34">
        <v>4531660</v>
      </c>
      <c r="F476" s="30" t="str">
        <f t="shared" ref="F476:F539" si="12">IF(E476&lt;3000000,"Below 30L",IF(E476&lt;4000000,"30L to 40L",IF(E476&lt;5000000,"40L to 50L",IF(E476&gt;=5000000,"50L and above"))))</f>
        <v>40L to 50L</v>
      </c>
      <c r="G476" s="30" t="str">
        <f t="shared" si="11"/>
        <v>FY 21-22</v>
      </c>
    </row>
    <row r="477" spans="2:7" x14ac:dyDescent="0.5">
      <c r="B477" s="30">
        <v>386</v>
      </c>
      <c r="C477" s="30" t="s">
        <v>870</v>
      </c>
      <c r="D477" s="32">
        <v>44401</v>
      </c>
      <c r="E477" s="34">
        <v>471240</v>
      </c>
      <c r="F477" s="30" t="str">
        <f t="shared" si="12"/>
        <v>Below 30L</v>
      </c>
      <c r="G477" s="30" t="str">
        <f t="shared" ref="G477:G540" si="13">IF(AND(DATE(2021,4,1)&lt;=D477,D477&lt;=DATE(2022,3,31)),"FY 21-22","FY 20-21")</f>
        <v>FY 21-22</v>
      </c>
    </row>
    <row r="478" spans="2:7" x14ac:dyDescent="0.5">
      <c r="B478" s="30">
        <v>387</v>
      </c>
      <c r="C478" s="30" t="s">
        <v>872</v>
      </c>
      <c r="D478" s="32">
        <v>44405</v>
      </c>
      <c r="E478" s="34">
        <v>4229320</v>
      </c>
      <c r="F478" s="30" t="str">
        <f t="shared" si="12"/>
        <v>40L to 50L</v>
      </c>
      <c r="G478" s="30" t="str">
        <f t="shared" si="13"/>
        <v>FY 21-22</v>
      </c>
    </row>
    <row r="479" spans="2:7" x14ac:dyDescent="0.5">
      <c r="B479" s="30">
        <v>388</v>
      </c>
      <c r="C479" s="30" t="s">
        <v>1309</v>
      </c>
      <c r="D479" s="32">
        <v>44406</v>
      </c>
      <c r="E479" s="34">
        <v>4620700</v>
      </c>
      <c r="F479" s="30" t="str">
        <f t="shared" si="12"/>
        <v>40L to 50L</v>
      </c>
      <c r="G479" s="30" t="str">
        <f t="shared" si="13"/>
        <v>FY 21-22</v>
      </c>
    </row>
    <row r="480" spans="2:7" x14ac:dyDescent="0.5">
      <c r="B480" s="30">
        <v>389</v>
      </c>
      <c r="C480" s="30" t="s">
        <v>875</v>
      </c>
      <c r="D480" s="32">
        <v>44410</v>
      </c>
      <c r="E480" s="34">
        <v>307480</v>
      </c>
      <c r="F480" s="30" t="str">
        <f t="shared" si="12"/>
        <v>Below 30L</v>
      </c>
      <c r="G480" s="30" t="str">
        <f t="shared" si="13"/>
        <v>FY 21-22</v>
      </c>
    </row>
    <row r="481" spans="2:7" x14ac:dyDescent="0.5">
      <c r="B481" s="30">
        <v>390</v>
      </c>
      <c r="C481" s="30" t="s">
        <v>877</v>
      </c>
      <c r="D481" s="32">
        <v>44410</v>
      </c>
      <c r="E481" s="34">
        <v>423590</v>
      </c>
      <c r="F481" s="30" t="str">
        <f t="shared" si="12"/>
        <v>Below 30L</v>
      </c>
      <c r="G481" s="30" t="str">
        <f t="shared" si="13"/>
        <v>FY 21-22</v>
      </c>
    </row>
    <row r="482" spans="2:7" x14ac:dyDescent="0.5">
      <c r="B482" s="30">
        <v>391</v>
      </c>
      <c r="C482" s="30" t="s">
        <v>879</v>
      </c>
      <c r="D482" s="32">
        <v>44410</v>
      </c>
      <c r="E482" s="34">
        <v>276420</v>
      </c>
      <c r="F482" s="30" t="str">
        <f t="shared" si="12"/>
        <v>Below 30L</v>
      </c>
      <c r="G482" s="30" t="str">
        <f t="shared" si="13"/>
        <v>FY 21-22</v>
      </c>
    </row>
    <row r="483" spans="2:7" x14ac:dyDescent="0.5">
      <c r="B483" s="30">
        <v>392</v>
      </c>
      <c r="C483" s="30" t="s">
        <v>881</v>
      </c>
      <c r="D483" s="32">
        <v>44410</v>
      </c>
      <c r="E483" s="34">
        <v>270730</v>
      </c>
      <c r="F483" s="30" t="str">
        <f t="shared" si="12"/>
        <v>Below 30L</v>
      </c>
      <c r="G483" s="30" t="str">
        <f t="shared" si="13"/>
        <v>FY 21-22</v>
      </c>
    </row>
    <row r="484" spans="2:7" x14ac:dyDescent="0.5">
      <c r="B484" s="30">
        <v>393</v>
      </c>
      <c r="C484" s="30" t="s">
        <v>883</v>
      </c>
      <c r="D484" s="32">
        <v>44411</v>
      </c>
      <c r="E484" s="34">
        <v>319200</v>
      </c>
      <c r="F484" s="30" t="str">
        <f t="shared" si="12"/>
        <v>Below 30L</v>
      </c>
      <c r="G484" s="30" t="str">
        <f t="shared" si="13"/>
        <v>FY 21-22</v>
      </c>
    </row>
    <row r="485" spans="2:7" x14ac:dyDescent="0.5">
      <c r="B485" s="30">
        <v>394</v>
      </c>
      <c r="C485" s="30" t="s">
        <v>885</v>
      </c>
      <c r="D485" s="32">
        <v>44415</v>
      </c>
      <c r="E485" s="34">
        <v>4250210</v>
      </c>
      <c r="F485" s="30" t="str">
        <f t="shared" si="12"/>
        <v>40L to 50L</v>
      </c>
      <c r="G485" s="30" t="str">
        <f t="shared" si="13"/>
        <v>FY 21-22</v>
      </c>
    </row>
    <row r="486" spans="2:7" x14ac:dyDescent="0.5">
      <c r="B486" s="30">
        <v>395</v>
      </c>
      <c r="C486" s="30" t="s">
        <v>887</v>
      </c>
      <c r="D486" s="32">
        <v>44412</v>
      </c>
      <c r="E486" s="34">
        <v>338300</v>
      </c>
      <c r="F486" s="30" t="str">
        <f t="shared" si="12"/>
        <v>Below 30L</v>
      </c>
      <c r="G486" s="30" t="str">
        <f t="shared" si="13"/>
        <v>FY 21-22</v>
      </c>
    </row>
    <row r="487" spans="2:7" x14ac:dyDescent="0.5">
      <c r="B487" s="30">
        <v>396</v>
      </c>
      <c r="C487" s="30" t="s">
        <v>889</v>
      </c>
      <c r="D487" s="32">
        <v>44412</v>
      </c>
      <c r="E487" s="34">
        <v>344160</v>
      </c>
      <c r="F487" s="30" t="str">
        <f t="shared" si="12"/>
        <v>Below 30L</v>
      </c>
      <c r="G487" s="30" t="str">
        <f t="shared" si="13"/>
        <v>FY 21-22</v>
      </c>
    </row>
    <row r="488" spans="2:7" x14ac:dyDescent="0.5">
      <c r="B488" s="30">
        <v>397</v>
      </c>
      <c r="C488" s="30" t="s">
        <v>891</v>
      </c>
      <c r="D488" s="32">
        <v>44413</v>
      </c>
      <c r="E488" s="34">
        <v>41820</v>
      </c>
      <c r="F488" s="30" t="str">
        <f t="shared" si="12"/>
        <v>Below 30L</v>
      </c>
      <c r="G488" s="30" t="str">
        <f t="shared" si="13"/>
        <v>FY 21-22</v>
      </c>
    </row>
    <row r="489" spans="2:7" x14ac:dyDescent="0.5">
      <c r="B489" s="30">
        <v>398</v>
      </c>
      <c r="C489" s="30" t="s">
        <v>893</v>
      </c>
      <c r="D489" s="32">
        <v>44413</v>
      </c>
      <c r="E489" s="34">
        <v>21320</v>
      </c>
      <c r="F489" s="30" t="str">
        <f t="shared" si="12"/>
        <v>Below 30L</v>
      </c>
      <c r="G489" s="30" t="str">
        <f t="shared" si="13"/>
        <v>FY 21-22</v>
      </c>
    </row>
    <row r="490" spans="2:7" x14ac:dyDescent="0.5">
      <c r="B490" s="30">
        <v>399</v>
      </c>
      <c r="C490" s="30" t="s">
        <v>895</v>
      </c>
      <c r="D490" s="32">
        <v>44414</v>
      </c>
      <c r="E490" s="34">
        <v>35390</v>
      </c>
      <c r="F490" s="30" t="str">
        <f t="shared" si="12"/>
        <v>Below 30L</v>
      </c>
      <c r="G490" s="30" t="str">
        <f t="shared" si="13"/>
        <v>FY 21-22</v>
      </c>
    </row>
    <row r="491" spans="2:7" x14ac:dyDescent="0.5">
      <c r="B491" s="30">
        <v>400</v>
      </c>
      <c r="C491" s="30" t="s">
        <v>897</v>
      </c>
      <c r="D491" s="32">
        <v>44414</v>
      </c>
      <c r="E491" s="34">
        <v>31300</v>
      </c>
      <c r="F491" s="30" t="str">
        <f t="shared" si="12"/>
        <v>Below 30L</v>
      </c>
      <c r="G491" s="30" t="str">
        <f t="shared" si="13"/>
        <v>FY 21-22</v>
      </c>
    </row>
    <row r="492" spans="2:7" x14ac:dyDescent="0.5">
      <c r="B492" s="30">
        <v>401</v>
      </c>
      <c r="C492" s="30" t="s">
        <v>899</v>
      </c>
      <c r="D492" s="32">
        <v>44415</v>
      </c>
      <c r="E492" s="34">
        <v>33140</v>
      </c>
      <c r="F492" s="30" t="str">
        <f t="shared" si="12"/>
        <v>Below 30L</v>
      </c>
      <c r="G492" s="30" t="str">
        <f t="shared" si="13"/>
        <v>FY 21-22</v>
      </c>
    </row>
    <row r="493" spans="2:7" x14ac:dyDescent="0.5">
      <c r="B493" s="30">
        <v>402</v>
      </c>
      <c r="C493" s="30" t="s">
        <v>901</v>
      </c>
      <c r="D493" s="32">
        <v>44417</v>
      </c>
      <c r="E493" s="34">
        <v>37350</v>
      </c>
      <c r="F493" s="30" t="str">
        <f t="shared" si="12"/>
        <v>Below 30L</v>
      </c>
      <c r="G493" s="30" t="str">
        <f t="shared" si="13"/>
        <v>FY 21-22</v>
      </c>
    </row>
    <row r="494" spans="2:7" x14ac:dyDescent="0.5">
      <c r="B494" s="30">
        <v>403</v>
      </c>
      <c r="C494" s="30" t="s">
        <v>903</v>
      </c>
      <c r="D494" s="32">
        <v>44418</v>
      </c>
      <c r="E494" s="34">
        <v>34190</v>
      </c>
      <c r="F494" s="30" t="str">
        <f t="shared" si="12"/>
        <v>Below 30L</v>
      </c>
      <c r="G494" s="30" t="str">
        <f t="shared" si="13"/>
        <v>FY 21-22</v>
      </c>
    </row>
    <row r="495" spans="2:7" x14ac:dyDescent="0.5">
      <c r="B495" s="30">
        <v>404</v>
      </c>
      <c r="C495" s="30" t="s">
        <v>905</v>
      </c>
      <c r="D495" s="32">
        <v>44418</v>
      </c>
      <c r="E495" s="34">
        <v>40780</v>
      </c>
      <c r="F495" s="30" t="str">
        <f t="shared" si="12"/>
        <v>Below 30L</v>
      </c>
      <c r="G495" s="30" t="str">
        <f t="shared" si="13"/>
        <v>FY 21-22</v>
      </c>
    </row>
    <row r="496" spans="2:7" x14ac:dyDescent="0.5">
      <c r="B496" s="30">
        <v>405</v>
      </c>
      <c r="C496" s="30" t="s">
        <v>907</v>
      </c>
      <c r="D496" s="32">
        <v>44418</v>
      </c>
      <c r="E496" s="34">
        <v>31620</v>
      </c>
      <c r="F496" s="30" t="str">
        <f t="shared" si="12"/>
        <v>Below 30L</v>
      </c>
      <c r="G496" s="30" t="str">
        <f t="shared" si="13"/>
        <v>FY 21-22</v>
      </c>
    </row>
    <row r="497" spans="2:7" x14ac:dyDescent="0.5">
      <c r="B497" s="30">
        <v>406</v>
      </c>
      <c r="C497" s="30" t="s">
        <v>909</v>
      </c>
      <c r="D497" s="32">
        <v>44419</v>
      </c>
      <c r="E497" s="34">
        <v>494490</v>
      </c>
      <c r="F497" s="30" t="str">
        <f t="shared" si="12"/>
        <v>Below 30L</v>
      </c>
      <c r="G497" s="30" t="str">
        <f t="shared" si="13"/>
        <v>FY 21-22</v>
      </c>
    </row>
    <row r="498" spans="2:7" x14ac:dyDescent="0.5">
      <c r="B498" s="30">
        <v>407</v>
      </c>
      <c r="C498" s="30" t="s">
        <v>911</v>
      </c>
      <c r="D498" s="32">
        <v>44423</v>
      </c>
      <c r="E498" s="34">
        <v>4927020</v>
      </c>
      <c r="F498" s="30" t="str">
        <f t="shared" si="12"/>
        <v>40L to 50L</v>
      </c>
      <c r="G498" s="30" t="str">
        <f t="shared" si="13"/>
        <v>FY 21-22</v>
      </c>
    </row>
    <row r="499" spans="2:7" x14ac:dyDescent="0.5">
      <c r="B499" s="30">
        <v>408</v>
      </c>
      <c r="C499" s="30" t="s">
        <v>913</v>
      </c>
      <c r="D499" s="32">
        <v>44419</v>
      </c>
      <c r="E499" s="34">
        <v>31490</v>
      </c>
      <c r="F499" s="30" t="str">
        <f t="shared" si="12"/>
        <v>Below 30L</v>
      </c>
      <c r="G499" s="30" t="str">
        <f t="shared" si="13"/>
        <v>FY 21-22</v>
      </c>
    </row>
    <row r="500" spans="2:7" x14ac:dyDescent="0.5">
      <c r="B500" s="30">
        <v>409</v>
      </c>
      <c r="C500" s="30" t="s">
        <v>915</v>
      </c>
      <c r="D500" s="32">
        <v>44420</v>
      </c>
      <c r="E500" s="34">
        <v>423580</v>
      </c>
      <c r="F500" s="30" t="str">
        <f t="shared" si="12"/>
        <v>Below 30L</v>
      </c>
      <c r="G500" s="30" t="str">
        <f t="shared" si="13"/>
        <v>FY 21-22</v>
      </c>
    </row>
    <row r="501" spans="2:7" x14ac:dyDescent="0.5">
      <c r="B501" s="30">
        <v>410</v>
      </c>
      <c r="C501" s="30" t="s">
        <v>917</v>
      </c>
      <c r="D501" s="32">
        <v>44420</v>
      </c>
      <c r="E501" s="34">
        <v>30970</v>
      </c>
      <c r="F501" s="30" t="str">
        <f t="shared" si="12"/>
        <v>Below 30L</v>
      </c>
      <c r="G501" s="30" t="str">
        <f t="shared" si="13"/>
        <v>FY 21-22</v>
      </c>
    </row>
    <row r="502" spans="2:7" x14ac:dyDescent="0.5">
      <c r="B502" s="30">
        <v>411</v>
      </c>
      <c r="C502" s="30" t="s">
        <v>919</v>
      </c>
      <c r="D502" s="32">
        <v>44420</v>
      </c>
      <c r="E502" s="34">
        <v>461700</v>
      </c>
      <c r="F502" s="30" t="str">
        <f t="shared" si="12"/>
        <v>Below 30L</v>
      </c>
      <c r="G502" s="30" t="str">
        <f t="shared" si="13"/>
        <v>FY 21-22</v>
      </c>
    </row>
    <row r="503" spans="2:7" x14ac:dyDescent="0.5">
      <c r="B503" s="30">
        <v>412</v>
      </c>
      <c r="C503" s="30" t="s">
        <v>921</v>
      </c>
      <c r="D503" s="32">
        <v>44421</v>
      </c>
      <c r="E503" s="34">
        <v>40120</v>
      </c>
      <c r="F503" s="30" t="str">
        <f t="shared" si="12"/>
        <v>Below 30L</v>
      </c>
      <c r="G503" s="30" t="str">
        <f t="shared" si="13"/>
        <v>FY 21-22</v>
      </c>
    </row>
    <row r="504" spans="2:7" x14ac:dyDescent="0.5">
      <c r="B504" s="30">
        <v>413</v>
      </c>
      <c r="C504" s="30" t="s">
        <v>924</v>
      </c>
      <c r="D504" s="32">
        <v>44421</v>
      </c>
      <c r="E504" s="34">
        <v>30120</v>
      </c>
      <c r="F504" s="30" t="str">
        <f t="shared" si="12"/>
        <v>Below 30L</v>
      </c>
      <c r="G504" s="30" t="str">
        <f t="shared" si="13"/>
        <v>FY 21-22</v>
      </c>
    </row>
    <row r="505" spans="2:7" x14ac:dyDescent="0.5">
      <c r="B505" s="30">
        <v>414</v>
      </c>
      <c r="C505" s="30" t="s">
        <v>926</v>
      </c>
      <c r="D505" s="32">
        <v>44424</v>
      </c>
      <c r="E505" s="34">
        <v>13417040</v>
      </c>
      <c r="F505" s="30" t="str">
        <f t="shared" si="12"/>
        <v>50L and above</v>
      </c>
      <c r="G505" s="30" t="str">
        <f t="shared" si="13"/>
        <v>FY 21-22</v>
      </c>
    </row>
    <row r="506" spans="2:7" x14ac:dyDescent="0.5">
      <c r="B506" s="30">
        <v>415</v>
      </c>
      <c r="C506" s="30" t="s">
        <v>928</v>
      </c>
      <c r="D506" s="32">
        <v>44424</v>
      </c>
      <c r="E506" s="34">
        <v>6976300</v>
      </c>
      <c r="F506" s="30" t="str">
        <f t="shared" si="12"/>
        <v>50L and above</v>
      </c>
      <c r="G506" s="30" t="str">
        <f t="shared" si="13"/>
        <v>FY 21-22</v>
      </c>
    </row>
    <row r="507" spans="2:7" x14ac:dyDescent="0.5">
      <c r="B507" s="30">
        <v>416</v>
      </c>
      <c r="C507" s="30" t="s">
        <v>930</v>
      </c>
      <c r="D507" s="32">
        <v>44425</v>
      </c>
      <c r="E507" s="34">
        <v>274140</v>
      </c>
      <c r="F507" s="30" t="str">
        <f t="shared" si="12"/>
        <v>Below 30L</v>
      </c>
      <c r="G507" s="30" t="str">
        <f t="shared" si="13"/>
        <v>FY 21-22</v>
      </c>
    </row>
    <row r="508" spans="2:7" x14ac:dyDescent="0.5">
      <c r="B508" s="30">
        <v>417</v>
      </c>
      <c r="C508" s="30" t="s">
        <v>932</v>
      </c>
      <c r="D508" s="32">
        <v>44426</v>
      </c>
      <c r="E508" s="34">
        <v>462050</v>
      </c>
      <c r="F508" s="30" t="str">
        <f t="shared" si="12"/>
        <v>Below 30L</v>
      </c>
      <c r="G508" s="30" t="str">
        <f t="shared" si="13"/>
        <v>FY 21-22</v>
      </c>
    </row>
    <row r="509" spans="2:7" x14ac:dyDescent="0.5">
      <c r="B509" s="30">
        <v>418</v>
      </c>
      <c r="C509" s="30" t="s">
        <v>934</v>
      </c>
      <c r="D509" s="32">
        <v>44426</v>
      </c>
      <c r="E509" s="34">
        <v>297220</v>
      </c>
      <c r="F509" s="30" t="str">
        <f t="shared" si="12"/>
        <v>Below 30L</v>
      </c>
      <c r="G509" s="30" t="str">
        <f t="shared" si="13"/>
        <v>FY 21-22</v>
      </c>
    </row>
    <row r="510" spans="2:7" x14ac:dyDescent="0.5">
      <c r="B510" s="30">
        <v>419</v>
      </c>
      <c r="C510" s="30" t="s">
        <v>936</v>
      </c>
      <c r="D510" s="32">
        <v>44426</v>
      </c>
      <c r="E510" s="34">
        <v>4002900</v>
      </c>
      <c r="F510" s="30" t="str">
        <f t="shared" si="12"/>
        <v>40L to 50L</v>
      </c>
      <c r="G510" s="30" t="str">
        <f t="shared" si="13"/>
        <v>FY 21-22</v>
      </c>
    </row>
    <row r="511" spans="2:7" x14ac:dyDescent="0.5">
      <c r="B511" s="30">
        <v>420</v>
      </c>
      <c r="C511" s="30" t="s">
        <v>938</v>
      </c>
      <c r="D511" s="32">
        <v>44427</v>
      </c>
      <c r="E511" s="34">
        <v>283880</v>
      </c>
      <c r="F511" s="30" t="str">
        <f t="shared" si="12"/>
        <v>Below 30L</v>
      </c>
      <c r="G511" s="30" t="str">
        <f t="shared" si="13"/>
        <v>FY 21-22</v>
      </c>
    </row>
    <row r="512" spans="2:7" x14ac:dyDescent="0.5">
      <c r="B512" s="30">
        <v>421</v>
      </c>
      <c r="C512" s="30" t="s">
        <v>940</v>
      </c>
      <c r="D512" s="32">
        <v>44428</v>
      </c>
      <c r="E512" s="34">
        <v>221870</v>
      </c>
      <c r="F512" s="30" t="str">
        <f t="shared" si="12"/>
        <v>Below 30L</v>
      </c>
      <c r="G512" s="30" t="str">
        <f t="shared" si="13"/>
        <v>FY 21-22</v>
      </c>
    </row>
    <row r="513" spans="2:7" x14ac:dyDescent="0.5">
      <c r="B513" s="30">
        <v>422</v>
      </c>
      <c r="C513" s="30" t="s">
        <v>942</v>
      </c>
      <c r="D513" s="32">
        <v>44429</v>
      </c>
      <c r="E513" s="34">
        <v>4728180</v>
      </c>
      <c r="F513" s="30" t="str">
        <f t="shared" si="12"/>
        <v>40L to 50L</v>
      </c>
      <c r="G513" s="30" t="str">
        <f t="shared" si="13"/>
        <v>FY 21-22</v>
      </c>
    </row>
    <row r="514" spans="2:7" x14ac:dyDescent="0.5">
      <c r="B514" s="30">
        <v>423</v>
      </c>
      <c r="C514" s="30" t="s">
        <v>944</v>
      </c>
      <c r="D514" s="32">
        <v>44432</v>
      </c>
      <c r="E514" s="34">
        <v>217350</v>
      </c>
      <c r="F514" s="30" t="str">
        <f t="shared" si="12"/>
        <v>Below 30L</v>
      </c>
      <c r="G514" s="30" t="str">
        <f t="shared" si="13"/>
        <v>FY 21-22</v>
      </c>
    </row>
    <row r="515" spans="2:7" x14ac:dyDescent="0.5">
      <c r="B515" s="30">
        <v>424</v>
      </c>
      <c r="C515" s="30" t="s">
        <v>946</v>
      </c>
      <c r="D515" s="32">
        <v>44432</v>
      </c>
      <c r="E515" s="34">
        <v>377140</v>
      </c>
      <c r="F515" s="30" t="str">
        <f t="shared" si="12"/>
        <v>Below 30L</v>
      </c>
      <c r="G515" s="30" t="str">
        <f t="shared" si="13"/>
        <v>FY 21-22</v>
      </c>
    </row>
    <row r="516" spans="2:7" x14ac:dyDescent="0.5">
      <c r="B516" s="30">
        <v>425</v>
      </c>
      <c r="C516" s="30" t="s">
        <v>948</v>
      </c>
      <c r="D516" s="32">
        <v>44435</v>
      </c>
      <c r="E516" s="34">
        <v>469720</v>
      </c>
      <c r="F516" s="30" t="str">
        <f t="shared" si="12"/>
        <v>Below 30L</v>
      </c>
      <c r="G516" s="30" t="str">
        <f t="shared" si="13"/>
        <v>FY 21-22</v>
      </c>
    </row>
    <row r="517" spans="2:7" x14ac:dyDescent="0.5">
      <c r="B517" s="30">
        <v>426</v>
      </c>
      <c r="C517" s="30" t="s">
        <v>950</v>
      </c>
      <c r="D517" s="32">
        <v>44436</v>
      </c>
      <c r="E517" s="34">
        <v>309030</v>
      </c>
      <c r="F517" s="30" t="str">
        <f t="shared" si="12"/>
        <v>Below 30L</v>
      </c>
      <c r="G517" s="30" t="str">
        <f t="shared" si="13"/>
        <v>FY 21-22</v>
      </c>
    </row>
    <row r="518" spans="2:7" x14ac:dyDescent="0.5">
      <c r="B518" s="30">
        <v>427</v>
      </c>
      <c r="C518" s="30" t="s">
        <v>952</v>
      </c>
      <c r="D518" s="32">
        <v>44439</v>
      </c>
      <c r="E518" s="34">
        <v>495900</v>
      </c>
      <c r="F518" s="30" t="str">
        <f t="shared" si="12"/>
        <v>Below 30L</v>
      </c>
      <c r="G518" s="30" t="str">
        <f t="shared" si="13"/>
        <v>FY 21-22</v>
      </c>
    </row>
    <row r="519" spans="2:7" x14ac:dyDescent="0.5">
      <c r="B519" s="30">
        <v>428</v>
      </c>
      <c r="C519" s="30" t="s">
        <v>954</v>
      </c>
      <c r="D519" s="32">
        <v>44439</v>
      </c>
      <c r="E519" s="34">
        <v>247110</v>
      </c>
      <c r="F519" s="30" t="str">
        <f t="shared" si="12"/>
        <v>Below 30L</v>
      </c>
      <c r="G519" s="30" t="str">
        <f t="shared" si="13"/>
        <v>FY 21-22</v>
      </c>
    </row>
    <row r="520" spans="2:7" x14ac:dyDescent="0.5">
      <c r="B520" s="30">
        <v>429</v>
      </c>
      <c r="C520" s="30" t="s">
        <v>956</v>
      </c>
      <c r="D520" s="32">
        <v>44440</v>
      </c>
      <c r="E520" s="34">
        <v>448830</v>
      </c>
      <c r="F520" s="30" t="str">
        <f t="shared" si="12"/>
        <v>Below 30L</v>
      </c>
      <c r="G520" s="30" t="str">
        <f t="shared" si="13"/>
        <v>FY 21-22</v>
      </c>
    </row>
    <row r="521" spans="2:7" x14ac:dyDescent="0.5">
      <c r="B521" s="30">
        <v>430</v>
      </c>
      <c r="C521" s="30" t="s">
        <v>958</v>
      </c>
      <c r="D521" s="32">
        <v>44443</v>
      </c>
      <c r="E521" s="34">
        <v>4497060</v>
      </c>
      <c r="F521" s="30" t="str">
        <f t="shared" si="12"/>
        <v>40L to 50L</v>
      </c>
      <c r="G521" s="30" t="str">
        <f t="shared" si="13"/>
        <v>FY 21-22</v>
      </c>
    </row>
    <row r="522" spans="2:7" x14ac:dyDescent="0.5">
      <c r="B522" s="30">
        <v>431</v>
      </c>
      <c r="C522" s="30" t="s">
        <v>960</v>
      </c>
      <c r="D522" s="32">
        <v>44445</v>
      </c>
      <c r="E522" s="34">
        <v>377400</v>
      </c>
      <c r="F522" s="30" t="str">
        <f t="shared" si="12"/>
        <v>Below 30L</v>
      </c>
      <c r="G522" s="30" t="str">
        <f t="shared" si="13"/>
        <v>FY 21-22</v>
      </c>
    </row>
    <row r="523" spans="2:7" x14ac:dyDescent="0.5">
      <c r="B523" s="30">
        <v>432</v>
      </c>
      <c r="C523" s="30" t="s">
        <v>962</v>
      </c>
      <c r="D523" s="32">
        <v>44448</v>
      </c>
      <c r="E523" s="34">
        <v>370800</v>
      </c>
      <c r="F523" s="30" t="str">
        <f t="shared" si="12"/>
        <v>Below 30L</v>
      </c>
      <c r="G523" s="30" t="str">
        <f t="shared" si="13"/>
        <v>FY 21-22</v>
      </c>
    </row>
    <row r="524" spans="2:7" x14ac:dyDescent="0.5">
      <c r="B524" s="30">
        <v>433</v>
      </c>
      <c r="C524" s="30" t="s">
        <v>964</v>
      </c>
      <c r="D524" s="32">
        <v>44450</v>
      </c>
      <c r="E524" s="34">
        <v>4648620</v>
      </c>
      <c r="F524" s="30" t="str">
        <f t="shared" si="12"/>
        <v>40L to 50L</v>
      </c>
      <c r="G524" s="30" t="str">
        <f t="shared" si="13"/>
        <v>FY 21-22</v>
      </c>
    </row>
    <row r="525" spans="2:7" x14ac:dyDescent="0.5">
      <c r="B525" s="30">
        <v>434</v>
      </c>
      <c r="C525" s="30" t="s">
        <v>966</v>
      </c>
      <c r="D525" s="32">
        <v>44457</v>
      </c>
      <c r="E525" s="34">
        <v>4232840</v>
      </c>
      <c r="F525" s="30" t="str">
        <f t="shared" si="12"/>
        <v>40L to 50L</v>
      </c>
      <c r="G525" s="30" t="str">
        <f t="shared" si="13"/>
        <v>FY 21-22</v>
      </c>
    </row>
    <row r="526" spans="2:7" x14ac:dyDescent="0.5">
      <c r="B526" s="30">
        <v>435</v>
      </c>
      <c r="C526" s="30" t="s">
        <v>968</v>
      </c>
      <c r="D526" s="32">
        <v>44456</v>
      </c>
      <c r="E526" s="34">
        <v>347860</v>
      </c>
      <c r="F526" s="30" t="str">
        <f t="shared" si="12"/>
        <v>Below 30L</v>
      </c>
      <c r="G526" s="30" t="str">
        <f t="shared" si="13"/>
        <v>FY 21-22</v>
      </c>
    </row>
    <row r="527" spans="2:7" x14ac:dyDescent="0.5">
      <c r="B527" s="30">
        <v>436</v>
      </c>
      <c r="C527" s="30" t="s">
        <v>970</v>
      </c>
      <c r="D527" s="32">
        <v>44457</v>
      </c>
      <c r="E527" s="34">
        <v>342020</v>
      </c>
      <c r="F527" s="30" t="str">
        <f t="shared" si="12"/>
        <v>Below 30L</v>
      </c>
      <c r="G527" s="30" t="str">
        <f t="shared" si="13"/>
        <v>FY 21-22</v>
      </c>
    </row>
    <row r="528" spans="2:7" x14ac:dyDescent="0.5">
      <c r="B528" s="30">
        <v>437</v>
      </c>
      <c r="C528" s="30" t="s">
        <v>972</v>
      </c>
      <c r="D528" s="32">
        <v>44460</v>
      </c>
      <c r="E528" s="34">
        <v>460310</v>
      </c>
      <c r="F528" s="30" t="str">
        <f t="shared" si="12"/>
        <v>Below 30L</v>
      </c>
      <c r="G528" s="30" t="str">
        <f t="shared" si="13"/>
        <v>FY 21-22</v>
      </c>
    </row>
    <row r="529" spans="2:7" x14ac:dyDescent="0.5">
      <c r="B529" s="30">
        <v>438</v>
      </c>
      <c r="C529" s="30" t="s">
        <v>974</v>
      </c>
      <c r="D529" s="32">
        <v>44461</v>
      </c>
      <c r="E529" s="34">
        <v>270810</v>
      </c>
      <c r="F529" s="30" t="str">
        <f t="shared" si="12"/>
        <v>Below 30L</v>
      </c>
      <c r="G529" s="30" t="str">
        <f t="shared" si="13"/>
        <v>FY 21-22</v>
      </c>
    </row>
    <row r="530" spans="2:7" x14ac:dyDescent="0.5">
      <c r="B530" s="30">
        <v>439</v>
      </c>
      <c r="C530" s="30" t="s">
        <v>976</v>
      </c>
      <c r="D530" s="32">
        <v>44463</v>
      </c>
      <c r="E530" s="34">
        <v>386860</v>
      </c>
      <c r="F530" s="30" t="str">
        <f t="shared" si="12"/>
        <v>Below 30L</v>
      </c>
      <c r="G530" s="30" t="str">
        <f t="shared" si="13"/>
        <v>FY 21-22</v>
      </c>
    </row>
    <row r="531" spans="2:7" x14ac:dyDescent="0.5">
      <c r="B531" s="30">
        <v>440</v>
      </c>
      <c r="C531" s="30" t="s">
        <v>978</v>
      </c>
      <c r="D531" s="32">
        <v>44467</v>
      </c>
      <c r="E531" s="34">
        <v>263750</v>
      </c>
      <c r="F531" s="30" t="str">
        <f t="shared" si="12"/>
        <v>Below 30L</v>
      </c>
      <c r="G531" s="30" t="str">
        <f t="shared" si="13"/>
        <v>FY 21-22</v>
      </c>
    </row>
    <row r="532" spans="2:7" x14ac:dyDescent="0.5">
      <c r="B532" s="30">
        <v>441</v>
      </c>
      <c r="C532" s="30" t="s">
        <v>980</v>
      </c>
      <c r="D532" s="32">
        <v>44467</v>
      </c>
      <c r="E532" s="34">
        <v>319680</v>
      </c>
      <c r="F532" s="30" t="str">
        <f t="shared" si="12"/>
        <v>Below 30L</v>
      </c>
      <c r="G532" s="30" t="str">
        <f t="shared" si="13"/>
        <v>FY 21-22</v>
      </c>
    </row>
    <row r="533" spans="2:7" x14ac:dyDescent="0.5">
      <c r="B533" s="30">
        <v>442</v>
      </c>
      <c r="C533" s="30" t="s">
        <v>982</v>
      </c>
      <c r="D533" s="32">
        <v>44471</v>
      </c>
      <c r="E533" s="34">
        <v>471860</v>
      </c>
      <c r="F533" s="30" t="str">
        <f t="shared" si="12"/>
        <v>Below 30L</v>
      </c>
      <c r="G533" s="30" t="str">
        <f t="shared" si="13"/>
        <v>FY 21-22</v>
      </c>
    </row>
    <row r="534" spans="2:7" x14ac:dyDescent="0.5">
      <c r="B534" s="30">
        <v>443</v>
      </c>
      <c r="C534" s="30" t="s">
        <v>984</v>
      </c>
      <c r="D534" s="32">
        <v>44474</v>
      </c>
      <c r="E534" s="34">
        <v>290660</v>
      </c>
      <c r="F534" s="30" t="str">
        <f t="shared" si="12"/>
        <v>Below 30L</v>
      </c>
      <c r="G534" s="30" t="str">
        <f t="shared" si="13"/>
        <v>FY 21-22</v>
      </c>
    </row>
    <row r="535" spans="2:7" x14ac:dyDescent="0.5">
      <c r="B535" s="30">
        <v>444</v>
      </c>
      <c r="C535" s="30" t="s">
        <v>986</v>
      </c>
      <c r="D535" s="32">
        <v>44474</v>
      </c>
      <c r="E535" s="34">
        <v>300150</v>
      </c>
      <c r="F535" s="30" t="str">
        <f t="shared" si="12"/>
        <v>Below 30L</v>
      </c>
      <c r="G535" s="30" t="str">
        <f t="shared" si="13"/>
        <v>FY 21-22</v>
      </c>
    </row>
    <row r="536" spans="2:7" x14ac:dyDescent="0.5">
      <c r="B536" s="30">
        <v>445</v>
      </c>
      <c r="C536" s="30" t="s">
        <v>988</v>
      </c>
      <c r="D536" s="32">
        <v>44477</v>
      </c>
      <c r="E536" s="34">
        <v>236150</v>
      </c>
      <c r="F536" s="30" t="str">
        <f t="shared" si="12"/>
        <v>Below 30L</v>
      </c>
      <c r="G536" s="30" t="str">
        <f t="shared" si="13"/>
        <v>FY 21-22</v>
      </c>
    </row>
    <row r="537" spans="2:7" x14ac:dyDescent="0.5">
      <c r="B537" s="30">
        <v>446</v>
      </c>
      <c r="C537" s="30" t="s">
        <v>1310</v>
      </c>
      <c r="D537" s="32">
        <v>44478</v>
      </c>
      <c r="E537" s="34">
        <v>484220</v>
      </c>
      <c r="F537" s="30" t="str">
        <f t="shared" si="12"/>
        <v>Below 30L</v>
      </c>
      <c r="G537" s="30" t="str">
        <f t="shared" si="13"/>
        <v>FY 21-22</v>
      </c>
    </row>
    <row r="538" spans="2:7" x14ac:dyDescent="0.5">
      <c r="B538" s="30">
        <v>447</v>
      </c>
      <c r="C538" s="30" t="s">
        <v>991</v>
      </c>
      <c r="D538" s="32">
        <v>44480</v>
      </c>
      <c r="E538" s="34">
        <v>255870</v>
      </c>
      <c r="F538" s="30" t="str">
        <f t="shared" si="12"/>
        <v>Below 30L</v>
      </c>
      <c r="G538" s="30" t="str">
        <f t="shared" si="13"/>
        <v>FY 21-22</v>
      </c>
    </row>
    <row r="539" spans="2:7" x14ac:dyDescent="0.5">
      <c r="B539" s="30">
        <v>448</v>
      </c>
      <c r="C539" s="30" t="s">
        <v>993</v>
      </c>
      <c r="D539" s="32">
        <v>44480</v>
      </c>
      <c r="E539" s="34">
        <v>347200</v>
      </c>
      <c r="F539" s="30" t="str">
        <f t="shared" si="12"/>
        <v>Below 30L</v>
      </c>
      <c r="G539" s="30" t="str">
        <f t="shared" si="13"/>
        <v>FY 21-22</v>
      </c>
    </row>
    <row r="540" spans="2:7" x14ac:dyDescent="0.5">
      <c r="B540" s="30">
        <v>449</v>
      </c>
      <c r="C540" s="30" t="s">
        <v>995</v>
      </c>
      <c r="D540" s="32">
        <v>44485</v>
      </c>
      <c r="E540" s="34">
        <v>445290</v>
      </c>
      <c r="F540" s="30" t="str">
        <f t="shared" ref="F540:F603" si="14">IF(E540&lt;3000000,"Below 30L",IF(E540&lt;4000000,"30L to 40L",IF(E540&lt;5000000,"40L to 50L",IF(E540&gt;=5000000,"50L and above"))))</f>
        <v>Below 30L</v>
      </c>
      <c r="G540" s="30" t="str">
        <f t="shared" si="13"/>
        <v>FY 21-22</v>
      </c>
    </row>
    <row r="541" spans="2:7" x14ac:dyDescent="0.5">
      <c r="B541" s="30">
        <v>450</v>
      </c>
      <c r="C541" s="30" t="s">
        <v>997</v>
      </c>
      <c r="D541" s="32">
        <v>44487</v>
      </c>
      <c r="E541" s="34">
        <v>383380</v>
      </c>
      <c r="F541" s="30" t="str">
        <f t="shared" si="14"/>
        <v>Below 30L</v>
      </c>
      <c r="G541" s="30" t="str">
        <f t="shared" ref="G541:G604" si="15">IF(AND(DATE(2021,4,1)&lt;=D541,D541&lt;=DATE(2022,3,31)),"FY 21-22","FY 20-21")</f>
        <v>FY 21-22</v>
      </c>
    </row>
    <row r="542" spans="2:7" x14ac:dyDescent="0.5">
      <c r="B542" s="30">
        <v>451</v>
      </c>
      <c r="C542" s="30" t="s">
        <v>999</v>
      </c>
      <c r="D542" s="32">
        <v>44487</v>
      </c>
      <c r="E542" s="34">
        <v>457640</v>
      </c>
      <c r="F542" s="30" t="str">
        <f t="shared" si="14"/>
        <v>Below 30L</v>
      </c>
      <c r="G542" s="30" t="str">
        <f t="shared" si="15"/>
        <v>FY 21-22</v>
      </c>
    </row>
    <row r="543" spans="2:7" x14ac:dyDescent="0.5">
      <c r="B543" s="30">
        <v>452</v>
      </c>
      <c r="C543" s="30" t="s">
        <v>1001</v>
      </c>
      <c r="D543" s="32">
        <v>44488</v>
      </c>
      <c r="E543" s="34">
        <v>303020</v>
      </c>
      <c r="F543" s="30" t="str">
        <f t="shared" si="14"/>
        <v>Below 30L</v>
      </c>
      <c r="G543" s="30" t="str">
        <f t="shared" si="15"/>
        <v>FY 21-22</v>
      </c>
    </row>
    <row r="544" spans="2:7" x14ac:dyDescent="0.5">
      <c r="B544" s="30">
        <v>453</v>
      </c>
      <c r="C544" s="30" t="s">
        <v>1003</v>
      </c>
      <c r="D544" s="32">
        <v>44489</v>
      </c>
      <c r="E544" s="34">
        <v>207730</v>
      </c>
      <c r="F544" s="30" t="str">
        <f t="shared" si="14"/>
        <v>Below 30L</v>
      </c>
      <c r="G544" s="30" t="str">
        <f t="shared" si="15"/>
        <v>FY 21-22</v>
      </c>
    </row>
    <row r="545" spans="2:7" x14ac:dyDescent="0.5">
      <c r="B545" s="30">
        <v>454</v>
      </c>
      <c r="C545" s="30" t="s">
        <v>1005</v>
      </c>
      <c r="D545" s="32">
        <v>44489</v>
      </c>
      <c r="E545" s="34">
        <v>308420</v>
      </c>
      <c r="F545" s="30" t="str">
        <f t="shared" si="14"/>
        <v>Below 30L</v>
      </c>
      <c r="G545" s="30" t="str">
        <f t="shared" si="15"/>
        <v>FY 21-22</v>
      </c>
    </row>
    <row r="546" spans="2:7" x14ac:dyDescent="0.5">
      <c r="B546" s="30">
        <v>455</v>
      </c>
      <c r="C546" s="30" t="s">
        <v>1007</v>
      </c>
      <c r="D546" s="32">
        <v>44490</v>
      </c>
      <c r="E546" s="34">
        <v>408590</v>
      </c>
      <c r="F546" s="30" t="str">
        <f t="shared" si="14"/>
        <v>Below 30L</v>
      </c>
      <c r="G546" s="30" t="str">
        <f t="shared" si="15"/>
        <v>FY 21-22</v>
      </c>
    </row>
    <row r="547" spans="2:7" x14ac:dyDescent="0.5">
      <c r="B547" s="30">
        <v>456</v>
      </c>
      <c r="C547" s="30" t="s">
        <v>1009</v>
      </c>
      <c r="D547" s="32">
        <v>44490</v>
      </c>
      <c r="E547" s="34">
        <v>438200</v>
      </c>
      <c r="F547" s="30" t="str">
        <f t="shared" si="14"/>
        <v>Below 30L</v>
      </c>
      <c r="G547" s="30" t="str">
        <f t="shared" si="15"/>
        <v>FY 21-22</v>
      </c>
    </row>
    <row r="548" spans="2:7" x14ac:dyDescent="0.5">
      <c r="B548" s="30">
        <v>457</v>
      </c>
      <c r="C548" s="30" t="s">
        <v>1011</v>
      </c>
      <c r="D548" s="32">
        <v>44490</v>
      </c>
      <c r="E548" s="34">
        <v>336050</v>
      </c>
      <c r="F548" s="30" t="str">
        <f t="shared" si="14"/>
        <v>Below 30L</v>
      </c>
      <c r="G548" s="30" t="str">
        <f t="shared" si="15"/>
        <v>FY 21-22</v>
      </c>
    </row>
    <row r="549" spans="2:7" x14ac:dyDescent="0.5">
      <c r="B549" s="30">
        <v>458</v>
      </c>
      <c r="C549" s="30" t="s">
        <v>1013</v>
      </c>
      <c r="D549" s="32">
        <v>44491</v>
      </c>
      <c r="E549" s="34">
        <v>454830</v>
      </c>
      <c r="F549" s="30" t="str">
        <f t="shared" si="14"/>
        <v>Below 30L</v>
      </c>
      <c r="G549" s="30" t="str">
        <f t="shared" si="15"/>
        <v>FY 21-22</v>
      </c>
    </row>
    <row r="550" spans="2:7" x14ac:dyDescent="0.5">
      <c r="B550" s="30">
        <v>459</v>
      </c>
      <c r="C550" s="30" t="s">
        <v>1015</v>
      </c>
      <c r="D550" s="32">
        <v>44491</v>
      </c>
      <c r="E550" s="34">
        <v>491000</v>
      </c>
      <c r="F550" s="30" t="str">
        <f t="shared" si="14"/>
        <v>Below 30L</v>
      </c>
      <c r="G550" s="30" t="str">
        <f t="shared" si="15"/>
        <v>FY 21-22</v>
      </c>
    </row>
    <row r="551" spans="2:7" x14ac:dyDescent="0.5">
      <c r="B551" s="30">
        <v>460</v>
      </c>
      <c r="C551" s="30" t="s">
        <v>1017</v>
      </c>
      <c r="D551" s="32">
        <v>44494</v>
      </c>
      <c r="E551" s="34">
        <v>415680</v>
      </c>
      <c r="F551" s="30" t="str">
        <f t="shared" si="14"/>
        <v>Below 30L</v>
      </c>
      <c r="G551" s="30" t="str">
        <f t="shared" si="15"/>
        <v>FY 21-22</v>
      </c>
    </row>
    <row r="552" spans="2:7" x14ac:dyDescent="0.5">
      <c r="B552" s="30">
        <v>461</v>
      </c>
      <c r="C552" s="30" t="s">
        <v>1019</v>
      </c>
      <c r="D552" s="32">
        <v>44494</v>
      </c>
      <c r="E552" s="34">
        <v>374850</v>
      </c>
      <c r="F552" s="30" t="str">
        <f t="shared" si="14"/>
        <v>Below 30L</v>
      </c>
      <c r="G552" s="30" t="str">
        <f t="shared" si="15"/>
        <v>FY 21-22</v>
      </c>
    </row>
    <row r="553" spans="2:7" x14ac:dyDescent="0.5">
      <c r="B553" s="30">
        <v>462</v>
      </c>
      <c r="C553" s="30" t="s">
        <v>1021</v>
      </c>
      <c r="D553" s="32">
        <v>44494</v>
      </c>
      <c r="E553" s="34">
        <v>325900</v>
      </c>
      <c r="F553" s="30" t="str">
        <f t="shared" si="14"/>
        <v>Below 30L</v>
      </c>
      <c r="G553" s="30" t="str">
        <f t="shared" si="15"/>
        <v>FY 21-22</v>
      </c>
    </row>
    <row r="554" spans="2:7" x14ac:dyDescent="0.5">
      <c r="B554" s="30">
        <v>463</v>
      </c>
      <c r="C554" s="30" t="s">
        <v>1023</v>
      </c>
      <c r="D554" s="32">
        <v>44495</v>
      </c>
      <c r="E554" s="34">
        <v>356110</v>
      </c>
      <c r="F554" s="30" t="str">
        <f t="shared" si="14"/>
        <v>Below 30L</v>
      </c>
      <c r="G554" s="30" t="str">
        <f t="shared" si="15"/>
        <v>FY 21-22</v>
      </c>
    </row>
    <row r="555" spans="2:7" x14ac:dyDescent="0.5">
      <c r="B555" s="30">
        <v>464</v>
      </c>
      <c r="C555" s="30" t="s">
        <v>1025</v>
      </c>
      <c r="D555" s="32">
        <v>44496</v>
      </c>
      <c r="E555" s="34">
        <v>419000</v>
      </c>
      <c r="F555" s="30" t="str">
        <f t="shared" si="14"/>
        <v>Below 30L</v>
      </c>
      <c r="G555" s="30" t="str">
        <f t="shared" si="15"/>
        <v>FY 21-22</v>
      </c>
    </row>
    <row r="556" spans="2:7" x14ac:dyDescent="0.5">
      <c r="B556" s="30">
        <v>465</v>
      </c>
      <c r="C556" s="30" t="s">
        <v>1027</v>
      </c>
      <c r="D556" s="32">
        <v>44499</v>
      </c>
      <c r="E556" s="34">
        <v>356860</v>
      </c>
      <c r="F556" s="30" t="str">
        <f t="shared" si="14"/>
        <v>Below 30L</v>
      </c>
      <c r="G556" s="30" t="str">
        <f t="shared" si="15"/>
        <v>FY 21-22</v>
      </c>
    </row>
    <row r="557" spans="2:7" x14ac:dyDescent="0.5">
      <c r="B557" s="30">
        <v>466</v>
      </c>
      <c r="C557" s="30" t="s">
        <v>1029</v>
      </c>
      <c r="D557" s="32">
        <v>44503</v>
      </c>
      <c r="E557" s="34">
        <v>491750</v>
      </c>
      <c r="F557" s="30" t="str">
        <f t="shared" si="14"/>
        <v>Below 30L</v>
      </c>
      <c r="G557" s="30" t="str">
        <f t="shared" si="15"/>
        <v>FY 21-22</v>
      </c>
    </row>
    <row r="558" spans="2:7" x14ac:dyDescent="0.5">
      <c r="B558" s="30">
        <v>467</v>
      </c>
      <c r="C558" s="30" t="s">
        <v>1031</v>
      </c>
      <c r="D558" s="32">
        <v>44506</v>
      </c>
      <c r="E558" s="34">
        <v>479490</v>
      </c>
      <c r="F558" s="30" t="str">
        <f t="shared" si="14"/>
        <v>Below 30L</v>
      </c>
      <c r="G558" s="30" t="str">
        <f t="shared" si="15"/>
        <v>FY 21-22</v>
      </c>
    </row>
    <row r="559" spans="2:7" x14ac:dyDescent="0.5">
      <c r="B559" s="30">
        <v>468</v>
      </c>
      <c r="C559" s="30" t="s">
        <v>1033</v>
      </c>
      <c r="D559" s="32">
        <v>44506</v>
      </c>
      <c r="E559" s="34">
        <v>4817700</v>
      </c>
      <c r="F559" s="30" t="str">
        <f t="shared" si="14"/>
        <v>40L to 50L</v>
      </c>
      <c r="G559" s="30" t="str">
        <f t="shared" si="15"/>
        <v>FY 21-22</v>
      </c>
    </row>
    <row r="560" spans="2:7" x14ac:dyDescent="0.5">
      <c r="B560" s="30">
        <v>469</v>
      </c>
      <c r="C560" s="30" t="s">
        <v>1035</v>
      </c>
      <c r="D560" s="32">
        <v>44508</v>
      </c>
      <c r="E560" s="34">
        <v>314800</v>
      </c>
      <c r="F560" s="30" t="str">
        <f t="shared" si="14"/>
        <v>Below 30L</v>
      </c>
      <c r="G560" s="30" t="str">
        <f t="shared" si="15"/>
        <v>FY 21-22</v>
      </c>
    </row>
    <row r="561" spans="2:7" x14ac:dyDescent="0.5">
      <c r="B561" s="30">
        <v>470</v>
      </c>
      <c r="C561" s="30" t="s">
        <v>1311</v>
      </c>
      <c r="D561" s="32">
        <v>44509</v>
      </c>
      <c r="E561" s="34">
        <v>357640</v>
      </c>
      <c r="F561" s="30" t="str">
        <f t="shared" si="14"/>
        <v>Below 30L</v>
      </c>
      <c r="G561" s="30" t="str">
        <f t="shared" si="15"/>
        <v>FY 21-22</v>
      </c>
    </row>
    <row r="562" spans="2:7" x14ac:dyDescent="0.5">
      <c r="B562" s="30">
        <v>471</v>
      </c>
      <c r="C562" s="30" t="s">
        <v>1038</v>
      </c>
      <c r="D562" s="32">
        <v>44509</v>
      </c>
      <c r="E562" s="34">
        <v>450470</v>
      </c>
      <c r="F562" s="30" t="str">
        <f t="shared" si="14"/>
        <v>Below 30L</v>
      </c>
      <c r="G562" s="30" t="str">
        <f t="shared" si="15"/>
        <v>FY 21-22</v>
      </c>
    </row>
    <row r="563" spans="2:7" x14ac:dyDescent="0.5">
      <c r="B563" s="30">
        <v>472</v>
      </c>
      <c r="C563" s="30" t="s">
        <v>1040</v>
      </c>
      <c r="D563" s="32">
        <v>44507</v>
      </c>
      <c r="E563" s="34">
        <v>4275330</v>
      </c>
      <c r="F563" s="30" t="str">
        <f t="shared" si="14"/>
        <v>40L to 50L</v>
      </c>
      <c r="G563" s="30" t="str">
        <f t="shared" si="15"/>
        <v>FY 21-22</v>
      </c>
    </row>
    <row r="564" spans="2:7" x14ac:dyDescent="0.5">
      <c r="B564" s="30">
        <v>473</v>
      </c>
      <c r="C564" s="30" t="s">
        <v>1042</v>
      </c>
      <c r="D564" s="32">
        <v>44509</v>
      </c>
      <c r="E564" s="34">
        <v>425000</v>
      </c>
      <c r="F564" s="30" t="str">
        <f t="shared" si="14"/>
        <v>Below 30L</v>
      </c>
      <c r="G564" s="30" t="str">
        <f t="shared" si="15"/>
        <v>FY 21-22</v>
      </c>
    </row>
    <row r="565" spans="2:7" x14ac:dyDescent="0.5">
      <c r="B565" s="30">
        <v>474</v>
      </c>
      <c r="C565" s="30" t="s">
        <v>1044</v>
      </c>
      <c r="D565" s="32">
        <v>44510</v>
      </c>
      <c r="E565" s="34">
        <v>399870</v>
      </c>
      <c r="F565" s="30" t="str">
        <f t="shared" si="14"/>
        <v>Below 30L</v>
      </c>
      <c r="G565" s="30" t="str">
        <f t="shared" si="15"/>
        <v>FY 21-22</v>
      </c>
    </row>
    <row r="566" spans="2:7" x14ac:dyDescent="0.5">
      <c r="B566" s="30">
        <v>475</v>
      </c>
      <c r="C566" s="30" t="s">
        <v>1046</v>
      </c>
      <c r="D566" s="32">
        <v>44511</v>
      </c>
      <c r="E566" s="34">
        <v>462420</v>
      </c>
      <c r="F566" s="30" t="str">
        <f t="shared" si="14"/>
        <v>Below 30L</v>
      </c>
      <c r="G566" s="30" t="str">
        <f t="shared" si="15"/>
        <v>FY 21-22</v>
      </c>
    </row>
    <row r="567" spans="2:7" x14ac:dyDescent="0.5">
      <c r="B567" s="30">
        <v>476</v>
      </c>
      <c r="C567" s="30" t="s">
        <v>1048</v>
      </c>
      <c r="D567" s="32">
        <v>44514</v>
      </c>
      <c r="E567" s="34">
        <v>4441560</v>
      </c>
      <c r="F567" s="30" t="str">
        <f t="shared" si="14"/>
        <v>40L to 50L</v>
      </c>
      <c r="G567" s="30" t="str">
        <f t="shared" si="15"/>
        <v>FY 21-22</v>
      </c>
    </row>
    <row r="568" spans="2:7" x14ac:dyDescent="0.5">
      <c r="B568" s="30">
        <v>477</v>
      </c>
      <c r="C568" s="30" t="s">
        <v>1050</v>
      </c>
      <c r="D568" s="32">
        <v>44512</v>
      </c>
      <c r="E568" s="34">
        <v>473280</v>
      </c>
      <c r="F568" s="30" t="str">
        <f t="shared" si="14"/>
        <v>Below 30L</v>
      </c>
      <c r="G568" s="30" t="str">
        <f t="shared" si="15"/>
        <v>FY 21-22</v>
      </c>
    </row>
    <row r="569" spans="2:7" x14ac:dyDescent="0.5">
      <c r="B569" s="30">
        <v>478</v>
      </c>
      <c r="C569" s="30" t="s">
        <v>1052</v>
      </c>
      <c r="D569" s="32">
        <v>44512</v>
      </c>
      <c r="E569" s="34">
        <v>408230</v>
      </c>
      <c r="F569" s="30" t="str">
        <f t="shared" si="14"/>
        <v>Below 30L</v>
      </c>
      <c r="G569" s="30" t="str">
        <f t="shared" si="15"/>
        <v>FY 21-22</v>
      </c>
    </row>
    <row r="570" spans="2:7" x14ac:dyDescent="0.5">
      <c r="B570" s="30">
        <v>479</v>
      </c>
      <c r="C570" s="30" t="s">
        <v>1054</v>
      </c>
      <c r="D570" s="32">
        <v>44513</v>
      </c>
      <c r="E570" s="34">
        <v>331750</v>
      </c>
      <c r="F570" s="30" t="str">
        <f t="shared" si="14"/>
        <v>Below 30L</v>
      </c>
      <c r="G570" s="30" t="str">
        <f t="shared" si="15"/>
        <v>FY 21-22</v>
      </c>
    </row>
    <row r="571" spans="2:7" x14ac:dyDescent="0.5">
      <c r="B571" s="30">
        <v>480</v>
      </c>
      <c r="C571" s="30" t="s">
        <v>1056</v>
      </c>
      <c r="D571" s="32">
        <v>44519</v>
      </c>
      <c r="E571" s="34">
        <v>223880</v>
      </c>
      <c r="F571" s="30" t="str">
        <f t="shared" si="14"/>
        <v>Below 30L</v>
      </c>
      <c r="G571" s="30" t="str">
        <f t="shared" si="15"/>
        <v>FY 21-22</v>
      </c>
    </row>
    <row r="572" spans="2:7" x14ac:dyDescent="0.5">
      <c r="B572" s="30">
        <v>481</v>
      </c>
      <c r="C572" s="30" t="s">
        <v>1058</v>
      </c>
      <c r="D572" s="32">
        <v>44523</v>
      </c>
      <c r="E572" s="34">
        <v>12222570</v>
      </c>
      <c r="F572" s="30" t="str">
        <f t="shared" si="14"/>
        <v>50L and above</v>
      </c>
      <c r="G572" s="30" t="str">
        <f t="shared" si="15"/>
        <v>FY 21-22</v>
      </c>
    </row>
    <row r="573" spans="2:7" x14ac:dyDescent="0.5">
      <c r="B573" s="30">
        <v>482</v>
      </c>
      <c r="C573" s="30" t="s">
        <v>1060</v>
      </c>
      <c r="D573" s="32">
        <v>44525</v>
      </c>
      <c r="E573" s="34">
        <v>285500</v>
      </c>
      <c r="F573" s="30" t="str">
        <f t="shared" si="14"/>
        <v>Below 30L</v>
      </c>
      <c r="G573" s="30" t="str">
        <f t="shared" si="15"/>
        <v>FY 21-22</v>
      </c>
    </row>
    <row r="574" spans="2:7" x14ac:dyDescent="0.5">
      <c r="B574" s="30">
        <v>483</v>
      </c>
      <c r="C574" s="30" t="s">
        <v>1062</v>
      </c>
      <c r="D574" s="32">
        <v>44525</v>
      </c>
      <c r="E574" s="34">
        <v>302180</v>
      </c>
      <c r="F574" s="30" t="str">
        <f t="shared" si="14"/>
        <v>Below 30L</v>
      </c>
      <c r="G574" s="30" t="str">
        <f t="shared" si="15"/>
        <v>FY 21-22</v>
      </c>
    </row>
    <row r="575" spans="2:7" x14ac:dyDescent="0.5">
      <c r="B575" s="30">
        <v>484</v>
      </c>
      <c r="C575" s="30" t="s">
        <v>1064</v>
      </c>
      <c r="D575" s="32">
        <v>44526</v>
      </c>
      <c r="E575" s="34">
        <v>367010</v>
      </c>
      <c r="F575" s="30" t="str">
        <f t="shared" si="14"/>
        <v>Below 30L</v>
      </c>
      <c r="G575" s="30" t="str">
        <f t="shared" si="15"/>
        <v>FY 21-22</v>
      </c>
    </row>
    <row r="576" spans="2:7" x14ac:dyDescent="0.5">
      <c r="B576" s="30">
        <v>485</v>
      </c>
      <c r="C576" s="30" t="s">
        <v>1066</v>
      </c>
      <c r="D576" s="32">
        <v>44526</v>
      </c>
      <c r="E576" s="34">
        <v>26260</v>
      </c>
      <c r="F576" s="30" t="str">
        <f t="shared" si="14"/>
        <v>Below 30L</v>
      </c>
      <c r="G576" s="30" t="str">
        <f t="shared" si="15"/>
        <v>FY 21-22</v>
      </c>
    </row>
    <row r="577" spans="2:7" x14ac:dyDescent="0.5">
      <c r="B577" s="30">
        <v>486</v>
      </c>
      <c r="C577" s="30" t="s">
        <v>1068</v>
      </c>
      <c r="D577" s="32">
        <v>44527</v>
      </c>
      <c r="E577" s="34">
        <v>39590</v>
      </c>
      <c r="F577" s="30" t="str">
        <f t="shared" si="14"/>
        <v>Below 30L</v>
      </c>
      <c r="G577" s="30" t="str">
        <f t="shared" si="15"/>
        <v>FY 21-22</v>
      </c>
    </row>
    <row r="578" spans="2:7" x14ac:dyDescent="0.5">
      <c r="B578" s="30">
        <v>487</v>
      </c>
      <c r="C578" s="30" t="s">
        <v>1070</v>
      </c>
      <c r="D578" s="32">
        <v>44527</v>
      </c>
      <c r="E578" s="34">
        <v>24260</v>
      </c>
      <c r="F578" s="30" t="str">
        <f t="shared" si="14"/>
        <v>Below 30L</v>
      </c>
      <c r="G578" s="30" t="str">
        <f t="shared" si="15"/>
        <v>FY 21-22</v>
      </c>
    </row>
    <row r="579" spans="2:7" x14ac:dyDescent="0.5">
      <c r="B579" s="30">
        <v>488</v>
      </c>
      <c r="C579" s="30" t="s">
        <v>1072</v>
      </c>
      <c r="D579" s="32">
        <v>44529</v>
      </c>
      <c r="E579" s="34">
        <v>25240</v>
      </c>
      <c r="F579" s="30" t="str">
        <f t="shared" si="14"/>
        <v>Below 30L</v>
      </c>
      <c r="G579" s="30" t="str">
        <f t="shared" si="15"/>
        <v>FY 21-22</v>
      </c>
    </row>
    <row r="580" spans="2:7" x14ac:dyDescent="0.5">
      <c r="B580" s="30">
        <v>489</v>
      </c>
      <c r="C580" s="30" t="s">
        <v>1074</v>
      </c>
      <c r="D580" s="32">
        <v>44529</v>
      </c>
      <c r="E580" s="34">
        <v>445560</v>
      </c>
      <c r="F580" s="30" t="str">
        <f t="shared" si="14"/>
        <v>Below 30L</v>
      </c>
      <c r="G580" s="30" t="str">
        <f t="shared" si="15"/>
        <v>FY 21-22</v>
      </c>
    </row>
    <row r="581" spans="2:7" x14ac:dyDescent="0.5">
      <c r="B581" s="30">
        <v>490</v>
      </c>
      <c r="C581" s="30" t="s">
        <v>1076</v>
      </c>
      <c r="D581" s="32">
        <v>44531</v>
      </c>
      <c r="E581" s="34">
        <v>2159450</v>
      </c>
      <c r="F581" s="30" t="str">
        <f t="shared" si="14"/>
        <v>Below 30L</v>
      </c>
      <c r="G581" s="30" t="str">
        <f t="shared" si="15"/>
        <v>FY 21-22</v>
      </c>
    </row>
    <row r="582" spans="2:7" x14ac:dyDescent="0.5">
      <c r="B582" s="30">
        <v>491</v>
      </c>
      <c r="C582" s="30" t="s">
        <v>1079</v>
      </c>
      <c r="D582" s="32">
        <v>44533</v>
      </c>
      <c r="E582" s="34">
        <v>15810</v>
      </c>
      <c r="F582" s="30" t="str">
        <f t="shared" si="14"/>
        <v>Below 30L</v>
      </c>
      <c r="G582" s="30" t="str">
        <f t="shared" si="15"/>
        <v>FY 21-22</v>
      </c>
    </row>
    <row r="583" spans="2:7" x14ac:dyDescent="0.5">
      <c r="B583" s="30">
        <v>492</v>
      </c>
      <c r="C583" s="30" t="s">
        <v>1081</v>
      </c>
      <c r="D583" s="32">
        <v>44535</v>
      </c>
      <c r="E583" s="34">
        <v>4050320</v>
      </c>
      <c r="F583" s="30" t="str">
        <f t="shared" si="14"/>
        <v>40L to 50L</v>
      </c>
      <c r="G583" s="30" t="str">
        <f t="shared" si="15"/>
        <v>FY 21-22</v>
      </c>
    </row>
    <row r="584" spans="2:7" x14ac:dyDescent="0.5">
      <c r="B584" s="30">
        <v>493</v>
      </c>
      <c r="C584" s="30" t="s">
        <v>1083</v>
      </c>
      <c r="D584" s="32">
        <v>44534</v>
      </c>
      <c r="E584" s="34">
        <v>476400</v>
      </c>
      <c r="F584" s="30" t="str">
        <f t="shared" si="14"/>
        <v>Below 30L</v>
      </c>
      <c r="G584" s="30" t="str">
        <f t="shared" si="15"/>
        <v>FY 21-22</v>
      </c>
    </row>
    <row r="585" spans="2:7" x14ac:dyDescent="0.5">
      <c r="B585" s="30">
        <v>494</v>
      </c>
      <c r="C585" s="30" t="s">
        <v>1085</v>
      </c>
      <c r="D585" s="32">
        <v>44536</v>
      </c>
      <c r="E585" s="34">
        <v>24170</v>
      </c>
      <c r="F585" s="30" t="str">
        <f t="shared" si="14"/>
        <v>Below 30L</v>
      </c>
      <c r="G585" s="30" t="str">
        <f t="shared" si="15"/>
        <v>FY 21-22</v>
      </c>
    </row>
    <row r="586" spans="2:7" x14ac:dyDescent="0.5">
      <c r="B586" s="30">
        <v>495</v>
      </c>
      <c r="C586" s="30" t="s">
        <v>1087</v>
      </c>
      <c r="D586" s="32">
        <v>44537</v>
      </c>
      <c r="E586" s="34">
        <v>230900</v>
      </c>
      <c r="F586" s="30" t="str">
        <f t="shared" si="14"/>
        <v>Below 30L</v>
      </c>
      <c r="G586" s="30" t="str">
        <f t="shared" si="15"/>
        <v>FY 21-22</v>
      </c>
    </row>
    <row r="587" spans="2:7" x14ac:dyDescent="0.5">
      <c r="B587" s="30">
        <v>496</v>
      </c>
      <c r="C587" s="30" t="s">
        <v>1089</v>
      </c>
      <c r="D587" s="32">
        <v>44537</v>
      </c>
      <c r="E587" s="34">
        <v>245870</v>
      </c>
      <c r="F587" s="30" t="str">
        <f t="shared" si="14"/>
        <v>Below 30L</v>
      </c>
      <c r="G587" s="30" t="str">
        <f t="shared" si="15"/>
        <v>FY 21-22</v>
      </c>
    </row>
    <row r="588" spans="2:7" x14ac:dyDescent="0.5">
      <c r="B588" s="30">
        <v>497</v>
      </c>
      <c r="C588" s="30" t="s">
        <v>1091</v>
      </c>
      <c r="D588" s="32">
        <v>44538</v>
      </c>
      <c r="E588" s="34">
        <v>258400</v>
      </c>
      <c r="F588" s="30" t="str">
        <f t="shared" si="14"/>
        <v>Below 30L</v>
      </c>
      <c r="G588" s="30" t="str">
        <f t="shared" si="15"/>
        <v>FY 21-22</v>
      </c>
    </row>
    <row r="589" spans="2:7" x14ac:dyDescent="0.5">
      <c r="B589" s="30">
        <v>498</v>
      </c>
      <c r="C589" s="30" t="s">
        <v>1093</v>
      </c>
      <c r="D589" s="32">
        <v>44539</v>
      </c>
      <c r="E589" s="34">
        <v>391470</v>
      </c>
      <c r="F589" s="30" t="str">
        <f t="shared" si="14"/>
        <v>Below 30L</v>
      </c>
      <c r="G589" s="30" t="str">
        <f t="shared" si="15"/>
        <v>FY 21-22</v>
      </c>
    </row>
    <row r="590" spans="2:7" x14ac:dyDescent="0.5">
      <c r="B590" s="30">
        <v>499</v>
      </c>
      <c r="C590" s="30" t="s">
        <v>1095</v>
      </c>
      <c r="D590" s="32">
        <v>44542</v>
      </c>
      <c r="E590" s="34">
        <v>4463340</v>
      </c>
      <c r="F590" s="30" t="str">
        <f t="shared" si="14"/>
        <v>40L to 50L</v>
      </c>
      <c r="G590" s="30" t="str">
        <f t="shared" si="15"/>
        <v>FY 21-22</v>
      </c>
    </row>
    <row r="591" spans="2:7" x14ac:dyDescent="0.5">
      <c r="B591" s="30">
        <v>500</v>
      </c>
      <c r="C591" s="30" t="s">
        <v>1097</v>
      </c>
      <c r="D591" s="32">
        <v>44541</v>
      </c>
      <c r="E591" s="34">
        <v>446670</v>
      </c>
      <c r="F591" s="30" t="str">
        <f t="shared" si="14"/>
        <v>Below 30L</v>
      </c>
      <c r="G591" s="30" t="str">
        <f t="shared" si="15"/>
        <v>FY 21-22</v>
      </c>
    </row>
    <row r="592" spans="2:7" x14ac:dyDescent="0.5">
      <c r="B592" s="30">
        <v>501</v>
      </c>
      <c r="C592" s="30" t="s">
        <v>1099</v>
      </c>
      <c r="D592" s="32">
        <v>44541</v>
      </c>
      <c r="E592" s="34">
        <v>284960</v>
      </c>
      <c r="F592" s="30" t="str">
        <f t="shared" si="14"/>
        <v>Below 30L</v>
      </c>
      <c r="G592" s="30" t="str">
        <f t="shared" si="15"/>
        <v>FY 21-22</v>
      </c>
    </row>
    <row r="593" spans="2:7" x14ac:dyDescent="0.5">
      <c r="B593" s="30">
        <v>502</v>
      </c>
      <c r="C593" s="30" t="s">
        <v>1101</v>
      </c>
      <c r="D593" s="32">
        <v>44541</v>
      </c>
      <c r="E593" s="34">
        <v>444500</v>
      </c>
      <c r="F593" s="30" t="str">
        <f t="shared" si="14"/>
        <v>Below 30L</v>
      </c>
      <c r="G593" s="30" t="str">
        <f t="shared" si="15"/>
        <v>FY 21-22</v>
      </c>
    </row>
    <row r="594" spans="2:7" x14ac:dyDescent="0.5">
      <c r="B594" s="30">
        <v>503</v>
      </c>
      <c r="C594" s="30" t="s">
        <v>1103</v>
      </c>
      <c r="D594" s="32">
        <v>44541</v>
      </c>
      <c r="E594" s="34">
        <v>373180</v>
      </c>
      <c r="F594" s="30" t="str">
        <f t="shared" si="14"/>
        <v>Below 30L</v>
      </c>
      <c r="G594" s="30" t="str">
        <f t="shared" si="15"/>
        <v>FY 21-22</v>
      </c>
    </row>
    <row r="595" spans="2:7" x14ac:dyDescent="0.5">
      <c r="B595" s="30">
        <v>504</v>
      </c>
      <c r="C595" s="30" t="s">
        <v>1105</v>
      </c>
      <c r="D595" s="32">
        <v>44541</v>
      </c>
      <c r="E595" s="34">
        <v>215460</v>
      </c>
      <c r="F595" s="30" t="str">
        <f t="shared" si="14"/>
        <v>Below 30L</v>
      </c>
      <c r="G595" s="30" t="str">
        <f t="shared" si="15"/>
        <v>FY 21-22</v>
      </c>
    </row>
    <row r="596" spans="2:7" x14ac:dyDescent="0.5">
      <c r="B596" s="30">
        <v>505</v>
      </c>
      <c r="C596" s="30" t="s">
        <v>1107</v>
      </c>
      <c r="D596" s="32">
        <v>44543</v>
      </c>
      <c r="E596" s="34">
        <v>231820</v>
      </c>
      <c r="F596" s="30" t="str">
        <f t="shared" si="14"/>
        <v>Below 30L</v>
      </c>
      <c r="G596" s="30" t="str">
        <f t="shared" si="15"/>
        <v>FY 21-22</v>
      </c>
    </row>
    <row r="597" spans="2:7" x14ac:dyDescent="0.5">
      <c r="B597" s="30">
        <v>506</v>
      </c>
      <c r="C597" s="30" t="s">
        <v>1109</v>
      </c>
      <c r="D597" s="32">
        <v>44543</v>
      </c>
      <c r="E597" s="34">
        <v>433600</v>
      </c>
      <c r="F597" s="30" t="str">
        <f t="shared" si="14"/>
        <v>Below 30L</v>
      </c>
      <c r="G597" s="30" t="str">
        <f t="shared" si="15"/>
        <v>FY 21-22</v>
      </c>
    </row>
    <row r="598" spans="2:7" x14ac:dyDescent="0.5">
      <c r="B598" s="30">
        <v>507</v>
      </c>
      <c r="C598" s="30" t="s">
        <v>1111</v>
      </c>
      <c r="D598" s="32">
        <v>44543</v>
      </c>
      <c r="E598" s="34">
        <v>6302410</v>
      </c>
      <c r="F598" s="30" t="str">
        <f t="shared" si="14"/>
        <v>50L and above</v>
      </c>
      <c r="G598" s="30" t="str">
        <f t="shared" si="15"/>
        <v>FY 21-22</v>
      </c>
    </row>
    <row r="599" spans="2:7" x14ac:dyDescent="0.5">
      <c r="B599" s="30">
        <v>508</v>
      </c>
      <c r="C599" s="30" t="s">
        <v>1113</v>
      </c>
      <c r="D599" s="32">
        <v>44541</v>
      </c>
      <c r="E599" s="34">
        <v>4918360</v>
      </c>
      <c r="F599" s="30" t="str">
        <f t="shared" si="14"/>
        <v>40L to 50L</v>
      </c>
      <c r="G599" s="30" t="str">
        <f t="shared" si="15"/>
        <v>FY 21-22</v>
      </c>
    </row>
    <row r="600" spans="2:7" x14ac:dyDescent="0.5">
      <c r="B600" s="30">
        <v>509</v>
      </c>
      <c r="C600" s="30" t="s">
        <v>1115</v>
      </c>
      <c r="D600" s="32">
        <v>44544</v>
      </c>
      <c r="E600" s="34">
        <v>488690</v>
      </c>
      <c r="F600" s="30" t="str">
        <f t="shared" si="14"/>
        <v>Below 30L</v>
      </c>
      <c r="G600" s="30" t="str">
        <f t="shared" si="15"/>
        <v>FY 21-22</v>
      </c>
    </row>
    <row r="601" spans="2:7" x14ac:dyDescent="0.5">
      <c r="B601" s="30">
        <v>510</v>
      </c>
      <c r="C601" s="30" t="s">
        <v>1117</v>
      </c>
      <c r="D601" s="32">
        <v>44547</v>
      </c>
      <c r="E601" s="34">
        <v>415690</v>
      </c>
      <c r="F601" s="30" t="str">
        <f t="shared" si="14"/>
        <v>Below 30L</v>
      </c>
      <c r="G601" s="30" t="str">
        <f t="shared" si="15"/>
        <v>FY 21-22</v>
      </c>
    </row>
    <row r="602" spans="2:7" x14ac:dyDescent="0.5">
      <c r="B602" s="30">
        <v>511</v>
      </c>
      <c r="C602" s="30" t="s">
        <v>1119</v>
      </c>
      <c r="D602" s="32">
        <v>44548</v>
      </c>
      <c r="E602" s="34">
        <v>497220</v>
      </c>
      <c r="F602" s="30" t="str">
        <f t="shared" si="14"/>
        <v>Below 30L</v>
      </c>
      <c r="G602" s="30" t="str">
        <f t="shared" si="15"/>
        <v>FY 21-22</v>
      </c>
    </row>
    <row r="603" spans="2:7" x14ac:dyDescent="0.5">
      <c r="B603" s="30">
        <v>512</v>
      </c>
      <c r="C603" s="30" t="s">
        <v>1121</v>
      </c>
      <c r="D603" s="32">
        <v>44550</v>
      </c>
      <c r="E603" s="34">
        <v>273650</v>
      </c>
      <c r="F603" s="30" t="str">
        <f t="shared" si="14"/>
        <v>Below 30L</v>
      </c>
      <c r="G603" s="30" t="str">
        <f t="shared" si="15"/>
        <v>FY 21-22</v>
      </c>
    </row>
    <row r="604" spans="2:7" x14ac:dyDescent="0.5">
      <c r="B604" s="30">
        <v>513</v>
      </c>
      <c r="C604" s="30" t="s">
        <v>1123</v>
      </c>
      <c r="D604" s="32">
        <v>44550</v>
      </c>
      <c r="E604" s="34">
        <v>430300</v>
      </c>
      <c r="F604" s="30" t="str">
        <f t="shared" ref="F604:F667" si="16">IF(E604&lt;3000000,"Below 30L",IF(E604&lt;4000000,"30L to 40L",IF(E604&lt;5000000,"40L to 50L",IF(E604&gt;=5000000,"50L and above"))))</f>
        <v>Below 30L</v>
      </c>
      <c r="G604" s="30" t="str">
        <f t="shared" si="15"/>
        <v>FY 21-22</v>
      </c>
    </row>
    <row r="605" spans="2:7" x14ac:dyDescent="0.5">
      <c r="B605" s="30">
        <v>514</v>
      </c>
      <c r="C605" s="30" t="s">
        <v>1125</v>
      </c>
      <c r="D605" s="32">
        <v>44549</v>
      </c>
      <c r="E605" s="34">
        <v>4924520</v>
      </c>
      <c r="F605" s="30" t="str">
        <f t="shared" si="16"/>
        <v>40L to 50L</v>
      </c>
      <c r="G605" s="30" t="str">
        <f t="shared" ref="G605:G668" si="17">IF(AND(DATE(2021,4,1)&lt;=D605,D605&lt;=DATE(2022,3,31)),"FY 21-22","FY 20-21")</f>
        <v>FY 21-22</v>
      </c>
    </row>
    <row r="606" spans="2:7" x14ac:dyDescent="0.5">
      <c r="B606" s="30">
        <v>515</v>
      </c>
      <c r="C606" s="30" t="s">
        <v>1127</v>
      </c>
      <c r="D606" s="32">
        <v>44548</v>
      </c>
      <c r="E606" s="34">
        <v>4823470</v>
      </c>
      <c r="F606" s="30" t="str">
        <f t="shared" si="16"/>
        <v>40L to 50L</v>
      </c>
      <c r="G606" s="30" t="str">
        <f t="shared" si="17"/>
        <v>FY 21-22</v>
      </c>
    </row>
    <row r="607" spans="2:7" x14ac:dyDescent="0.5">
      <c r="B607" s="30">
        <v>516</v>
      </c>
      <c r="C607" s="30" t="s">
        <v>1129</v>
      </c>
      <c r="D607" s="32">
        <v>44551</v>
      </c>
      <c r="E607" s="34">
        <v>206810</v>
      </c>
      <c r="F607" s="30" t="str">
        <f t="shared" si="16"/>
        <v>Below 30L</v>
      </c>
      <c r="G607" s="30" t="str">
        <f t="shared" si="17"/>
        <v>FY 21-22</v>
      </c>
    </row>
    <row r="608" spans="2:7" x14ac:dyDescent="0.5">
      <c r="B608" s="30">
        <v>517</v>
      </c>
      <c r="C608" s="30" t="s">
        <v>1131</v>
      </c>
      <c r="D608" s="32">
        <v>44552</v>
      </c>
      <c r="E608" s="34">
        <v>434540</v>
      </c>
      <c r="F608" s="30" t="str">
        <f t="shared" si="16"/>
        <v>Below 30L</v>
      </c>
      <c r="G608" s="30" t="str">
        <f t="shared" si="17"/>
        <v>FY 21-22</v>
      </c>
    </row>
    <row r="609" spans="2:7" x14ac:dyDescent="0.5">
      <c r="B609" s="30">
        <v>518</v>
      </c>
      <c r="C609" s="30" t="s">
        <v>1133</v>
      </c>
      <c r="D609" s="32">
        <v>44552</v>
      </c>
      <c r="E609" s="34">
        <v>386590</v>
      </c>
      <c r="F609" s="30" t="str">
        <f t="shared" si="16"/>
        <v>Below 30L</v>
      </c>
      <c r="G609" s="30" t="str">
        <f t="shared" si="17"/>
        <v>FY 21-22</v>
      </c>
    </row>
    <row r="610" spans="2:7" x14ac:dyDescent="0.5">
      <c r="B610" s="30">
        <v>519</v>
      </c>
      <c r="C610" s="30" t="s">
        <v>1135</v>
      </c>
      <c r="D610" s="32">
        <v>44553</v>
      </c>
      <c r="E610" s="34">
        <v>250140</v>
      </c>
      <c r="F610" s="30" t="str">
        <f t="shared" si="16"/>
        <v>Below 30L</v>
      </c>
      <c r="G610" s="30" t="str">
        <f t="shared" si="17"/>
        <v>FY 21-22</v>
      </c>
    </row>
    <row r="611" spans="2:7" x14ac:dyDescent="0.5">
      <c r="B611" s="30">
        <v>520</v>
      </c>
      <c r="C611" s="30" t="s">
        <v>1137</v>
      </c>
      <c r="D611" s="32">
        <v>44557</v>
      </c>
      <c r="E611" s="34">
        <v>282660</v>
      </c>
      <c r="F611" s="30" t="str">
        <f t="shared" si="16"/>
        <v>Below 30L</v>
      </c>
      <c r="G611" s="30" t="str">
        <f t="shared" si="17"/>
        <v>FY 21-22</v>
      </c>
    </row>
    <row r="612" spans="2:7" x14ac:dyDescent="0.5">
      <c r="B612" s="30">
        <v>521</v>
      </c>
      <c r="C612" s="30" t="s">
        <v>1139</v>
      </c>
      <c r="D612" s="32">
        <v>44557</v>
      </c>
      <c r="E612" s="34">
        <v>501580</v>
      </c>
      <c r="F612" s="30" t="str">
        <f t="shared" si="16"/>
        <v>Below 30L</v>
      </c>
      <c r="G612" s="30" t="str">
        <f t="shared" si="17"/>
        <v>FY 21-22</v>
      </c>
    </row>
    <row r="613" spans="2:7" x14ac:dyDescent="0.5">
      <c r="B613" s="30">
        <v>522</v>
      </c>
      <c r="C613" s="30" t="s">
        <v>1141</v>
      </c>
      <c r="D613" s="32">
        <v>44558</v>
      </c>
      <c r="E613" s="34">
        <v>486120</v>
      </c>
      <c r="F613" s="30" t="str">
        <f t="shared" si="16"/>
        <v>Below 30L</v>
      </c>
      <c r="G613" s="30" t="str">
        <f t="shared" si="17"/>
        <v>FY 21-22</v>
      </c>
    </row>
    <row r="614" spans="2:7" x14ac:dyDescent="0.5">
      <c r="B614" s="30">
        <v>523</v>
      </c>
      <c r="C614" s="30" t="s">
        <v>1143</v>
      </c>
      <c r="D614" s="32">
        <v>44558</v>
      </c>
      <c r="E614" s="34">
        <v>448080</v>
      </c>
      <c r="F614" s="30" t="str">
        <f t="shared" si="16"/>
        <v>Below 30L</v>
      </c>
      <c r="G614" s="30" t="str">
        <f t="shared" si="17"/>
        <v>FY 21-22</v>
      </c>
    </row>
    <row r="615" spans="2:7" x14ac:dyDescent="0.5">
      <c r="B615" s="30">
        <v>524</v>
      </c>
      <c r="C615" s="30" t="s">
        <v>1145</v>
      </c>
      <c r="D615" s="32">
        <v>44563</v>
      </c>
      <c r="E615" s="34">
        <v>4363500</v>
      </c>
      <c r="F615" s="30" t="str">
        <f t="shared" si="16"/>
        <v>40L to 50L</v>
      </c>
      <c r="G615" s="30" t="str">
        <f t="shared" si="17"/>
        <v>FY 21-22</v>
      </c>
    </row>
    <row r="616" spans="2:7" x14ac:dyDescent="0.5">
      <c r="B616" s="30">
        <v>525</v>
      </c>
      <c r="C616" s="30" t="s">
        <v>1147</v>
      </c>
      <c r="D616" s="32">
        <v>44564</v>
      </c>
      <c r="E616" s="34">
        <v>210400</v>
      </c>
      <c r="F616" s="30" t="str">
        <f t="shared" si="16"/>
        <v>Below 30L</v>
      </c>
      <c r="G616" s="30" t="str">
        <f t="shared" si="17"/>
        <v>FY 21-22</v>
      </c>
    </row>
    <row r="617" spans="2:7" x14ac:dyDescent="0.5">
      <c r="B617" s="30">
        <v>526</v>
      </c>
      <c r="C617" s="30" t="s">
        <v>1149</v>
      </c>
      <c r="D617" s="32">
        <v>44567</v>
      </c>
      <c r="E617" s="34">
        <v>208970</v>
      </c>
      <c r="F617" s="30" t="str">
        <f t="shared" si="16"/>
        <v>Below 30L</v>
      </c>
      <c r="G617" s="30" t="str">
        <f t="shared" si="17"/>
        <v>FY 21-22</v>
      </c>
    </row>
    <row r="618" spans="2:7" x14ac:dyDescent="0.5">
      <c r="B618" s="30">
        <v>527</v>
      </c>
      <c r="C618" s="30" t="s">
        <v>1151</v>
      </c>
      <c r="D618" s="32">
        <v>44571</v>
      </c>
      <c r="E618" s="34">
        <v>338270</v>
      </c>
      <c r="F618" s="30" t="str">
        <f t="shared" si="16"/>
        <v>Below 30L</v>
      </c>
      <c r="G618" s="30" t="str">
        <f t="shared" si="17"/>
        <v>FY 21-22</v>
      </c>
    </row>
    <row r="619" spans="2:7" x14ac:dyDescent="0.5">
      <c r="B619" s="30">
        <v>528</v>
      </c>
      <c r="C619" s="30" t="s">
        <v>1153</v>
      </c>
      <c r="D619" s="32">
        <v>44571</v>
      </c>
      <c r="E619" s="34">
        <v>373910</v>
      </c>
      <c r="F619" s="30" t="str">
        <f t="shared" si="16"/>
        <v>Below 30L</v>
      </c>
      <c r="G619" s="30" t="str">
        <f t="shared" si="17"/>
        <v>FY 21-22</v>
      </c>
    </row>
    <row r="620" spans="2:7" x14ac:dyDescent="0.5">
      <c r="B620" s="30">
        <v>529</v>
      </c>
      <c r="C620" s="30" t="s">
        <v>1155</v>
      </c>
      <c r="D620" s="32">
        <v>44571</v>
      </c>
      <c r="E620" s="34">
        <v>462870</v>
      </c>
      <c r="F620" s="30" t="str">
        <f t="shared" si="16"/>
        <v>Below 30L</v>
      </c>
      <c r="G620" s="30" t="str">
        <f t="shared" si="17"/>
        <v>FY 21-22</v>
      </c>
    </row>
    <row r="621" spans="2:7" x14ac:dyDescent="0.5">
      <c r="B621" s="30">
        <v>530</v>
      </c>
      <c r="C621" s="30" t="s">
        <v>1157</v>
      </c>
      <c r="D621" s="32">
        <v>44572</v>
      </c>
      <c r="E621" s="34">
        <v>352840</v>
      </c>
      <c r="F621" s="30" t="str">
        <f t="shared" si="16"/>
        <v>Below 30L</v>
      </c>
      <c r="G621" s="30" t="str">
        <f t="shared" si="17"/>
        <v>FY 21-22</v>
      </c>
    </row>
    <row r="622" spans="2:7" x14ac:dyDescent="0.5">
      <c r="B622" s="30">
        <v>531</v>
      </c>
      <c r="C622" s="30" t="s">
        <v>1159</v>
      </c>
      <c r="D622" s="32">
        <v>44572</v>
      </c>
      <c r="E622" s="34">
        <v>303440</v>
      </c>
      <c r="F622" s="30" t="str">
        <f t="shared" si="16"/>
        <v>Below 30L</v>
      </c>
      <c r="G622" s="30" t="str">
        <f t="shared" si="17"/>
        <v>FY 21-22</v>
      </c>
    </row>
    <row r="623" spans="2:7" x14ac:dyDescent="0.5">
      <c r="B623" s="30">
        <v>532</v>
      </c>
      <c r="C623" s="30" t="s">
        <v>1161</v>
      </c>
      <c r="D623" s="32">
        <v>44573</v>
      </c>
      <c r="E623" s="34">
        <v>492290</v>
      </c>
      <c r="F623" s="30" t="str">
        <f t="shared" si="16"/>
        <v>Below 30L</v>
      </c>
      <c r="G623" s="30" t="str">
        <f t="shared" si="17"/>
        <v>FY 21-22</v>
      </c>
    </row>
    <row r="624" spans="2:7" x14ac:dyDescent="0.5">
      <c r="B624" s="30">
        <v>533</v>
      </c>
      <c r="C624" s="30" t="s">
        <v>1163</v>
      </c>
      <c r="D624" s="32">
        <v>44573</v>
      </c>
      <c r="E624" s="34">
        <v>307090</v>
      </c>
      <c r="F624" s="30" t="str">
        <f t="shared" si="16"/>
        <v>Below 30L</v>
      </c>
      <c r="G624" s="30" t="str">
        <f t="shared" si="17"/>
        <v>FY 21-22</v>
      </c>
    </row>
    <row r="625" spans="2:7" x14ac:dyDescent="0.5">
      <c r="B625" s="30">
        <v>534</v>
      </c>
      <c r="C625" s="30" t="s">
        <v>1165</v>
      </c>
      <c r="D625" s="32">
        <v>44577</v>
      </c>
      <c r="E625" s="34">
        <v>4847720</v>
      </c>
      <c r="F625" s="30" t="str">
        <f t="shared" si="16"/>
        <v>40L to 50L</v>
      </c>
      <c r="G625" s="30" t="str">
        <f t="shared" si="17"/>
        <v>FY 21-22</v>
      </c>
    </row>
    <row r="626" spans="2:7" x14ac:dyDescent="0.5">
      <c r="B626" s="30">
        <v>535</v>
      </c>
      <c r="C626" s="30" t="s">
        <v>1167</v>
      </c>
      <c r="D626" s="32">
        <v>44574</v>
      </c>
      <c r="E626" s="34">
        <v>434150</v>
      </c>
      <c r="F626" s="30" t="str">
        <f t="shared" si="16"/>
        <v>Below 30L</v>
      </c>
      <c r="G626" s="30" t="str">
        <f t="shared" si="17"/>
        <v>FY 21-22</v>
      </c>
    </row>
    <row r="627" spans="2:7" x14ac:dyDescent="0.5">
      <c r="B627" s="30">
        <v>536</v>
      </c>
      <c r="C627" s="30" t="s">
        <v>1169</v>
      </c>
      <c r="D627" s="32">
        <v>44575</v>
      </c>
      <c r="E627" s="34">
        <v>220400</v>
      </c>
      <c r="F627" s="30" t="str">
        <f t="shared" si="16"/>
        <v>Below 30L</v>
      </c>
      <c r="G627" s="30" t="str">
        <f t="shared" si="17"/>
        <v>FY 21-22</v>
      </c>
    </row>
    <row r="628" spans="2:7" x14ac:dyDescent="0.5">
      <c r="B628" s="30">
        <v>537</v>
      </c>
      <c r="C628" s="30" t="s">
        <v>1171</v>
      </c>
      <c r="D628" s="32">
        <v>44576</v>
      </c>
      <c r="E628" s="34">
        <v>35350</v>
      </c>
      <c r="F628" s="30" t="str">
        <f t="shared" si="16"/>
        <v>Below 30L</v>
      </c>
      <c r="G628" s="30" t="str">
        <f t="shared" si="17"/>
        <v>FY 21-22</v>
      </c>
    </row>
    <row r="629" spans="2:7" x14ac:dyDescent="0.5">
      <c r="B629" s="30">
        <v>538</v>
      </c>
      <c r="C629" s="30" t="s">
        <v>1173</v>
      </c>
      <c r="D629" s="32">
        <v>44578</v>
      </c>
      <c r="E629" s="34">
        <v>461940</v>
      </c>
      <c r="F629" s="30" t="str">
        <f t="shared" si="16"/>
        <v>Below 30L</v>
      </c>
      <c r="G629" s="30" t="str">
        <f t="shared" si="17"/>
        <v>FY 21-22</v>
      </c>
    </row>
    <row r="630" spans="2:7" x14ac:dyDescent="0.5">
      <c r="B630" s="30">
        <v>539</v>
      </c>
      <c r="C630" s="30" t="s">
        <v>1175</v>
      </c>
      <c r="D630" s="32">
        <v>44578</v>
      </c>
      <c r="E630" s="34">
        <v>36930</v>
      </c>
      <c r="F630" s="30" t="str">
        <f t="shared" si="16"/>
        <v>Below 30L</v>
      </c>
      <c r="G630" s="30" t="str">
        <f t="shared" si="17"/>
        <v>FY 21-22</v>
      </c>
    </row>
    <row r="631" spans="2:7" x14ac:dyDescent="0.5">
      <c r="B631" s="30">
        <v>540</v>
      </c>
      <c r="C631" s="30" t="s">
        <v>1177</v>
      </c>
      <c r="D631" s="32">
        <v>44583</v>
      </c>
      <c r="E631" s="34">
        <v>4651520</v>
      </c>
      <c r="F631" s="30" t="str">
        <f t="shared" si="16"/>
        <v>40L to 50L</v>
      </c>
      <c r="G631" s="30" t="str">
        <f t="shared" si="17"/>
        <v>FY 21-22</v>
      </c>
    </row>
    <row r="632" spans="2:7" x14ac:dyDescent="0.5">
      <c r="B632" s="30">
        <v>541</v>
      </c>
      <c r="C632" s="30" t="s">
        <v>1179</v>
      </c>
      <c r="D632" s="32">
        <v>44580</v>
      </c>
      <c r="E632" s="34">
        <v>23120</v>
      </c>
      <c r="F632" s="30" t="str">
        <f t="shared" si="16"/>
        <v>Below 30L</v>
      </c>
      <c r="G632" s="30" t="str">
        <f t="shared" si="17"/>
        <v>FY 21-22</v>
      </c>
    </row>
    <row r="633" spans="2:7" x14ac:dyDescent="0.5">
      <c r="B633" s="30">
        <v>542</v>
      </c>
      <c r="C633" s="30" t="s">
        <v>1181</v>
      </c>
      <c r="D633" s="32">
        <v>44581</v>
      </c>
      <c r="E633" s="34">
        <v>427480</v>
      </c>
      <c r="F633" s="30" t="str">
        <f t="shared" si="16"/>
        <v>Below 30L</v>
      </c>
      <c r="G633" s="30" t="str">
        <f t="shared" si="17"/>
        <v>FY 21-22</v>
      </c>
    </row>
    <row r="634" spans="2:7" x14ac:dyDescent="0.5">
      <c r="B634" s="30">
        <v>543</v>
      </c>
      <c r="C634" s="30" t="s">
        <v>1183</v>
      </c>
      <c r="D634" s="32">
        <v>44581</v>
      </c>
      <c r="E634" s="34">
        <v>29260</v>
      </c>
      <c r="F634" s="30" t="str">
        <f t="shared" si="16"/>
        <v>Below 30L</v>
      </c>
      <c r="G634" s="30" t="str">
        <f t="shared" si="17"/>
        <v>FY 21-22</v>
      </c>
    </row>
    <row r="635" spans="2:7" x14ac:dyDescent="0.5">
      <c r="B635" s="30">
        <v>544</v>
      </c>
      <c r="C635" s="30" t="s">
        <v>1185</v>
      </c>
      <c r="D635" s="32">
        <v>44581</v>
      </c>
      <c r="E635" s="34">
        <v>6181180</v>
      </c>
      <c r="F635" s="30" t="str">
        <f t="shared" si="16"/>
        <v>50L and above</v>
      </c>
      <c r="G635" s="30" t="str">
        <f t="shared" si="17"/>
        <v>FY 21-22</v>
      </c>
    </row>
    <row r="636" spans="2:7" x14ac:dyDescent="0.5">
      <c r="B636" s="30">
        <v>545</v>
      </c>
      <c r="C636" s="30" t="s">
        <v>1187</v>
      </c>
      <c r="D636" s="32">
        <v>44583</v>
      </c>
      <c r="E636" s="34">
        <v>41050</v>
      </c>
      <c r="F636" s="30" t="str">
        <f t="shared" si="16"/>
        <v>Below 30L</v>
      </c>
      <c r="G636" s="30" t="str">
        <f t="shared" si="17"/>
        <v>FY 21-22</v>
      </c>
    </row>
    <row r="637" spans="2:7" x14ac:dyDescent="0.5">
      <c r="B637" s="30">
        <v>546</v>
      </c>
      <c r="C637" s="30" t="s">
        <v>1189</v>
      </c>
      <c r="D637" s="32">
        <v>44583</v>
      </c>
      <c r="E637" s="34">
        <v>470540</v>
      </c>
      <c r="F637" s="30" t="str">
        <f t="shared" si="16"/>
        <v>Below 30L</v>
      </c>
      <c r="G637" s="30" t="str">
        <f t="shared" si="17"/>
        <v>FY 21-22</v>
      </c>
    </row>
    <row r="638" spans="2:7" x14ac:dyDescent="0.5">
      <c r="B638" s="30">
        <v>547</v>
      </c>
      <c r="C638" s="30" t="s">
        <v>1191</v>
      </c>
      <c r="D638" s="32">
        <v>44585</v>
      </c>
      <c r="E638" s="34">
        <v>37310</v>
      </c>
      <c r="F638" s="30" t="str">
        <f t="shared" si="16"/>
        <v>Below 30L</v>
      </c>
      <c r="G638" s="30" t="str">
        <f t="shared" si="17"/>
        <v>FY 21-22</v>
      </c>
    </row>
    <row r="639" spans="2:7" x14ac:dyDescent="0.5">
      <c r="B639" s="30">
        <v>548</v>
      </c>
      <c r="C639" s="30" t="s">
        <v>1193</v>
      </c>
      <c r="D639" s="32">
        <v>44586</v>
      </c>
      <c r="E639" s="34">
        <v>4724620</v>
      </c>
      <c r="F639" s="30" t="str">
        <f t="shared" si="16"/>
        <v>40L to 50L</v>
      </c>
      <c r="G639" s="30" t="str">
        <f t="shared" si="17"/>
        <v>FY 21-22</v>
      </c>
    </row>
    <row r="640" spans="2:7" x14ac:dyDescent="0.5">
      <c r="B640" s="30">
        <v>549</v>
      </c>
      <c r="C640" s="30" t="s">
        <v>1195</v>
      </c>
      <c r="D640" s="32">
        <v>44586</v>
      </c>
      <c r="E640" s="34">
        <v>33250</v>
      </c>
      <c r="F640" s="30" t="str">
        <f t="shared" si="16"/>
        <v>Below 30L</v>
      </c>
      <c r="G640" s="30" t="str">
        <f t="shared" si="17"/>
        <v>FY 21-22</v>
      </c>
    </row>
    <row r="641" spans="2:7" x14ac:dyDescent="0.5">
      <c r="B641" s="30">
        <v>550</v>
      </c>
      <c r="C641" s="30" t="s">
        <v>1197</v>
      </c>
      <c r="D641" s="32">
        <v>44587</v>
      </c>
      <c r="E641" s="34">
        <v>41260</v>
      </c>
      <c r="F641" s="30" t="str">
        <f t="shared" si="16"/>
        <v>Below 30L</v>
      </c>
      <c r="G641" s="30" t="str">
        <f t="shared" si="17"/>
        <v>FY 21-22</v>
      </c>
    </row>
    <row r="642" spans="2:7" x14ac:dyDescent="0.5">
      <c r="B642" s="30">
        <v>551</v>
      </c>
      <c r="C642" s="30" t="s">
        <v>1199</v>
      </c>
      <c r="D642" s="32">
        <v>44588</v>
      </c>
      <c r="E642" s="34">
        <v>375630</v>
      </c>
      <c r="F642" s="30" t="str">
        <f t="shared" si="16"/>
        <v>Below 30L</v>
      </c>
      <c r="G642" s="30" t="str">
        <f t="shared" si="17"/>
        <v>FY 21-22</v>
      </c>
    </row>
    <row r="643" spans="2:7" x14ac:dyDescent="0.5">
      <c r="B643" s="30">
        <v>552</v>
      </c>
      <c r="C643" s="30" t="s">
        <v>1201</v>
      </c>
      <c r="D643" s="32">
        <v>44589</v>
      </c>
      <c r="E643" s="34">
        <v>258730</v>
      </c>
      <c r="F643" s="30" t="str">
        <f t="shared" si="16"/>
        <v>Below 30L</v>
      </c>
      <c r="G643" s="30" t="str">
        <f t="shared" si="17"/>
        <v>FY 21-22</v>
      </c>
    </row>
    <row r="644" spans="2:7" x14ac:dyDescent="0.5">
      <c r="B644" s="30">
        <v>553</v>
      </c>
      <c r="C644" s="30" t="s">
        <v>1203</v>
      </c>
      <c r="D644" s="32">
        <v>44590</v>
      </c>
      <c r="E644" s="34">
        <v>474250</v>
      </c>
      <c r="F644" s="30" t="str">
        <f t="shared" si="16"/>
        <v>Below 30L</v>
      </c>
      <c r="G644" s="30" t="str">
        <f t="shared" si="17"/>
        <v>FY 21-22</v>
      </c>
    </row>
    <row r="645" spans="2:7" x14ac:dyDescent="0.5">
      <c r="B645" s="30">
        <v>554</v>
      </c>
      <c r="C645" s="30" t="s">
        <v>1205</v>
      </c>
      <c r="D645" s="32">
        <v>44592</v>
      </c>
      <c r="E645" s="34">
        <v>469070</v>
      </c>
      <c r="F645" s="30" t="str">
        <f t="shared" si="16"/>
        <v>Below 30L</v>
      </c>
      <c r="G645" s="30" t="str">
        <f t="shared" si="17"/>
        <v>FY 21-22</v>
      </c>
    </row>
    <row r="646" spans="2:7" x14ac:dyDescent="0.5">
      <c r="B646" s="30">
        <v>555</v>
      </c>
      <c r="C646" s="30" t="s">
        <v>1207</v>
      </c>
      <c r="D646" s="32">
        <v>44592</v>
      </c>
      <c r="E646" s="34">
        <v>374000</v>
      </c>
      <c r="F646" s="30" t="str">
        <f t="shared" si="16"/>
        <v>Below 30L</v>
      </c>
      <c r="G646" s="30" t="str">
        <f t="shared" si="17"/>
        <v>FY 21-22</v>
      </c>
    </row>
    <row r="647" spans="2:7" x14ac:dyDescent="0.5">
      <c r="B647" s="30">
        <v>556</v>
      </c>
      <c r="C647" s="30" t="s">
        <v>1209</v>
      </c>
      <c r="D647" s="32">
        <v>44594</v>
      </c>
      <c r="E647" s="34">
        <v>309640</v>
      </c>
      <c r="F647" s="30" t="str">
        <f t="shared" si="16"/>
        <v>Below 30L</v>
      </c>
      <c r="G647" s="30" t="str">
        <f t="shared" si="17"/>
        <v>FY 21-22</v>
      </c>
    </row>
    <row r="648" spans="2:7" x14ac:dyDescent="0.5">
      <c r="B648" s="30">
        <v>557</v>
      </c>
      <c r="C648" s="30" t="s">
        <v>1211</v>
      </c>
      <c r="D648" s="32">
        <v>44594</v>
      </c>
      <c r="E648" s="34">
        <v>334090</v>
      </c>
      <c r="F648" s="30" t="str">
        <f t="shared" si="16"/>
        <v>Below 30L</v>
      </c>
      <c r="G648" s="30" t="str">
        <f t="shared" si="17"/>
        <v>FY 21-22</v>
      </c>
    </row>
    <row r="649" spans="2:7" x14ac:dyDescent="0.5">
      <c r="B649" s="30">
        <v>558</v>
      </c>
      <c r="C649" s="30" t="s">
        <v>1213</v>
      </c>
      <c r="D649" s="32">
        <v>44595</v>
      </c>
      <c r="E649" s="34">
        <v>390070</v>
      </c>
      <c r="F649" s="30" t="str">
        <f t="shared" si="16"/>
        <v>Below 30L</v>
      </c>
      <c r="G649" s="30" t="str">
        <f t="shared" si="17"/>
        <v>FY 21-22</v>
      </c>
    </row>
    <row r="650" spans="2:7" x14ac:dyDescent="0.5">
      <c r="B650" s="30">
        <v>559</v>
      </c>
      <c r="C650" s="30" t="s">
        <v>1215</v>
      </c>
      <c r="D650" s="32">
        <v>44596</v>
      </c>
      <c r="E650" s="34">
        <v>493930</v>
      </c>
      <c r="F650" s="30" t="str">
        <f t="shared" si="16"/>
        <v>Below 30L</v>
      </c>
      <c r="G650" s="30" t="str">
        <f t="shared" si="17"/>
        <v>FY 21-22</v>
      </c>
    </row>
    <row r="651" spans="2:7" x14ac:dyDescent="0.5">
      <c r="B651" s="30">
        <v>560</v>
      </c>
      <c r="C651" s="30" t="s">
        <v>1217</v>
      </c>
      <c r="D651" s="32">
        <v>44596</v>
      </c>
      <c r="E651" s="34">
        <v>331430</v>
      </c>
      <c r="F651" s="30" t="str">
        <f t="shared" si="16"/>
        <v>Below 30L</v>
      </c>
      <c r="G651" s="30" t="str">
        <f t="shared" si="17"/>
        <v>FY 21-22</v>
      </c>
    </row>
    <row r="652" spans="2:7" x14ac:dyDescent="0.5">
      <c r="B652" s="30">
        <v>561</v>
      </c>
      <c r="C652" s="30" t="s">
        <v>1219</v>
      </c>
      <c r="D652" s="32">
        <v>44599</v>
      </c>
      <c r="E652" s="34">
        <v>214780</v>
      </c>
      <c r="F652" s="30" t="str">
        <f t="shared" si="16"/>
        <v>Below 30L</v>
      </c>
      <c r="G652" s="30" t="str">
        <f t="shared" si="17"/>
        <v>FY 21-22</v>
      </c>
    </row>
    <row r="653" spans="2:7" x14ac:dyDescent="0.5">
      <c r="B653" s="30">
        <v>562</v>
      </c>
      <c r="C653" s="30" t="s">
        <v>1221</v>
      </c>
      <c r="D653" s="32">
        <v>44599</v>
      </c>
      <c r="E653" s="34">
        <v>391210</v>
      </c>
      <c r="F653" s="30" t="str">
        <f t="shared" si="16"/>
        <v>Below 30L</v>
      </c>
      <c r="G653" s="30" t="str">
        <f t="shared" si="17"/>
        <v>FY 21-22</v>
      </c>
    </row>
    <row r="654" spans="2:7" x14ac:dyDescent="0.5">
      <c r="B654" s="30">
        <v>563</v>
      </c>
      <c r="C654" s="30" t="s">
        <v>1223</v>
      </c>
      <c r="D654" s="32">
        <v>44600</v>
      </c>
      <c r="E654" s="34">
        <v>375580</v>
      </c>
      <c r="F654" s="30" t="str">
        <f t="shared" si="16"/>
        <v>Below 30L</v>
      </c>
      <c r="G654" s="30" t="str">
        <f t="shared" si="17"/>
        <v>FY 21-22</v>
      </c>
    </row>
    <row r="655" spans="2:7" x14ac:dyDescent="0.5">
      <c r="B655" s="30">
        <v>564</v>
      </c>
      <c r="C655" s="30" t="s">
        <v>1225</v>
      </c>
      <c r="D655" s="32">
        <v>44602</v>
      </c>
      <c r="E655" s="34">
        <v>42400</v>
      </c>
      <c r="F655" s="30" t="str">
        <f t="shared" si="16"/>
        <v>Below 30L</v>
      </c>
      <c r="G655" s="30" t="str">
        <f t="shared" si="17"/>
        <v>FY 21-22</v>
      </c>
    </row>
    <row r="656" spans="2:7" x14ac:dyDescent="0.5">
      <c r="B656" s="30">
        <v>565</v>
      </c>
      <c r="C656" s="30" t="s">
        <v>1227</v>
      </c>
      <c r="D656" s="32">
        <v>44604</v>
      </c>
      <c r="E656" s="34">
        <v>36250</v>
      </c>
      <c r="F656" s="30" t="str">
        <f t="shared" si="16"/>
        <v>Below 30L</v>
      </c>
      <c r="G656" s="30" t="str">
        <f t="shared" si="17"/>
        <v>FY 21-22</v>
      </c>
    </row>
    <row r="657" spans="2:7" x14ac:dyDescent="0.5">
      <c r="B657" s="30">
        <v>566</v>
      </c>
      <c r="C657" s="30" t="s">
        <v>1229</v>
      </c>
      <c r="D657" s="32">
        <v>44604</v>
      </c>
      <c r="E657" s="34">
        <v>36140</v>
      </c>
      <c r="F657" s="30" t="str">
        <f t="shared" si="16"/>
        <v>Below 30L</v>
      </c>
      <c r="G657" s="30" t="str">
        <f t="shared" si="17"/>
        <v>FY 21-22</v>
      </c>
    </row>
    <row r="658" spans="2:7" x14ac:dyDescent="0.5">
      <c r="B658" s="30">
        <v>567</v>
      </c>
      <c r="C658" s="30" t="s">
        <v>1231</v>
      </c>
      <c r="D658" s="32">
        <v>44606</v>
      </c>
      <c r="E658" s="34">
        <v>49630</v>
      </c>
      <c r="F658" s="30" t="str">
        <f t="shared" si="16"/>
        <v>Below 30L</v>
      </c>
      <c r="G658" s="30" t="str">
        <f t="shared" si="17"/>
        <v>FY 21-22</v>
      </c>
    </row>
    <row r="659" spans="2:7" x14ac:dyDescent="0.5">
      <c r="B659" s="30">
        <v>568</v>
      </c>
      <c r="C659" s="30" t="s">
        <v>1233</v>
      </c>
      <c r="D659" s="32">
        <v>44607</v>
      </c>
      <c r="E659" s="34">
        <v>37690</v>
      </c>
      <c r="F659" s="30" t="str">
        <f t="shared" si="16"/>
        <v>Below 30L</v>
      </c>
      <c r="G659" s="30" t="str">
        <f t="shared" si="17"/>
        <v>FY 21-22</v>
      </c>
    </row>
    <row r="660" spans="2:7" x14ac:dyDescent="0.5">
      <c r="B660" s="30">
        <v>569</v>
      </c>
      <c r="C660" s="30" t="s">
        <v>1235</v>
      </c>
      <c r="D660" s="32">
        <v>44607</v>
      </c>
      <c r="E660" s="34">
        <v>28720</v>
      </c>
      <c r="F660" s="30" t="str">
        <f t="shared" si="16"/>
        <v>Below 30L</v>
      </c>
      <c r="G660" s="30" t="str">
        <f t="shared" si="17"/>
        <v>FY 21-22</v>
      </c>
    </row>
    <row r="661" spans="2:7" x14ac:dyDescent="0.5">
      <c r="B661" s="30">
        <v>570</v>
      </c>
      <c r="C661" s="30" t="s">
        <v>1237</v>
      </c>
      <c r="D661" s="32">
        <v>44608</v>
      </c>
      <c r="E661" s="34">
        <v>28380</v>
      </c>
      <c r="F661" s="30" t="str">
        <f t="shared" si="16"/>
        <v>Below 30L</v>
      </c>
      <c r="G661" s="30" t="str">
        <f t="shared" si="17"/>
        <v>FY 21-22</v>
      </c>
    </row>
    <row r="662" spans="2:7" x14ac:dyDescent="0.5">
      <c r="B662" s="30">
        <v>571</v>
      </c>
      <c r="C662" s="30" t="s">
        <v>1239</v>
      </c>
      <c r="D662" s="32">
        <v>44610</v>
      </c>
      <c r="E662" s="34">
        <v>25650</v>
      </c>
      <c r="F662" s="30" t="str">
        <f t="shared" si="16"/>
        <v>Below 30L</v>
      </c>
      <c r="G662" s="30" t="str">
        <f t="shared" si="17"/>
        <v>FY 21-22</v>
      </c>
    </row>
    <row r="663" spans="2:7" x14ac:dyDescent="0.5">
      <c r="B663" s="30">
        <v>572</v>
      </c>
      <c r="C663" s="30" t="s">
        <v>1241</v>
      </c>
      <c r="D663" s="32">
        <v>44610</v>
      </c>
      <c r="E663" s="34">
        <v>40930</v>
      </c>
      <c r="F663" s="30" t="str">
        <f t="shared" si="16"/>
        <v>Below 30L</v>
      </c>
      <c r="G663" s="30" t="str">
        <f t="shared" si="17"/>
        <v>FY 21-22</v>
      </c>
    </row>
    <row r="664" spans="2:7" x14ac:dyDescent="0.5">
      <c r="B664" s="30">
        <v>573</v>
      </c>
      <c r="C664" s="30" t="s">
        <v>1243</v>
      </c>
      <c r="D664" s="32">
        <v>44611</v>
      </c>
      <c r="E664" s="34">
        <v>29840</v>
      </c>
      <c r="F664" s="30" t="str">
        <f t="shared" si="16"/>
        <v>Below 30L</v>
      </c>
      <c r="G664" s="30" t="str">
        <f t="shared" si="17"/>
        <v>FY 21-22</v>
      </c>
    </row>
    <row r="665" spans="2:7" x14ac:dyDescent="0.5">
      <c r="B665" s="30">
        <v>574</v>
      </c>
      <c r="C665" s="30" t="s">
        <v>1245</v>
      </c>
      <c r="D665" s="32">
        <v>44613</v>
      </c>
      <c r="E665" s="34">
        <v>328880</v>
      </c>
      <c r="F665" s="30" t="str">
        <f t="shared" si="16"/>
        <v>Below 30L</v>
      </c>
      <c r="G665" s="30" t="str">
        <f t="shared" si="17"/>
        <v>FY 21-22</v>
      </c>
    </row>
    <row r="666" spans="2:7" x14ac:dyDescent="0.5">
      <c r="B666" s="30">
        <v>575</v>
      </c>
      <c r="C666" s="30" t="s">
        <v>1247</v>
      </c>
      <c r="D666" s="32">
        <v>44613</v>
      </c>
      <c r="E666" s="34">
        <v>4474800</v>
      </c>
      <c r="F666" s="30" t="str">
        <f t="shared" si="16"/>
        <v>40L to 50L</v>
      </c>
      <c r="G666" s="30" t="str">
        <f t="shared" si="17"/>
        <v>FY 21-22</v>
      </c>
    </row>
    <row r="667" spans="2:7" x14ac:dyDescent="0.5">
      <c r="B667" s="30">
        <v>576</v>
      </c>
      <c r="C667" s="30" t="s">
        <v>1249</v>
      </c>
      <c r="D667" s="32">
        <v>44616</v>
      </c>
      <c r="E667" s="34">
        <v>226040</v>
      </c>
      <c r="F667" s="30" t="str">
        <f t="shared" si="16"/>
        <v>Below 30L</v>
      </c>
      <c r="G667" s="30" t="str">
        <f t="shared" si="17"/>
        <v>FY 21-22</v>
      </c>
    </row>
    <row r="668" spans="2:7" x14ac:dyDescent="0.5">
      <c r="B668" s="30">
        <v>577</v>
      </c>
      <c r="C668" s="30" t="s">
        <v>1251</v>
      </c>
      <c r="D668" s="32">
        <v>44616</v>
      </c>
      <c r="E668" s="34">
        <v>287210</v>
      </c>
      <c r="F668" s="30" t="str">
        <f t="shared" ref="F668:F691" si="18">IF(E668&lt;3000000,"Below 30L",IF(E668&lt;4000000,"30L to 40L",IF(E668&lt;5000000,"40L to 50L",IF(E668&gt;=5000000,"50L and above"))))</f>
        <v>Below 30L</v>
      </c>
      <c r="G668" s="30" t="str">
        <f t="shared" si="17"/>
        <v>FY 21-22</v>
      </c>
    </row>
    <row r="669" spans="2:7" x14ac:dyDescent="0.5">
      <c r="B669" s="30">
        <v>578</v>
      </c>
      <c r="C669" s="30" t="s">
        <v>1253</v>
      </c>
      <c r="D669" s="32">
        <v>44618</v>
      </c>
      <c r="E669" s="34">
        <v>44400</v>
      </c>
      <c r="F669" s="30" t="str">
        <f t="shared" si="18"/>
        <v>Below 30L</v>
      </c>
      <c r="G669" s="30" t="str">
        <f t="shared" ref="G669:G691" si="19">IF(AND(DATE(2021,4,1)&lt;=D669,D669&lt;=DATE(2022,3,31)),"FY 21-22","FY 20-21")</f>
        <v>FY 21-22</v>
      </c>
    </row>
    <row r="670" spans="2:7" x14ac:dyDescent="0.5">
      <c r="B670" s="30">
        <v>579</v>
      </c>
      <c r="C670" s="30" t="s">
        <v>1255</v>
      </c>
      <c r="D670" s="32">
        <v>44620</v>
      </c>
      <c r="E670" s="34">
        <v>364910</v>
      </c>
      <c r="F670" s="30" t="str">
        <f t="shared" si="18"/>
        <v>Below 30L</v>
      </c>
      <c r="G670" s="30" t="str">
        <f t="shared" si="19"/>
        <v>FY 21-22</v>
      </c>
    </row>
    <row r="671" spans="2:7" x14ac:dyDescent="0.5">
      <c r="B671" s="30">
        <v>580</v>
      </c>
      <c r="C671" s="30" t="s">
        <v>1257</v>
      </c>
      <c r="D671" s="32">
        <v>44620</v>
      </c>
      <c r="E671" s="34">
        <v>372850</v>
      </c>
      <c r="F671" s="30" t="str">
        <f t="shared" si="18"/>
        <v>Below 30L</v>
      </c>
      <c r="G671" s="30" t="str">
        <f t="shared" si="19"/>
        <v>FY 21-22</v>
      </c>
    </row>
    <row r="672" spans="2:7" x14ac:dyDescent="0.5">
      <c r="B672" s="30">
        <v>581</v>
      </c>
      <c r="C672" s="30" t="s">
        <v>1259</v>
      </c>
      <c r="D672" s="32">
        <v>44620</v>
      </c>
      <c r="E672" s="34">
        <v>2734330</v>
      </c>
      <c r="F672" s="30" t="str">
        <f t="shared" si="18"/>
        <v>Below 30L</v>
      </c>
      <c r="G672" s="30" t="str">
        <f t="shared" si="19"/>
        <v>FY 21-22</v>
      </c>
    </row>
    <row r="673" spans="2:7" x14ac:dyDescent="0.5">
      <c r="B673" s="30">
        <v>582</v>
      </c>
      <c r="C673" s="30" t="s">
        <v>1261</v>
      </c>
      <c r="D673" s="32">
        <v>44620</v>
      </c>
      <c r="E673" s="34">
        <v>252560</v>
      </c>
      <c r="F673" s="30" t="str">
        <f t="shared" si="18"/>
        <v>Below 30L</v>
      </c>
      <c r="G673" s="30" t="str">
        <f t="shared" si="19"/>
        <v>FY 21-22</v>
      </c>
    </row>
    <row r="674" spans="2:7" x14ac:dyDescent="0.5">
      <c r="B674" s="30">
        <v>583</v>
      </c>
      <c r="C674" s="30" t="s">
        <v>1263</v>
      </c>
      <c r="D674" s="32">
        <v>44620</v>
      </c>
      <c r="E674" s="34">
        <v>464250</v>
      </c>
      <c r="F674" s="30" t="str">
        <f t="shared" si="18"/>
        <v>Below 30L</v>
      </c>
      <c r="G674" s="30" t="str">
        <f t="shared" si="19"/>
        <v>FY 21-22</v>
      </c>
    </row>
    <row r="675" spans="2:7" x14ac:dyDescent="0.5">
      <c r="B675" s="30">
        <v>584</v>
      </c>
      <c r="C675" s="30" t="s">
        <v>1265</v>
      </c>
      <c r="D675" s="32">
        <v>44622</v>
      </c>
      <c r="E675" s="34">
        <v>314240</v>
      </c>
      <c r="F675" s="30" t="str">
        <f t="shared" si="18"/>
        <v>Below 30L</v>
      </c>
      <c r="G675" s="30" t="str">
        <f t="shared" si="19"/>
        <v>FY 21-22</v>
      </c>
    </row>
    <row r="676" spans="2:7" x14ac:dyDescent="0.5">
      <c r="B676" s="30">
        <v>585</v>
      </c>
      <c r="C676" s="30" t="s">
        <v>1267</v>
      </c>
      <c r="D676" s="32">
        <v>44623</v>
      </c>
      <c r="E676" s="34">
        <v>400060</v>
      </c>
      <c r="F676" s="30" t="str">
        <f t="shared" si="18"/>
        <v>Below 30L</v>
      </c>
      <c r="G676" s="30" t="str">
        <f t="shared" si="19"/>
        <v>FY 21-22</v>
      </c>
    </row>
    <row r="677" spans="2:7" x14ac:dyDescent="0.5">
      <c r="B677" s="30">
        <v>586</v>
      </c>
      <c r="C677" s="30" t="s">
        <v>1269</v>
      </c>
      <c r="D677" s="32">
        <v>44624</v>
      </c>
      <c r="E677" s="34">
        <v>353670</v>
      </c>
      <c r="F677" s="30" t="str">
        <f t="shared" si="18"/>
        <v>Below 30L</v>
      </c>
      <c r="G677" s="30" t="str">
        <f t="shared" si="19"/>
        <v>FY 21-22</v>
      </c>
    </row>
    <row r="678" spans="2:7" x14ac:dyDescent="0.5">
      <c r="B678" s="30">
        <v>587</v>
      </c>
      <c r="C678" s="30" t="s">
        <v>1271</v>
      </c>
      <c r="D678" s="32">
        <v>44631</v>
      </c>
      <c r="E678" s="34">
        <v>333210</v>
      </c>
      <c r="F678" s="30" t="str">
        <f t="shared" si="18"/>
        <v>Below 30L</v>
      </c>
      <c r="G678" s="30" t="str">
        <f t="shared" si="19"/>
        <v>FY 21-22</v>
      </c>
    </row>
    <row r="679" spans="2:7" x14ac:dyDescent="0.5">
      <c r="B679" s="30">
        <v>588</v>
      </c>
      <c r="C679" s="30" t="s">
        <v>1273</v>
      </c>
      <c r="D679" s="32">
        <v>44632</v>
      </c>
      <c r="E679" s="34">
        <v>319140</v>
      </c>
      <c r="F679" s="30" t="str">
        <f t="shared" si="18"/>
        <v>Below 30L</v>
      </c>
      <c r="G679" s="30" t="str">
        <f t="shared" si="19"/>
        <v>FY 21-22</v>
      </c>
    </row>
    <row r="680" spans="2:7" x14ac:dyDescent="0.5">
      <c r="B680" s="30">
        <v>589</v>
      </c>
      <c r="C680" s="30" t="s">
        <v>1275</v>
      </c>
      <c r="D680" s="32">
        <v>44632</v>
      </c>
      <c r="E680" s="34">
        <v>242190</v>
      </c>
      <c r="F680" s="30" t="str">
        <f t="shared" si="18"/>
        <v>Below 30L</v>
      </c>
      <c r="G680" s="30" t="str">
        <f t="shared" si="19"/>
        <v>FY 21-22</v>
      </c>
    </row>
    <row r="681" spans="2:7" x14ac:dyDescent="0.5">
      <c r="B681" s="30">
        <v>590</v>
      </c>
      <c r="C681" s="30" t="s">
        <v>1277</v>
      </c>
      <c r="D681" s="32">
        <v>44634</v>
      </c>
      <c r="E681" s="34">
        <v>213860</v>
      </c>
      <c r="F681" s="30" t="str">
        <f t="shared" si="18"/>
        <v>Below 30L</v>
      </c>
      <c r="G681" s="30" t="str">
        <f t="shared" si="19"/>
        <v>FY 21-22</v>
      </c>
    </row>
    <row r="682" spans="2:7" x14ac:dyDescent="0.5">
      <c r="B682" s="30">
        <v>591</v>
      </c>
      <c r="C682" s="30" t="s">
        <v>1279</v>
      </c>
      <c r="D682" s="32">
        <v>44634</v>
      </c>
      <c r="E682" s="34">
        <v>371640</v>
      </c>
      <c r="F682" s="30" t="str">
        <f t="shared" si="18"/>
        <v>Below 30L</v>
      </c>
      <c r="G682" s="30" t="str">
        <f t="shared" si="19"/>
        <v>FY 21-22</v>
      </c>
    </row>
    <row r="683" spans="2:7" x14ac:dyDescent="0.5">
      <c r="B683" s="30">
        <v>592</v>
      </c>
      <c r="C683" s="30" t="s">
        <v>1281</v>
      </c>
      <c r="D683" s="32">
        <v>44634</v>
      </c>
      <c r="E683" s="34">
        <v>340200</v>
      </c>
      <c r="F683" s="30" t="str">
        <f t="shared" si="18"/>
        <v>Below 30L</v>
      </c>
      <c r="G683" s="30" t="str">
        <f t="shared" si="19"/>
        <v>FY 21-22</v>
      </c>
    </row>
    <row r="684" spans="2:7" x14ac:dyDescent="0.5">
      <c r="B684" s="30">
        <v>593</v>
      </c>
      <c r="C684" s="30" t="s">
        <v>1283</v>
      </c>
      <c r="D684" s="32">
        <v>44634</v>
      </c>
      <c r="E684" s="34">
        <v>28400</v>
      </c>
      <c r="F684" s="30" t="str">
        <f t="shared" si="18"/>
        <v>Below 30L</v>
      </c>
      <c r="G684" s="30" t="str">
        <f t="shared" si="19"/>
        <v>FY 21-22</v>
      </c>
    </row>
    <row r="685" spans="2:7" x14ac:dyDescent="0.5">
      <c r="B685" s="30">
        <v>594</v>
      </c>
      <c r="C685" s="30" t="s">
        <v>1285</v>
      </c>
      <c r="D685" s="32">
        <v>44634</v>
      </c>
      <c r="E685" s="34">
        <v>339620</v>
      </c>
      <c r="F685" s="30" t="str">
        <f t="shared" si="18"/>
        <v>Below 30L</v>
      </c>
      <c r="G685" s="30" t="str">
        <f t="shared" si="19"/>
        <v>FY 21-22</v>
      </c>
    </row>
    <row r="686" spans="2:7" x14ac:dyDescent="0.5">
      <c r="B686" s="30">
        <v>595</v>
      </c>
      <c r="C686" s="30" t="s">
        <v>1287</v>
      </c>
      <c r="D686" s="32">
        <v>44637</v>
      </c>
      <c r="E686" s="34">
        <v>323830</v>
      </c>
      <c r="F686" s="30" t="str">
        <f t="shared" si="18"/>
        <v>Below 30L</v>
      </c>
      <c r="G686" s="30" t="str">
        <f t="shared" si="19"/>
        <v>FY 21-22</v>
      </c>
    </row>
    <row r="687" spans="2:7" x14ac:dyDescent="0.5">
      <c r="B687" s="30">
        <v>596</v>
      </c>
      <c r="C687" s="30" t="s">
        <v>1289</v>
      </c>
      <c r="D687" s="32">
        <v>44638</v>
      </c>
      <c r="E687" s="34">
        <v>37950</v>
      </c>
      <c r="F687" s="30" t="str">
        <f t="shared" si="18"/>
        <v>Below 30L</v>
      </c>
      <c r="G687" s="30" t="str">
        <f t="shared" si="19"/>
        <v>FY 21-22</v>
      </c>
    </row>
    <row r="688" spans="2:7" x14ac:dyDescent="0.5">
      <c r="B688" s="30">
        <v>597</v>
      </c>
      <c r="C688" s="30" t="s">
        <v>1291</v>
      </c>
      <c r="D688" s="32">
        <v>44639</v>
      </c>
      <c r="E688" s="34">
        <v>316680</v>
      </c>
      <c r="F688" s="30" t="str">
        <f t="shared" si="18"/>
        <v>Below 30L</v>
      </c>
      <c r="G688" s="30" t="str">
        <f t="shared" si="19"/>
        <v>FY 21-22</v>
      </c>
    </row>
    <row r="689" spans="2:7" x14ac:dyDescent="0.5">
      <c r="B689" s="30">
        <v>598</v>
      </c>
      <c r="C689" s="30" t="s">
        <v>1293</v>
      </c>
      <c r="D689" s="32">
        <v>44641</v>
      </c>
      <c r="E689" s="34">
        <v>455120</v>
      </c>
      <c r="F689" s="30" t="str">
        <f t="shared" si="18"/>
        <v>Below 30L</v>
      </c>
      <c r="G689" s="30" t="str">
        <f t="shared" si="19"/>
        <v>FY 21-22</v>
      </c>
    </row>
    <row r="690" spans="2:7" x14ac:dyDescent="0.5">
      <c r="B690" s="30">
        <v>599</v>
      </c>
      <c r="C690" s="30" t="s">
        <v>1295</v>
      </c>
      <c r="D690" s="32">
        <v>44641</v>
      </c>
      <c r="E690" s="34">
        <v>34770</v>
      </c>
      <c r="F690" s="30" t="str">
        <f t="shared" si="18"/>
        <v>Below 30L</v>
      </c>
      <c r="G690" s="30" t="str">
        <f t="shared" si="19"/>
        <v>FY 21-22</v>
      </c>
    </row>
    <row r="691" spans="2:7" x14ac:dyDescent="0.5">
      <c r="B691" s="30">
        <v>600</v>
      </c>
      <c r="C691" s="30" t="s">
        <v>1297</v>
      </c>
      <c r="D691" s="32">
        <v>44641</v>
      </c>
      <c r="E691" s="34">
        <v>496440</v>
      </c>
      <c r="F691" s="30" t="str">
        <f t="shared" si="18"/>
        <v>Below 30L</v>
      </c>
      <c r="G691" s="30" t="str">
        <f t="shared" si="19"/>
        <v>FY 21-22</v>
      </c>
    </row>
    <row r="692" spans="2:7" x14ac:dyDescent="0.5">
      <c r="E692" s="73">
        <f>SUM(E92:E691)</f>
        <v>480843420</v>
      </c>
    </row>
  </sheetData>
  <conditionalFormatting sqref="E31:E72">
    <cfRule type="duplicateValues" dxfId="2" priority="3"/>
  </conditionalFormatting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4"/>
  <sheetViews>
    <sheetView zoomScale="90" zoomScaleNormal="90" workbookViewId="0">
      <selection activeCell="B2" sqref="B2"/>
    </sheetView>
  </sheetViews>
  <sheetFormatPr defaultRowHeight="17.5" x14ac:dyDescent="0.5"/>
  <cols>
    <col min="1" max="2" width="8.7265625" style="1"/>
    <col min="3" max="3" width="5.26953125" style="1" customWidth="1"/>
    <col min="4" max="4" width="13.453125" style="1" customWidth="1"/>
    <col min="5" max="5" width="26.1796875" style="1" bestFit="1" customWidth="1"/>
    <col min="6" max="6" width="14.08984375" style="1" bestFit="1" customWidth="1"/>
    <col min="7" max="7" width="31.08984375" style="1" customWidth="1"/>
    <col min="8" max="8" width="27.26953125" style="1" customWidth="1"/>
    <col min="9" max="9" width="31.453125" style="1" customWidth="1"/>
    <col min="10" max="10" width="32.54296875" style="1" customWidth="1"/>
    <col min="11" max="11" width="13.36328125" style="1" customWidth="1"/>
    <col min="12" max="22" width="8.81640625" style="1" customWidth="1"/>
    <col min="23" max="23" width="7.81640625" style="1" customWidth="1"/>
    <col min="24" max="27" width="8.81640625" style="1" customWidth="1"/>
    <col min="28" max="28" width="7.81640625" style="1" customWidth="1"/>
    <col min="29" max="29" width="10.7265625" style="1" bestFit="1" customWidth="1"/>
    <col min="30" max="383" width="10.08984375" style="1" bestFit="1" customWidth="1"/>
    <col min="384" max="384" width="10.7265625" style="1" bestFit="1" customWidth="1"/>
    <col min="385" max="16384" width="8.7265625" style="1"/>
  </cols>
  <sheetData>
    <row r="2" spans="1:7" x14ac:dyDescent="0.5">
      <c r="A2" s="1">
        <v>6</v>
      </c>
      <c r="B2" s="20" t="s">
        <v>1351</v>
      </c>
    </row>
    <row r="4" spans="1:7" x14ac:dyDescent="0.5">
      <c r="C4" s="1" t="s">
        <v>1465</v>
      </c>
      <c r="D4" s="1" t="s">
        <v>1466</v>
      </c>
    </row>
    <row r="5" spans="1:7" x14ac:dyDescent="0.5">
      <c r="C5" s="2" t="s">
        <v>577</v>
      </c>
      <c r="D5" s="2" t="s">
        <v>1439</v>
      </c>
    </row>
    <row r="6" spans="1:7" x14ac:dyDescent="0.5">
      <c r="C6" s="2" t="s">
        <v>378</v>
      </c>
      <c r="D6" s="2" t="s">
        <v>1441</v>
      </c>
    </row>
    <row r="7" spans="1:7" x14ac:dyDescent="0.5">
      <c r="C7" s="2" t="s">
        <v>241</v>
      </c>
      <c r="D7" s="2" t="s">
        <v>1443</v>
      </c>
    </row>
    <row r="8" spans="1:7" x14ac:dyDescent="0.5">
      <c r="C8" s="2" t="s">
        <v>111</v>
      </c>
      <c r="D8" s="2" t="s">
        <v>1445</v>
      </c>
    </row>
    <row r="9" spans="1:7" x14ac:dyDescent="0.5">
      <c r="C9" s="1" t="s">
        <v>308</v>
      </c>
      <c r="D9" s="1" t="s">
        <v>1447</v>
      </c>
    </row>
    <row r="11" spans="1:7" x14ac:dyDescent="0.5">
      <c r="B11" s="20" t="s">
        <v>1568</v>
      </c>
    </row>
    <row r="12" spans="1:7" x14ac:dyDescent="0.5">
      <c r="B12" s="20"/>
      <c r="D12" s="61"/>
      <c r="E12" s="61" t="s">
        <v>1565</v>
      </c>
      <c r="F12" s="61" t="s">
        <v>1570</v>
      </c>
      <c r="G12" s="61" t="s">
        <v>1569</v>
      </c>
    </row>
    <row r="13" spans="1:7" x14ac:dyDescent="0.5">
      <c r="B13" s="20"/>
      <c r="D13" s="15" t="s">
        <v>1470</v>
      </c>
      <c r="E13" s="18">
        <f>SUMIF($H$31:$H$79,"YES",$E$31:$E$79)</f>
        <v>134294030</v>
      </c>
      <c r="F13" s="18">
        <f>COUNTIF($H$31:$H$79,"YES")</f>
        <v>5</v>
      </c>
      <c r="G13" s="22">
        <f>(E13/F13)/10^5</f>
        <v>268.58805999999998</v>
      </c>
    </row>
    <row r="14" spans="1:7" x14ac:dyDescent="0.5">
      <c r="B14" s="20"/>
      <c r="D14" s="15" t="s">
        <v>1471</v>
      </c>
      <c r="E14" s="18">
        <f>SUMIF($H$31:$H$79,"NO",$E$31:$E$79)</f>
        <v>346549390</v>
      </c>
      <c r="F14" s="18">
        <f>COUNTIF($H$31:$H$79,"NO")</f>
        <v>44</v>
      </c>
      <c r="G14" s="22">
        <f>(E14/F14)/10^5</f>
        <v>78.761224999999996</v>
      </c>
    </row>
    <row r="15" spans="1:7" x14ac:dyDescent="0.5">
      <c r="B15" s="20"/>
      <c r="D15" s="62"/>
      <c r="E15" s="63">
        <f>SUM(E13:E14)</f>
        <v>480843420</v>
      </c>
      <c r="F15" s="63">
        <f>SUM(F13:F14)</f>
        <v>49</v>
      </c>
      <c r="G15" s="63"/>
    </row>
    <row r="16" spans="1:7" x14ac:dyDescent="0.5">
      <c r="B16" s="20"/>
      <c r="D16" s="67"/>
      <c r="E16" s="68"/>
      <c r="F16" s="68"/>
      <c r="G16" s="68"/>
    </row>
    <row r="17" spans="2:9" x14ac:dyDescent="0.5">
      <c r="B17" s="20"/>
      <c r="C17" s="20" t="s">
        <v>1610</v>
      </c>
      <c r="H17" s="23"/>
    </row>
    <row r="18" spans="2:9" x14ac:dyDescent="0.5">
      <c r="B18" s="20"/>
      <c r="D18" s="14" t="s">
        <v>1344</v>
      </c>
      <c r="E18" s="14" t="s">
        <v>1350</v>
      </c>
    </row>
    <row r="19" spans="2:9" x14ac:dyDescent="0.5">
      <c r="B19" s="20"/>
      <c r="D19" s="14" t="s">
        <v>1345</v>
      </c>
      <c r="E19" s="1" t="s">
        <v>1470</v>
      </c>
      <c r="F19" s="1" t="s">
        <v>1564</v>
      </c>
      <c r="G19" s="1" t="s">
        <v>1346</v>
      </c>
    </row>
    <row r="20" spans="2:9" x14ac:dyDescent="0.5">
      <c r="B20" s="20"/>
      <c r="D20" s="15" t="s">
        <v>1607</v>
      </c>
      <c r="E20" s="18">
        <v>9728230</v>
      </c>
      <c r="F20" s="18">
        <v>149208150</v>
      </c>
      <c r="G20" s="18">
        <v>158936380</v>
      </c>
    </row>
    <row r="21" spans="2:9" x14ac:dyDescent="0.5">
      <c r="B21" s="20"/>
      <c r="D21" s="15" t="s">
        <v>1608</v>
      </c>
      <c r="E21" s="18">
        <v>124565800</v>
      </c>
      <c r="F21" s="18">
        <v>197341240</v>
      </c>
      <c r="G21" s="18">
        <v>321907040</v>
      </c>
    </row>
    <row r="22" spans="2:9" x14ac:dyDescent="0.5">
      <c r="B22" s="20"/>
      <c r="D22" s="15" t="s">
        <v>1346</v>
      </c>
      <c r="E22" s="18">
        <v>134294030</v>
      </c>
      <c r="F22" s="18">
        <v>346549390</v>
      </c>
      <c r="G22" s="18">
        <v>480843420</v>
      </c>
    </row>
    <row r="23" spans="2:9" x14ac:dyDescent="0.5">
      <c r="B23" s="20"/>
      <c r="D23" s="15"/>
      <c r="E23" s="18"/>
      <c r="F23" s="18"/>
      <c r="G23" s="18"/>
    </row>
    <row r="24" spans="2:9" x14ac:dyDescent="0.5">
      <c r="B24" s="20"/>
      <c r="C24" s="20" t="s">
        <v>1611</v>
      </c>
      <c r="D24" s="15"/>
      <c r="E24" s="18"/>
      <c r="F24" s="18"/>
      <c r="G24" s="18"/>
    </row>
    <row r="25" spans="2:9" x14ac:dyDescent="0.5">
      <c r="B25" s="20"/>
      <c r="D25" s="66" t="s">
        <v>1612</v>
      </c>
      <c r="E25" s="66" t="s">
        <v>1470</v>
      </c>
      <c r="F25" s="66" t="s">
        <v>1564</v>
      </c>
      <c r="G25" s="66" t="s">
        <v>1346</v>
      </c>
    </row>
    <row r="26" spans="2:9" x14ac:dyDescent="0.5">
      <c r="B26" s="20"/>
      <c r="D26" s="15" t="s">
        <v>1607</v>
      </c>
      <c r="E26" s="65">
        <f>E20/G20</f>
        <v>6.1208327508151375E-2</v>
      </c>
      <c r="F26" s="65">
        <f>F20/G20</f>
        <v>0.93879167249184858</v>
      </c>
      <c r="G26" s="65">
        <f>SUM(E26:F26)</f>
        <v>1</v>
      </c>
    </row>
    <row r="27" spans="2:9" x14ac:dyDescent="0.5">
      <c r="B27" s="20"/>
      <c r="D27" s="15" t="s">
        <v>1608</v>
      </c>
      <c r="E27" s="65">
        <f>E21/G21</f>
        <v>0.38696202481312619</v>
      </c>
      <c r="F27" s="65">
        <f>F21/G21</f>
        <v>0.61303797518687386</v>
      </c>
      <c r="G27" s="65">
        <f t="shared" ref="G27" si="0">SUM(E27:F27)</f>
        <v>1</v>
      </c>
    </row>
    <row r="28" spans="2:9" x14ac:dyDescent="0.5">
      <c r="B28" s="20"/>
    </row>
    <row r="30" spans="2:9" x14ac:dyDescent="0.5">
      <c r="D30" s="14" t="s">
        <v>1345</v>
      </c>
      <c r="E30" s="1" t="s">
        <v>1344</v>
      </c>
      <c r="G30" s="1" t="s">
        <v>1467</v>
      </c>
      <c r="H30" s="1" t="s">
        <v>1468</v>
      </c>
      <c r="I30" s="1" t="s">
        <v>1472</v>
      </c>
    </row>
    <row r="31" spans="2:9" x14ac:dyDescent="0.5">
      <c r="D31" s="15" t="s">
        <v>262</v>
      </c>
      <c r="E31" s="18">
        <v>2810360</v>
      </c>
      <c r="G31" s="1" t="str">
        <f>VLOOKUP(D31,'Data - Customer Master'!$C$3:$D$51,2,0)</f>
        <v>Red Software Pvt Ltd</v>
      </c>
      <c r="H31" s="21" t="str">
        <f t="shared" ref="H31:H62" si="1">IFERROR(IF(MATCH(G31,$D$5:$D$9,0)&gt;0,"YES"),"NO")</f>
        <v>NO</v>
      </c>
      <c r="I31" s="18">
        <f>E31</f>
        <v>2810360</v>
      </c>
    </row>
    <row r="32" spans="2:9" x14ac:dyDescent="0.5">
      <c r="D32" s="15" t="s">
        <v>131</v>
      </c>
      <c r="E32" s="18">
        <v>3127110</v>
      </c>
      <c r="G32" s="1" t="str">
        <f>VLOOKUP(D32,'Data - Customer Master'!$C$3:$D$51,2,0)</f>
        <v>Yellow Software Pvt Ltd</v>
      </c>
      <c r="H32" s="21" t="str">
        <f t="shared" si="1"/>
        <v>NO</v>
      </c>
      <c r="I32" s="18">
        <f t="shared" ref="I32:I79" si="2">E32</f>
        <v>3127110</v>
      </c>
    </row>
    <row r="33" spans="4:9" x14ac:dyDescent="0.5">
      <c r="D33" s="15" t="s">
        <v>57</v>
      </c>
      <c r="E33" s="18">
        <v>16470920</v>
      </c>
      <c r="G33" s="1" t="str">
        <f>VLOOKUP(D33,'Data - Customer Master'!$C$3:$D$51,2,0)</f>
        <v>Blue Tech Solutions Pvt Ltd</v>
      </c>
      <c r="H33" s="21" t="str">
        <f t="shared" si="1"/>
        <v>NO</v>
      </c>
      <c r="I33" s="18">
        <f t="shared" si="2"/>
        <v>16470920</v>
      </c>
    </row>
    <row r="34" spans="4:9" x14ac:dyDescent="0.5">
      <c r="D34" s="15" t="s">
        <v>153</v>
      </c>
      <c r="E34" s="18">
        <v>4323180</v>
      </c>
      <c r="G34" s="1" t="str">
        <f>VLOOKUP(D34,'Data - Customer Master'!$C$3:$D$51,2,0)</f>
        <v>Green  Solutions Pvt Ltd</v>
      </c>
      <c r="H34" s="21" t="str">
        <f t="shared" si="1"/>
        <v>NO</v>
      </c>
      <c r="I34" s="18">
        <f t="shared" si="2"/>
        <v>4323180</v>
      </c>
    </row>
    <row r="35" spans="4:9" x14ac:dyDescent="0.5">
      <c r="D35" s="15" t="s">
        <v>238</v>
      </c>
      <c r="E35" s="18">
        <v>4389430</v>
      </c>
      <c r="G35" s="1" t="str">
        <f>VLOOKUP(D35,'Data - Customer Master'!$C$3:$D$51,2,0)</f>
        <v>Orange Digital Pvt Ltd</v>
      </c>
      <c r="H35" s="21" t="str">
        <f t="shared" si="1"/>
        <v>NO</v>
      </c>
      <c r="I35" s="18">
        <f t="shared" si="2"/>
        <v>4389430</v>
      </c>
    </row>
    <row r="36" spans="4:9" x14ac:dyDescent="0.5">
      <c r="D36" s="15" t="s">
        <v>15</v>
      </c>
      <c r="E36" s="18">
        <v>4532640</v>
      </c>
      <c r="G36" s="1" t="str">
        <f>VLOOKUP(D36,'Data - Customer Master'!$C$3:$D$51,2,0)</f>
        <v>Purple  IT Pvt Ltd</v>
      </c>
      <c r="H36" s="21" t="str">
        <f t="shared" si="1"/>
        <v>NO</v>
      </c>
      <c r="I36" s="18">
        <f t="shared" si="2"/>
        <v>4532640</v>
      </c>
    </row>
    <row r="37" spans="4:9" x14ac:dyDescent="0.5">
      <c r="D37" s="15" t="s">
        <v>84</v>
      </c>
      <c r="E37" s="18">
        <v>2728190</v>
      </c>
      <c r="G37" s="1" t="str">
        <f>VLOOKUP(D37,'Data - Customer Master'!$C$3:$D$51,2,0)</f>
        <v>Black Infocom Pvt Ltd</v>
      </c>
      <c r="H37" s="21" t="str">
        <f t="shared" si="1"/>
        <v>NO</v>
      </c>
      <c r="I37" s="18">
        <f t="shared" si="2"/>
        <v>2728190</v>
      </c>
    </row>
    <row r="38" spans="4:9" x14ac:dyDescent="0.5">
      <c r="D38" s="15" t="s">
        <v>229</v>
      </c>
      <c r="E38" s="18">
        <v>4858460</v>
      </c>
      <c r="G38" s="1" t="str">
        <f>VLOOKUP(D38,'Data - Customer Master'!$C$3:$D$51,2,0)</f>
        <v>White Software Ltd</v>
      </c>
      <c r="H38" s="21" t="str">
        <f t="shared" si="1"/>
        <v>NO</v>
      </c>
      <c r="I38" s="18">
        <f t="shared" si="2"/>
        <v>4858460</v>
      </c>
    </row>
    <row r="39" spans="4:9" x14ac:dyDescent="0.5">
      <c r="D39" s="15" t="s">
        <v>128</v>
      </c>
      <c r="E39" s="18">
        <v>2600080</v>
      </c>
      <c r="G39" s="1" t="str">
        <f>VLOOKUP(D39,'Data - Customer Master'!$C$3:$D$51,2,0)</f>
        <v>Gray  Digital Pvt Ltd</v>
      </c>
      <c r="H39" s="21" t="str">
        <f t="shared" si="1"/>
        <v>NO</v>
      </c>
      <c r="I39" s="18">
        <f t="shared" si="2"/>
        <v>2600080</v>
      </c>
    </row>
    <row r="40" spans="4:9" x14ac:dyDescent="0.5">
      <c r="D40" s="15" t="s">
        <v>95</v>
      </c>
      <c r="E40" s="18">
        <v>5255940</v>
      </c>
      <c r="G40" s="1" t="str">
        <f>VLOOKUP(D40,'Data - Customer Master'!$C$3:$D$51,2,0)</f>
        <v>Brown Computers Ltd</v>
      </c>
      <c r="H40" s="21" t="str">
        <f t="shared" si="1"/>
        <v>NO</v>
      </c>
      <c r="I40" s="18">
        <f t="shared" si="2"/>
        <v>5255940</v>
      </c>
    </row>
    <row r="41" spans="4:9" x14ac:dyDescent="0.5">
      <c r="D41" s="15" t="s">
        <v>175</v>
      </c>
      <c r="E41" s="18">
        <v>7831740</v>
      </c>
      <c r="G41" s="1" t="str">
        <f>VLOOKUP(D41,'Data - Customer Master'!$C$3:$D$51,2,0)</f>
        <v>Beige IT Ltd</v>
      </c>
      <c r="H41" s="21" t="str">
        <f t="shared" si="1"/>
        <v>NO</v>
      </c>
      <c r="I41" s="18">
        <f t="shared" si="2"/>
        <v>7831740</v>
      </c>
    </row>
    <row r="42" spans="4:9" x14ac:dyDescent="0.5">
      <c r="D42" s="15" t="s">
        <v>187</v>
      </c>
      <c r="E42" s="18">
        <v>1790880</v>
      </c>
      <c r="G42" s="1" t="str">
        <f>VLOOKUP(D42,'Data - Customer Master'!$C$3:$D$51,2,0)</f>
        <v>Cream Software Ltd</v>
      </c>
      <c r="H42" s="21" t="str">
        <f t="shared" si="1"/>
        <v>NO</v>
      </c>
      <c r="I42" s="18">
        <f t="shared" si="2"/>
        <v>1790880</v>
      </c>
    </row>
    <row r="43" spans="4:9" x14ac:dyDescent="0.5">
      <c r="D43" s="15" t="s">
        <v>35</v>
      </c>
      <c r="E43" s="18">
        <v>7940840</v>
      </c>
      <c r="G43" s="1" t="str">
        <f>VLOOKUP(D43,'Data - Customer Master'!$C$3:$D$51,2,0)</f>
        <v>Silver Computers Pvt Ltd</v>
      </c>
      <c r="H43" s="21" t="str">
        <f t="shared" si="1"/>
        <v>NO</v>
      </c>
      <c r="I43" s="18">
        <f t="shared" si="2"/>
        <v>7940840</v>
      </c>
    </row>
    <row r="44" spans="4:9" x14ac:dyDescent="0.5">
      <c r="D44" s="15" t="s">
        <v>40</v>
      </c>
      <c r="E44" s="18">
        <v>14525760</v>
      </c>
      <c r="G44" s="1" t="str">
        <f>VLOOKUP(D44,'Data - Customer Master'!$C$3:$D$51,2,0)</f>
        <v>Gold Tech Pvt Ltd</v>
      </c>
      <c r="H44" s="21" t="str">
        <f t="shared" si="1"/>
        <v>NO</v>
      </c>
      <c r="I44" s="18">
        <f t="shared" si="2"/>
        <v>14525760</v>
      </c>
    </row>
    <row r="45" spans="4:9" x14ac:dyDescent="0.5">
      <c r="D45" s="15" t="s">
        <v>190</v>
      </c>
      <c r="E45" s="18">
        <v>2250580</v>
      </c>
      <c r="G45" s="1" t="str">
        <f>VLOOKUP(D45,'Data - Customer Master'!$C$3:$D$51,2,0)</f>
        <v>Navy Blue Software Ltd</v>
      </c>
      <c r="H45" s="21" t="str">
        <f t="shared" si="1"/>
        <v>NO</v>
      </c>
      <c r="I45" s="18">
        <f t="shared" si="2"/>
        <v>2250580</v>
      </c>
    </row>
    <row r="46" spans="4:9" x14ac:dyDescent="0.5">
      <c r="D46" s="15" t="s">
        <v>184</v>
      </c>
      <c r="E46" s="18">
        <v>9356570</v>
      </c>
      <c r="G46" s="1" t="str">
        <f>VLOOKUP(D46,'Data - Customer Master'!$C$3:$D$51,2,0)</f>
        <v>Sky Blue Digital Pvt Ltd</v>
      </c>
      <c r="H46" s="21" t="str">
        <f t="shared" si="1"/>
        <v>NO</v>
      </c>
      <c r="I46" s="18">
        <f t="shared" si="2"/>
        <v>9356570</v>
      </c>
    </row>
    <row r="47" spans="4:9" x14ac:dyDescent="0.5">
      <c r="D47" s="15" t="s">
        <v>143</v>
      </c>
      <c r="E47" s="18">
        <v>29896210</v>
      </c>
      <c r="G47" s="1" t="str">
        <f>VLOOKUP(D47,'Data - Customer Master'!$C$3:$D$51,2,0)</f>
        <v>Cyan Infocom Pvt Ltd</v>
      </c>
      <c r="H47" s="21" t="str">
        <f t="shared" si="1"/>
        <v>NO</v>
      </c>
      <c r="I47" s="18">
        <f t="shared" si="2"/>
        <v>29896210</v>
      </c>
    </row>
    <row r="48" spans="4:9" x14ac:dyDescent="0.5">
      <c r="D48" s="15" t="s">
        <v>203</v>
      </c>
      <c r="E48" s="18">
        <v>4110730</v>
      </c>
      <c r="G48" s="1" t="str">
        <f>VLOOKUP(D48,'Data - Customer Master'!$C$3:$D$51,2,0)</f>
        <v>Teal Digital Ltd</v>
      </c>
      <c r="H48" s="21" t="str">
        <f t="shared" si="1"/>
        <v>NO</v>
      </c>
      <c r="I48" s="18">
        <f t="shared" si="2"/>
        <v>4110730</v>
      </c>
    </row>
    <row r="49" spans="4:9" x14ac:dyDescent="0.5">
      <c r="D49" s="15" t="s">
        <v>114</v>
      </c>
      <c r="E49" s="18">
        <v>19198460</v>
      </c>
      <c r="G49" s="1" t="str">
        <f>VLOOKUP(D49,'Data - Customer Master'!$C$3:$D$51,2,0)</f>
        <v>Turquoise Software Ltd</v>
      </c>
      <c r="H49" s="21" t="str">
        <f t="shared" si="1"/>
        <v>NO</v>
      </c>
      <c r="I49" s="18">
        <f t="shared" si="2"/>
        <v>19198460</v>
      </c>
    </row>
    <row r="50" spans="4:9" x14ac:dyDescent="0.5">
      <c r="D50" s="15" t="s">
        <v>22</v>
      </c>
      <c r="E50" s="18">
        <v>3565160</v>
      </c>
      <c r="G50" s="1" t="str">
        <f>VLOOKUP(D50,'Data - Customer Master'!$C$3:$D$51,2,0)</f>
        <v>Azure Software Pvt Ltd</v>
      </c>
      <c r="H50" s="21" t="str">
        <f t="shared" si="1"/>
        <v>NO</v>
      </c>
      <c r="I50" s="18">
        <f t="shared" si="2"/>
        <v>3565160</v>
      </c>
    </row>
    <row r="51" spans="4:9" x14ac:dyDescent="0.5">
      <c r="D51" s="15" t="s">
        <v>119</v>
      </c>
      <c r="E51" s="18">
        <v>9134060</v>
      </c>
      <c r="G51" s="1" t="str">
        <f>VLOOKUP(D51,'Data - Customer Master'!$C$3:$D$51,2,0)</f>
        <v>Indigo Software Pvt Ltd</v>
      </c>
      <c r="H51" s="21" t="str">
        <f t="shared" si="1"/>
        <v>NO</v>
      </c>
      <c r="I51" s="18">
        <f t="shared" si="2"/>
        <v>9134060</v>
      </c>
    </row>
    <row r="52" spans="4:9" x14ac:dyDescent="0.5">
      <c r="D52" s="15" t="s">
        <v>60</v>
      </c>
      <c r="E52" s="18">
        <v>4807180</v>
      </c>
      <c r="G52" s="1" t="str">
        <f>VLOOKUP(D52,'Data - Customer Master'!$C$3:$D$51,2,0)</f>
        <v>Sapphire Infocom Ltd</v>
      </c>
      <c r="H52" s="21" t="str">
        <f t="shared" si="1"/>
        <v>NO</v>
      </c>
      <c r="I52" s="18">
        <f t="shared" si="2"/>
        <v>4807180</v>
      </c>
    </row>
    <row r="53" spans="4:9" x14ac:dyDescent="0.5">
      <c r="D53" s="15" t="s">
        <v>103</v>
      </c>
      <c r="E53" s="18">
        <v>10285160</v>
      </c>
      <c r="G53" s="1" t="str">
        <f>VLOOKUP(D53,'Data - Customer Master'!$C$3:$D$51,2,0)</f>
        <v>Crimson Computers Pvt Ltd</v>
      </c>
      <c r="H53" s="21" t="str">
        <f t="shared" si="1"/>
        <v>NO</v>
      </c>
      <c r="I53" s="18">
        <f t="shared" si="2"/>
        <v>10285160</v>
      </c>
    </row>
    <row r="54" spans="4:9" x14ac:dyDescent="0.5">
      <c r="D54" s="15" t="s">
        <v>81</v>
      </c>
      <c r="E54" s="18">
        <v>11358400</v>
      </c>
      <c r="G54" s="1" t="str">
        <f>VLOOKUP(D54,'Data - Customer Master'!$C$3:$D$51,2,0)</f>
        <v>Scarlet Solutions Ltd</v>
      </c>
      <c r="H54" s="21" t="str">
        <f t="shared" si="1"/>
        <v>NO</v>
      </c>
      <c r="I54" s="18">
        <f t="shared" si="2"/>
        <v>11358400</v>
      </c>
    </row>
    <row r="55" spans="4:9" x14ac:dyDescent="0.5">
      <c r="D55" s="15" t="s">
        <v>27</v>
      </c>
      <c r="E55" s="18">
        <v>4044570</v>
      </c>
      <c r="G55" s="1" t="str">
        <f>VLOOKUP(D55,'Data - Customer Master'!$C$3:$D$51,2,0)</f>
        <v>Maroon Infocom Pvt Ltd</v>
      </c>
      <c r="H55" s="21" t="str">
        <f t="shared" si="1"/>
        <v>NO</v>
      </c>
      <c r="I55" s="18">
        <f t="shared" si="2"/>
        <v>4044570</v>
      </c>
    </row>
    <row r="56" spans="4:9" x14ac:dyDescent="0.5">
      <c r="D56" s="15" t="s">
        <v>87</v>
      </c>
      <c r="E56" s="18">
        <v>3975570</v>
      </c>
      <c r="G56" s="1" t="str">
        <f>VLOOKUP(D56,'Data - Customer Master'!$C$3:$D$51,2,0)</f>
        <v>Burgundy Digital Pvt Ltd</v>
      </c>
      <c r="H56" s="21" t="str">
        <f t="shared" si="1"/>
        <v>NO</v>
      </c>
      <c r="I56" s="18">
        <f t="shared" si="2"/>
        <v>3975570</v>
      </c>
    </row>
    <row r="57" spans="4:9" x14ac:dyDescent="0.5">
      <c r="D57" s="15" t="s">
        <v>54</v>
      </c>
      <c r="E57" s="18">
        <v>5142470</v>
      </c>
      <c r="G57" s="1" t="str">
        <f>VLOOKUP(D57,'Data - Customer Master'!$C$3:$D$51,2,0)</f>
        <v>Pink Tech Solutions Pvt Ltd</v>
      </c>
      <c r="H57" s="21" t="str">
        <f t="shared" si="1"/>
        <v>NO</v>
      </c>
      <c r="I57" s="18">
        <f t="shared" si="2"/>
        <v>5142470</v>
      </c>
    </row>
    <row r="58" spans="4:9" x14ac:dyDescent="0.5">
      <c r="D58" s="15" t="s">
        <v>290</v>
      </c>
      <c r="E58" s="18">
        <v>7092810</v>
      </c>
      <c r="G58" s="1" t="str">
        <f>VLOOKUP(D58,'Data - Customer Master'!$C$3:$D$51,2,0)</f>
        <v>Magenta IT Pvt Ltd</v>
      </c>
      <c r="H58" s="21" t="str">
        <f t="shared" si="1"/>
        <v>NO</v>
      </c>
      <c r="I58" s="18">
        <f t="shared" si="2"/>
        <v>7092810</v>
      </c>
    </row>
    <row r="59" spans="4:9" x14ac:dyDescent="0.5">
      <c r="D59" s="15" t="s">
        <v>45</v>
      </c>
      <c r="E59" s="18">
        <v>4178420</v>
      </c>
      <c r="G59" s="1" t="str">
        <f>VLOOKUP(D59,'Data - Customer Master'!$C$3:$D$51,2,0)</f>
        <v>Fuchsia Tech Solutions Pvt Ltd</v>
      </c>
      <c r="H59" s="21" t="str">
        <f t="shared" si="1"/>
        <v>NO</v>
      </c>
      <c r="I59" s="18">
        <f t="shared" si="2"/>
        <v>4178420</v>
      </c>
    </row>
    <row r="60" spans="4:9" x14ac:dyDescent="0.5">
      <c r="D60" s="15" t="s">
        <v>125</v>
      </c>
      <c r="E60" s="18">
        <v>8567760</v>
      </c>
      <c r="G60" s="1" t="str">
        <f>VLOOKUP(D60,'Data - Customer Master'!$C$3:$D$51,2,0)</f>
        <v>Lavender IT Pvt Ltd</v>
      </c>
      <c r="H60" s="21" t="str">
        <f t="shared" si="1"/>
        <v>NO</v>
      </c>
      <c r="I60" s="18">
        <f t="shared" si="2"/>
        <v>8567760</v>
      </c>
    </row>
    <row r="61" spans="4:9" x14ac:dyDescent="0.5">
      <c r="D61" s="15" t="s">
        <v>67</v>
      </c>
      <c r="E61" s="18">
        <v>4256100</v>
      </c>
      <c r="G61" s="1" t="str">
        <f>VLOOKUP(D61,'Data - Customer Master'!$C$3:$D$51,2,0)</f>
        <v>Lilac Tech Pvt Ltd</v>
      </c>
      <c r="H61" s="21" t="str">
        <f t="shared" si="1"/>
        <v>NO</v>
      </c>
      <c r="I61" s="18">
        <f t="shared" si="2"/>
        <v>4256100</v>
      </c>
    </row>
    <row r="62" spans="4:9" x14ac:dyDescent="0.5">
      <c r="D62" s="15" t="s">
        <v>293</v>
      </c>
      <c r="E62" s="18">
        <v>22392920</v>
      </c>
      <c r="G62" s="1" t="str">
        <f>VLOOKUP(D62,'Data - Customer Master'!$C$3:$D$51,2,0)</f>
        <v>Plum Software Pvt Ltd</v>
      </c>
      <c r="H62" s="21" t="str">
        <f t="shared" si="1"/>
        <v>NO</v>
      </c>
      <c r="I62" s="18">
        <f t="shared" si="2"/>
        <v>22392920</v>
      </c>
    </row>
    <row r="63" spans="4:9" x14ac:dyDescent="0.5">
      <c r="D63" s="15" t="s">
        <v>269</v>
      </c>
      <c r="E63" s="18">
        <v>10154040</v>
      </c>
      <c r="G63" s="1" t="str">
        <f>VLOOKUP(D63,'Data - Customer Master'!$C$3:$D$51,2,0)</f>
        <v>Orchid Tech Solutions Ltd</v>
      </c>
      <c r="H63" s="21" t="str">
        <f t="shared" ref="H63:H79" si="3">IFERROR(IF(MATCH(G63,$D$5:$D$9,0)&gt;0,"YES"),"NO")</f>
        <v>NO</v>
      </c>
      <c r="I63" s="18">
        <f t="shared" si="2"/>
        <v>10154040</v>
      </c>
    </row>
    <row r="64" spans="4:9" x14ac:dyDescent="0.5">
      <c r="D64" s="15" t="s">
        <v>64</v>
      </c>
      <c r="E64" s="18">
        <v>4606020</v>
      </c>
      <c r="G64" s="1" t="str">
        <f>VLOOKUP(D64,'Data - Customer Master'!$C$3:$D$51,2,0)</f>
        <v>Lime Green Tech Pvt Ltd</v>
      </c>
      <c r="H64" s="21" t="str">
        <f t="shared" si="3"/>
        <v>NO</v>
      </c>
      <c r="I64" s="18">
        <f t="shared" si="2"/>
        <v>4606020</v>
      </c>
    </row>
    <row r="65" spans="4:9" x14ac:dyDescent="0.5">
      <c r="D65" s="15" t="s">
        <v>122</v>
      </c>
      <c r="E65" s="18">
        <v>5916770</v>
      </c>
      <c r="G65" s="1" t="str">
        <f>VLOOKUP(D65,'Data - Customer Master'!$C$3:$D$51,2,0)</f>
        <v>Emerald Digital Ltd</v>
      </c>
      <c r="H65" s="21" t="str">
        <f t="shared" si="3"/>
        <v>NO</v>
      </c>
      <c r="I65" s="18">
        <f t="shared" si="2"/>
        <v>5916770</v>
      </c>
    </row>
    <row r="66" spans="4:9" x14ac:dyDescent="0.5">
      <c r="D66" s="15" t="s">
        <v>77</v>
      </c>
      <c r="E66" s="18">
        <v>11508030</v>
      </c>
      <c r="G66" s="1" t="str">
        <f>VLOOKUP(D66,'Data - Customer Master'!$C$3:$D$51,2,0)</f>
        <v>Olive Tech Ltd</v>
      </c>
      <c r="H66" s="21" t="str">
        <f t="shared" si="3"/>
        <v>NO</v>
      </c>
      <c r="I66" s="18">
        <f t="shared" si="2"/>
        <v>11508030</v>
      </c>
    </row>
    <row r="67" spans="4:9" x14ac:dyDescent="0.5">
      <c r="D67" s="15" t="s">
        <v>577</v>
      </c>
      <c r="E67" s="18">
        <v>24124920</v>
      </c>
      <c r="G67" s="1" t="str">
        <f>VLOOKUP(D67,'Data - Customer Master'!$C$3:$D$51,2,0)</f>
        <v>Mint IT Pvt Ltd</v>
      </c>
      <c r="H67" s="21" t="str">
        <f t="shared" si="3"/>
        <v>YES</v>
      </c>
      <c r="I67" s="18">
        <f t="shared" si="2"/>
        <v>24124920</v>
      </c>
    </row>
    <row r="68" spans="4:9" x14ac:dyDescent="0.5">
      <c r="D68" s="15" t="s">
        <v>378</v>
      </c>
      <c r="E68" s="18">
        <v>19650710</v>
      </c>
      <c r="G68" s="1" t="str">
        <f>VLOOKUP(D68,'Data - Customer Master'!$C$3:$D$51,2,0)</f>
        <v>Forest Green IT Ltd</v>
      </c>
      <c r="H68" s="21" t="str">
        <f t="shared" si="3"/>
        <v>YES</v>
      </c>
      <c r="I68" s="18">
        <f t="shared" si="2"/>
        <v>19650710</v>
      </c>
    </row>
    <row r="69" spans="4:9" x14ac:dyDescent="0.5">
      <c r="D69" s="15" t="s">
        <v>241</v>
      </c>
      <c r="E69" s="18">
        <v>24432550</v>
      </c>
      <c r="G69" s="1" t="str">
        <f>VLOOKUP(D69,'Data - Customer Master'!$C$3:$D$51,2,0)</f>
        <v>Chartreuse Software Pvt Ltd</v>
      </c>
      <c r="H69" s="21" t="str">
        <f t="shared" si="3"/>
        <v>YES</v>
      </c>
      <c r="I69" s="18">
        <f t="shared" si="2"/>
        <v>24432550</v>
      </c>
    </row>
    <row r="70" spans="4:9" x14ac:dyDescent="0.5">
      <c r="D70" s="15" t="s">
        <v>111</v>
      </c>
      <c r="E70" s="18">
        <v>29604970</v>
      </c>
      <c r="G70" s="1" t="str">
        <f>VLOOKUP(D70,'Data - Customer Master'!$C$3:$D$51,2,0)</f>
        <v>Amber IT Pvt Ltd</v>
      </c>
      <c r="H70" s="21" t="str">
        <f t="shared" si="3"/>
        <v>YES</v>
      </c>
      <c r="I70" s="18">
        <f t="shared" si="2"/>
        <v>29604970</v>
      </c>
    </row>
    <row r="71" spans="4:9" x14ac:dyDescent="0.5">
      <c r="D71" s="15" t="s">
        <v>308</v>
      </c>
      <c r="E71" s="18">
        <v>36480880</v>
      </c>
      <c r="G71" s="1" t="str">
        <f>VLOOKUP(D71,'Data - Customer Master'!$C$3:$D$51,2,0)</f>
        <v>Mustard IT Ltd</v>
      </c>
      <c r="H71" s="21" t="str">
        <f t="shared" si="3"/>
        <v>YES</v>
      </c>
      <c r="I71" s="18">
        <f t="shared" si="2"/>
        <v>36480880</v>
      </c>
    </row>
    <row r="72" spans="4:9" x14ac:dyDescent="0.5">
      <c r="D72" s="15" t="s">
        <v>156</v>
      </c>
      <c r="E72" s="18">
        <v>11805290</v>
      </c>
      <c r="G72" s="1" t="str">
        <f>VLOOKUP(D72,'Data - Customer Master'!$C$3:$D$51,2,0)</f>
        <v>Tan Tech Solutions Pvt Ltd</v>
      </c>
      <c r="H72" s="21" t="str">
        <f t="shared" si="3"/>
        <v>NO</v>
      </c>
      <c r="I72" s="18">
        <f t="shared" si="2"/>
        <v>11805290</v>
      </c>
    </row>
    <row r="73" spans="4:9" x14ac:dyDescent="0.5">
      <c r="D73" s="15" t="s">
        <v>50</v>
      </c>
      <c r="E73" s="18">
        <v>7870620</v>
      </c>
      <c r="G73" s="1" t="str">
        <f>VLOOKUP(D73,'Data - Customer Master'!$C$3:$D$51,2,0)</f>
        <v>Rust Solutions Pvt Ltd</v>
      </c>
      <c r="H73" s="21" t="str">
        <f t="shared" si="3"/>
        <v>NO</v>
      </c>
      <c r="I73" s="18">
        <f t="shared" si="2"/>
        <v>7870620</v>
      </c>
    </row>
    <row r="74" spans="4:9" x14ac:dyDescent="0.5">
      <c r="D74" s="15" t="s">
        <v>608</v>
      </c>
      <c r="E74" s="18">
        <v>1867010</v>
      </c>
      <c r="G74" s="1" t="str">
        <f>VLOOKUP(D74,'Data - Customer Master'!$C$3:$D$51,2,0)</f>
        <v>Ochre IT Pvt Ltd</v>
      </c>
      <c r="H74" s="21" t="str">
        <f t="shared" si="3"/>
        <v>NO</v>
      </c>
      <c r="I74" s="18">
        <f t="shared" si="2"/>
        <v>1867010</v>
      </c>
    </row>
    <row r="75" spans="4:9" x14ac:dyDescent="0.5">
      <c r="D75" s="15" t="s">
        <v>272</v>
      </c>
      <c r="E75" s="18">
        <v>3294720</v>
      </c>
      <c r="G75" s="1" t="str">
        <f>VLOOKUP(D75,'Data - Customer Master'!$C$3:$D$51,2,0)</f>
        <v>Sepia Software Pvt Ltd</v>
      </c>
      <c r="H75" s="21" t="str">
        <f t="shared" si="3"/>
        <v>NO</v>
      </c>
      <c r="I75" s="18">
        <f t="shared" si="2"/>
        <v>3294720</v>
      </c>
    </row>
    <row r="76" spans="4:9" x14ac:dyDescent="0.5">
      <c r="D76" s="15" t="s">
        <v>92</v>
      </c>
      <c r="E76" s="18">
        <v>15120740</v>
      </c>
      <c r="G76" s="1" t="str">
        <f>VLOOKUP(D76,'Data - Customer Master'!$C$3:$D$51,2,0)</f>
        <v>Umber IT Pvt Ltd</v>
      </c>
      <c r="H76" s="21" t="str">
        <f t="shared" si="3"/>
        <v>NO</v>
      </c>
      <c r="I76" s="18">
        <f t="shared" si="2"/>
        <v>15120740</v>
      </c>
    </row>
    <row r="77" spans="4:9" x14ac:dyDescent="0.5">
      <c r="D77" s="15" t="s">
        <v>72</v>
      </c>
      <c r="E77" s="18">
        <v>13880470</v>
      </c>
      <c r="G77" s="1" t="str">
        <f>VLOOKUP(D77,'Data - Customer Master'!$C$3:$D$51,2,0)</f>
        <v>Sienna Software Ltd</v>
      </c>
      <c r="H77" s="21" t="str">
        <f t="shared" si="3"/>
        <v>NO</v>
      </c>
      <c r="I77" s="18">
        <f t="shared" si="2"/>
        <v>13880470</v>
      </c>
    </row>
    <row r="78" spans="4:9" x14ac:dyDescent="0.5">
      <c r="D78" s="15" t="s">
        <v>195</v>
      </c>
      <c r="E78" s="18">
        <v>6587810</v>
      </c>
      <c r="G78" s="1" t="str">
        <f>VLOOKUP(D78,'Data - Customer Master'!$C$3:$D$51,2,0)</f>
        <v>Chocolate Tech Solutions Pvt Ltd</v>
      </c>
      <c r="H78" s="21" t="str">
        <f t="shared" si="3"/>
        <v>NO</v>
      </c>
      <c r="I78" s="18">
        <f t="shared" si="2"/>
        <v>6587810</v>
      </c>
    </row>
    <row r="79" spans="4:9" x14ac:dyDescent="0.5">
      <c r="D79" s="15" t="s">
        <v>332</v>
      </c>
      <c r="E79" s="18">
        <v>7139210</v>
      </c>
      <c r="G79" s="1" t="str">
        <f>VLOOKUP(D79,'Data - Customer Master'!$C$3:$D$51,2,0)</f>
        <v>Mocha Infocom Ltd</v>
      </c>
      <c r="H79" s="21" t="str">
        <f t="shared" si="3"/>
        <v>NO</v>
      </c>
      <c r="I79" s="18">
        <f t="shared" si="2"/>
        <v>7139210</v>
      </c>
    </row>
    <row r="80" spans="4:9" x14ac:dyDescent="0.5">
      <c r="D80" s="15" t="s">
        <v>1346</v>
      </c>
      <c r="E80" s="18">
        <v>480843420</v>
      </c>
      <c r="I80" s="18">
        <f>SUM(I31:I79)</f>
        <v>480843420</v>
      </c>
    </row>
    <row r="83" spans="2:4" x14ac:dyDescent="0.5">
      <c r="B83" s="20"/>
    </row>
    <row r="93" spans="2:4" x14ac:dyDescent="0.5">
      <c r="D93" s="15"/>
    </row>
    <row r="94" spans="2:4" x14ac:dyDescent="0.5">
      <c r="D94" s="15"/>
    </row>
  </sheetData>
  <autoFilter ref="G30:I79"/>
  <conditionalFormatting sqref="I31:I7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{C6BDBBD3-93A7-4C79-A872-3D2FA255D1FF}</x14:id>
        </ext>
      </extLst>
    </cfRule>
  </conditionalFormatting>
  <pageMargins left="0.7" right="0.7" top="0.75" bottom="0.75" header="0.3" footer="0.3"/>
  <pageSetup orientation="portrait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BDBBD3-93A7-4C79-A872-3D2FA255D1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I31:I79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26"/>
  <sheetViews>
    <sheetView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41.6328125" style="1" bestFit="1" customWidth="1"/>
    <col min="3" max="3" width="14.7265625" style="1" bestFit="1" customWidth="1"/>
    <col min="4" max="5" width="14.7265625" style="1" customWidth="1"/>
    <col min="6" max="6" width="33.6328125" style="1" bestFit="1" customWidth="1"/>
    <col min="7" max="7" width="23" style="1" bestFit="1" customWidth="1"/>
    <col min="8" max="8" width="19.08984375" style="1" customWidth="1"/>
    <col min="9" max="9" width="32.1796875" style="1" bestFit="1" customWidth="1"/>
    <col min="10" max="10" width="13.08984375" style="1" bestFit="1" customWidth="1"/>
    <col min="11" max="16384" width="8.7265625" style="1"/>
  </cols>
  <sheetData>
    <row r="2" spans="1:10" x14ac:dyDescent="0.5">
      <c r="A2" s="1">
        <v>7</v>
      </c>
      <c r="B2" s="1" t="s">
        <v>1559</v>
      </c>
    </row>
    <row r="3" spans="1:10" x14ac:dyDescent="0.5">
      <c r="B3" s="45" t="s">
        <v>1475</v>
      </c>
      <c r="C3" s="45" t="s">
        <v>1476</v>
      </c>
      <c r="D3" s="45" t="s">
        <v>1477</v>
      </c>
      <c r="E3" s="45" t="s">
        <v>1478</v>
      </c>
      <c r="F3" s="45" t="s">
        <v>1613</v>
      </c>
      <c r="G3" s="45" t="s">
        <v>1480</v>
      </c>
      <c r="H3" s="5"/>
      <c r="I3" s="45" t="s">
        <v>1546</v>
      </c>
      <c r="J3" s="45" t="s">
        <v>1547</v>
      </c>
    </row>
    <row r="4" spans="1:10" x14ac:dyDescent="0.5">
      <c r="B4" s="46" t="s">
        <v>231</v>
      </c>
      <c r="C4" s="46" t="s">
        <v>60</v>
      </c>
      <c r="D4" s="47">
        <v>1</v>
      </c>
      <c r="E4" s="48" t="s">
        <v>1481</v>
      </c>
      <c r="F4" s="30" t="str">
        <f t="shared" ref="F4:F67" si="0">IF(D4=100%,"Completed","Contract-In-Progress")</f>
        <v>Completed</v>
      </c>
      <c r="G4" s="46" t="s">
        <v>1324</v>
      </c>
      <c r="I4" s="46" t="str">
        <f>IFERROR(VLOOKUP(B4,'Test 1,2'!$E$4:$I$604,5,0),"NOT BILLED")</f>
        <v>Jul</v>
      </c>
      <c r="J4" s="46" t="str">
        <f t="shared" ref="J4:J67" si="1">IF(I4&lt;&gt;"NOT BILLED",IF(D4=100%,"PASS","FLAG"),IF(D4&lt;100%,"PASS","FLAG"))</f>
        <v>PASS</v>
      </c>
    </row>
    <row r="5" spans="1:10" x14ac:dyDescent="0.5">
      <c r="B5" s="46" t="s">
        <v>136</v>
      </c>
      <c r="C5" s="46" t="s">
        <v>114</v>
      </c>
      <c r="D5" s="47">
        <v>1</v>
      </c>
      <c r="E5" s="48" t="s">
        <v>1481</v>
      </c>
      <c r="F5" s="30" t="str">
        <f t="shared" si="0"/>
        <v>Completed</v>
      </c>
      <c r="G5" s="46" t="s">
        <v>1324</v>
      </c>
      <c r="I5" s="46" t="str">
        <f>IFERROR(VLOOKUP(B5,'Test 1,2'!$E$4:$I$604,5,0),"NOT BILLED")</f>
        <v>Apr</v>
      </c>
      <c r="J5" s="46" t="str">
        <f t="shared" si="1"/>
        <v>PASS</v>
      </c>
    </row>
    <row r="6" spans="1:10" x14ac:dyDescent="0.5">
      <c r="B6" s="46" t="s">
        <v>873</v>
      </c>
      <c r="C6" s="46" t="s">
        <v>50</v>
      </c>
      <c r="D6" s="47">
        <v>1</v>
      </c>
      <c r="E6" s="48" t="s">
        <v>1482</v>
      </c>
      <c r="F6" s="30" t="str">
        <f t="shared" si="0"/>
        <v>Completed</v>
      </c>
      <c r="G6" s="46" t="s">
        <v>1324</v>
      </c>
      <c r="I6" s="46" t="str">
        <f>IFERROR(VLOOKUP(B6,'Test 1,2'!$E$4:$I$604,5,0),"NOT BILLED")</f>
        <v>Jul</v>
      </c>
      <c r="J6" s="46" t="str">
        <f t="shared" si="1"/>
        <v>PASS</v>
      </c>
    </row>
    <row r="7" spans="1:10" x14ac:dyDescent="0.5">
      <c r="B7" s="46" t="s">
        <v>375</v>
      </c>
      <c r="C7" s="46" t="s">
        <v>54</v>
      </c>
      <c r="D7" s="47">
        <v>1</v>
      </c>
      <c r="E7" s="48" t="s">
        <v>1482</v>
      </c>
      <c r="F7" s="30" t="str">
        <f t="shared" si="0"/>
        <v>Completed</v>
      </c>
      <c r="G7" s="46" t="s">
        <v>1324</v>
      </c>
      <c r="I7" s="46" t="str">
        <f>IFERROR(VLOOKUP(B7,'Test 1,2'!$E$4:$I$604,5,0),"NOT BILLED")</f>
        <v>Sep</v>
      </c>
      <c r="J7" s="46" t="str">
        <f t="shared" si="1"/>
        <v>PASS</v>
      </c>
    </row>
    <row r="8" spans="1:10" x14ac:dyDescent="0.5">
      <c r="B8" s="46" t="s">
        <v>233</v>
      </c>
      <c r="C8" s="46" t="s">
        <v>187</v>
      </c>
      <c r="D8" s="47">
        <v>1</v>
      </c>
      <c r="E8" s="48" t="s">
        <v>1482</v>
      </c>
      <c r="F8" s="30" t="str">
        <f t="shared" si="0"/>
        <v>Completed</v>
      </c>
      <c r="G8" s="46" t="s">
        <v>1324</v>
      </c>
      <c r="I8" s="46" t="str">
        <f>IFERROR(VLOOKUP(B8,'Test 1,2'!$E$4:$I$604,5,0),"NOT BILLED")</f>
        <v>Jul</v>
      </c>
      <c r="J8" s="46" t="str">
        <f t="shared" si="1"/>
        <v>PASS</v>
      </c>
    </row>
    <row r="9" spans="1:10" x14ac:dyDescent="0.5">
      <c r="B9" s="46" t="s">
        <v>571</v>
      </c>
      <c r="C9" s="46" t="s">
        <v>72</v>
      </c>
      <c r="D9" s="47">
        <v>1</v>
      </c>
      <c r="E9" s="48" t="s">
        <v>1481</v>
      </c>
      <c r="F9" s="30" t="str">
        <f t="shared" si="0"/>
        <v>Completed</v>
      </c>
      <c r="G9" s="46" t="s">
        <v>1324</v>
      </c>
      <c r="I9" s="46" t="str">
        <f>IFERROR(VLOOKUP(B9,'Test 1,2'!$E$4:$I$604,5,0),"NOT BILLED")</f>
        <v>Jan</v>
      </c>
      <c r="J9" s="46" t="str">
        <f t="shared" si="1"/>
        <v>PASS</v>
      </c>
    </row>
    <row r="10" spans="1:10" x14ac:dyDescent="0.5">
      <c r="B10" s="46" t="s">
        <v>1194</v>
      </c>
      <c r="C10" s="46" t="s">
        <v>156</v>
      </c>
      <c r="D10" s="47">
        <v>1</v>
      </c>
      <c r="E10" s="48" t="s">
        <v>1481</v>
      </c>
      <c r="F10" s="30" t="str">
        <f t="shared" si="0"/>
        <v>Completed</v>
      </c>
      <c r="G10" s="46" t="s">
        <v>1325</v>
      </c>
      <c r="I10" s="46" t="str">
        <f>IFERROR(VLOOKUP(B10,'Test 1,2'!$E$4:$I$604,5,0),"NOT BILLED")</f>
        <v>Jan</v>
      </c>
      <c r="J10" s="46" t="str">
        <f t="shared" si="1"/>
        <v>PASS</v>
      </c>
    </row>
    <row r="11" spans="1:10" x14ac:dyDescent="0.5">
      <c r="B11" s="46" t="s">
        <v>809</v>
      </c>
      <c r="C11" s="46" t="s">
        <v>125</v>
      </c>
      <c r="D11" s="47">
        <v>1</v>
      </c>
      <c r="E11" s="48" t="s">
        <v>1482</v>
      </c>
      <c r="F11" s="30" t="str">
        <f t="shared" si="0"/>
        <v>Completed</v>
      </c>
      <c r="G11" s="46" t="s">
        <v>1325</v>
      </c>
      <c r="I11" s="46" t="str">
        <f>IFERROR(VLOOKUP(B11,'Test 1,2'!$E$4:$I$604,5,0),"NOT BILLED")</f>
        <v>Jul</v>
      </c>
      <c r="J11" s="46" t="str">
        <f t="shared" si="1"/>
        <v>PASS</v>
      </c>
    </row>
    <row r="12" spans="1:10" x14ac:dyDescent="0.5">
      <c r="B12" s="46" t="s">
        <v>1043</v>
      </c>
      <c r="C12" s="46" t="s">
        <v>114</v>
      </c>
      <c r="D12" s="47">
        <v>1</v>
      </c>
      <c r="E12" s="48" t="s">
        <v>1482</v>
      </c>
      <c r="F12" s="30" t="str">
        <f t="shared" si="0"/>
        <v>Completed</v>
      </c>
      <c r="G12" s="46" t="s">
        <v>1324</v>
      </c>
      <c r="I12" s="46" t="str">
        <f>IFERROR(VLOOKUP(B12,'Test 1,2'!$E$4:$I$604,5,0),"NOT BILLED")</f>
        <v>Nov</v>
      </c>
      <c r="J12" s="46" t="str">
        <f t="shared" si="1"/>
        <v>PASS</v>
      </c>
    </row>
    <row r="13" spans="1:10" x14ac:dyDescent="0.5">
      <c r="B13" s="46" t="s">
        <v>446</v>
      </c>
      <c r="C13" s="46" t="s">
        <v>67</v>
      </c>
      <c r="D13" s="47">
        <v>1</v>
      </c>
      <c r="E13" s="48" t="s">
        <v>1481</v>
      </c>
      <c r="F13" s="30" t="str">
        <f t="shared" si="0"/>
        <v>Completed</v>
      </c>
      <c r="G13" s="46" t="s">
        <v>1324</v>
      </c>
      <c r="I13" s="46" t="str">
        <f>IFERROR(VLOOKUP(B13,'Test 1,2'!$E$4:$I$604,5,0),"NOT BILLED")</f>
        <v>Nov</v>
      </c>
      <c r="J13" s="46" t="str">
        <f t="shared" si="1"/>
        <v>PASS</v>
      </c>
    </row>
    <row r="14" spans="1:10" x14ac:dyDescent="0.5">
      <c r="B14" s="46" t="s">
        <v>1282</v>
      </c>
      <c r="C14" s="46" t="s">
        <v>238</v>
      </c>
      <c r="D14" s="47">
        <v>1</v>
      </c>
      <c r="E14" s="48" t="s">
        <v>1481</v>
      </c>
      <c r="F14" s="30" t="str">
        <f t="shared" si="0"/>
        <v>Completed</v>
      </c>
      <c r="G14" s="46" t="s">
        <v>1324</v>
      </c>
      <c r="I14" s="46" t="str">
        <f>IFERROR(VLOOKUP(B14,'Test 1,2'!$E$4:$I$604,5,0),"NOT BILLED")</f>
        <v>Mar</v>
      </c>
      <c r="J14" s="46" t="str">
        <f t="shared" si="1"/>
        <v>PASS</v>
      </c>
    </row>
    <row r="15" spans="1:10" x14ac:dyDescent="0.5">
      <c r="B15" s="46" t="s">
        <v>741</v>
      </c>
      <c r="C15" s="46" t="s">
        <v>308</v>
      </c>
      <c r="D15" s="47">
        <v>1</v>
      </c>
      <c r="E15" s="48" t="s">
        <v>1482</v>
      </c>
      <c r="F15" s="30" t="str">
        <f t="shared" si="0"/>
        <v>Completed</v>
      </c>
      <c r="G15" s="46" t="s">
        <v>1325</v>
      </c>
      <c r="I15" s="46" t="str">
        <f>IFERROR(VLOOKUP(B15,'Test 1,2'!$E$4:$I$604,5,0),"NOT BILLED")</f>
        <v>May</v>
      </c>
      <c r="J15" s="46" t="str">
        <f t="shared" si="1"/>
        <v>PASS</v>
      </c>
    </row>
    <row r="16" spans="1:10" x14ac:dyDescent="0.5">
      <c r="B16" s="46" t="s">
        <v>971</v>
      </c>
      <c r="C16" s="46" t="s">
        <v>290</v>
      </c>
      <c r="D16" s="47">
        <v>1</v>
      </c>
      <c r="E16" s="48" t="s">
        <v>1482</v>
      </c>
      <c r="F16" s="30" t="str">
        <f t="shared" si="0"/>
        <v>Completed</v>
      </c>
      <c r="G16" s="46" t="s">
        <v>1324</v>
      </c>
      <c r="I16" s="46" t="str">
        <f>IFERROR(VLOOKUP(B16,'Test 1,2'!$E$4:$I$604,5,0),"NOT BILLED")</f>
        <v>Sep</v>
      </c>
      <c r="J16" s="46" t="str">
        <f t="shared" si="1"/>
        <v>PASS</v>
      </c>
    </row>
    <row r="17" spans="2:10" x14ac:dyDescent="0.5">
      <c r="B17" s="46" t="s">
        <v>933</v>
      </c>
      <c r="C17" s="46" t="s">
        <v>95</v>
      </c>
      <c r="D17" s="47">
        <v>1</v>
      </c>
      <c r="E17" s="48" t="s">
        <v>1482</v>
      </c>
      <c r="F17" s="30" t="str">
        <f t="shared" si="0"/>
        <v>Completed</v>
      </c>
      <c r="G17" s="46" t="s">
        <v>1324</v>
      </c>
      <c r="I17" s="46" t="str">
        <f>IFERROR(VLOOKUP(B17,'Test 1,2'!$E$4:$I$604,5,0),"NOT BILLED")</f>
        <v>Aug</v>
      </c>
      <c r="J17" s="46" t="str">
        <f t="shared" si="1"/>
        <v>PASS</v>
      </c>
    </row>
    <row r="18" spans="2:10" x14ac:dyDescent="0.5">
      <c r="B18" s="46" t="s">
        <v>148</v>
      </c>
      <c r="C18" s="46" t="s">
        <v>27</v>
      </c>
      <c r="D18" s="47">
        <v>1</v>
      </c>
      <c r="E18" s="48" t="s">
        <v>1481</v>
      </c>
      <c r="F18" s="30" t="str">
        <f t="shared" si="0"/>
        <v>Completed</v>
      </c>
      <c r="G18" s="46" t="s">
        <v>1324</v>
      </c>
      <c r="I18" s="46" t="str">
        <f>IFERROR(VLOOKUP(B18,'Test 1,2'!$E$4:$I$604,5,0),"NOT BILLED")</f>
        <v>May</v>
      </c>
      <c r="J18" s="46" t="str">
        <f t="shared" si="1"/>
        <v>PASS</v>
      </c>
    </row>
    <row r="19" spans="2:10" x14ac:dyDescent="0.5">
      <c r="B19" s="46" t="s">
        <v>827</v>
      </c>
      <c r="C19" s="46" t="s">
        <v>50</v>
      </c>
      <c r="D19" s="47">
        <v>1</v>
      </c>
      <c r="E19" s="48" t="s">
        <v>1481</v>
      </c>
      <c r="F19" s="30" t="str">
        <f t="shared" si="0"/>
        <v>Completed</v>
      </c>
      <c r="G19" s="46" t="s">
        <v>1324</v>
      </c>
      <c r="I19" s="46" t="str">
        <f>IFERROR(VLOOKUP(B19,'Test 1,2'!$E$4:$I$604,5,0),"NOT BILLED")</f>
        <v>Jul</v>
      </c>
      <c r="J19" s="46" t="str">
        <f t="shared" si="1"/>
        <v>PASS</v>
      </c>
    </row>
    <row r="20" spans="2:10" x14ac:dyDescent="0.5">
      <c r="B20" s="46" t="s">
        <v>831</v>
      </c>
      <c r="C20" s="46" t="s">
        <v>54</v>
      </c>
      <c r="D20" s="47">
        <v>1</v>
      </c>
      <c r="E20" s="48" t="s">
        <v>1482</v>
      </c>
      <c r="F20" s="30" t="str">
        <f t="shared" si="0"/>
        <v>Completed</v>
      </c>
      <c r="G20" s="46" t="s">
        <v>1324</v>
      </c>
      <c r="I20" s="46" t="str">
        <f>IFERROR(VLOOKUP(B20,'Test 1,2'!$E$4:$I$604,5,0),"NOT BILLED")</f>
        <v>Jul</v>
      </c>
      <c r="J20" s="46" t="str">
        <f t="shared" si="1"/>
        <v>PASS</v>
      </c>
    </row>
    <row r="21" spans="2:10" x14ac:dyDescent="0.5">
      <c r="B21" s="46" t="s">
        <v>336</v>
      </c>
      <c r="C21" s="46" t="s">
        <v>60</v>
      </c>
      <c r="D21" s="47">
        <v>1</v>
      </c>
      <c r="E21" s="48" t="s">
        <v>1481</v>
      </c>
      <c r="F21" s="30" t="str">
        <f t="shared" si="0"/>
        <v>Completed</v>
      </c>
      <c r="G21" s="46" t="s">
        <v>1324</v>
      </c>
      <c r="I21" s="46" t="str">
        <f>IFERROR(VLOOKUP(B21,'Test 1,2'!$E$4:$I$604,5,0),"NOT BILLED")</f>
        <v>Sep</v>
      </c>
      <c r="J21" s="46" t="str">
        <f t="shared" si="1"/>
        <v>PASS</v>
      </c>
    </row>
    <row r="22" spans="2:10" x14ac:dyDescent="0.5">
      <c r="B22" s="46" t="s">
        <v>855</v>
      </c>
      <c r="C22" s="46" t="s">
        <v>269</v>
      </c>
      <c r="D22" s="47">
        <v>1</v>
      </c>
      <c r="E22" s="48" t="s">
        <v>1481</v>
      </c>
      <c r="F22" s="30" t="str">
        <f t="shared" si="0"/>
        <v>Completed</v>
      </c>
      <c r="G22" s="46" t="s">
        <v>1324</v>
      </c>
      <c r="I22" s="46" t="str">
        <f>IFERROR(VLOOKUP(B22,'Test 1,2'!$E$4:$I$604,5,0),"NOT BILLED")</f>
        <v>Jul</v>
      </c>
      <c r="J22" s="46" t="str">
        <f t="shared" si="1"/>
        <v>PASS</v>
      </c>
    </row>
    <row r="23" spans="2:10" x14ac:dyDescent="0.5">
      <c r="B23" s="46" t="s">
        <v>1063</v>
      </c>
      <c r="C23" s="46" t="s">
        <v>27</v>
      </c>
      <c r="D23" s="47">
        <v>1</v>
      </c>
      <c r="E23" s="48" t="s">
        <v>1481</v>
      </c>
      <c r="F23" s="30" t="str">
        <f t="shared" si="0"/>
        <v>Completed</v>
      </c>
      <c r="G23" s="46" t="s">
        <v>1324</v>
      </c>
      <c r="I23" s="46" t="str">
        <f>IFERROR(VLOOKUP(B23,'Test 1,2'!$E$4:$I$604,5,0),"NOT BILLED")</f>
        <v>Nov</v>
      </c>
      <c r="J23" s="46" t="str">
        <f t="shared" si="1"/>
        <v>PASS</v>
      </c>
    </row>
    <row r="24" spans="2:10" x14ac:dyDescent="0.5">
      <c r="B24" s="46" t="s">
        <v>86</v>
      </c>
      <c r="C24" s="46" t="s">
        <v>87</v>
      </c>
      <c r="D24" s="47">
        <v>1</v>
      </c>
      <c r="E24" s="48" t="s">
        <v>1481</v>
      </c>
      <c r="F24" s="30" t="str">
        <f t="shared" si="0"/>
        <v>Completed</v>
      </c>
      <c r="G24" s="46" t="s">
        <v>1324</v>
      </c>
      <c r="I24" s="46" t="str">
        <f>IFERROR(VLOOKUP(B24,'Test 1,2'!$E$4:$I$604,5,0),"NOT BILLED")</f>
        <v>Apr</v>
      </c>
      <c r="J24" s="46" t="str">
        <f t="shared" si="1"/>
        <v>PASS</v>
      </c>
    </row>
    <row r="25" spans="2:10" x14ac:dyDescent="0.5">
      <c r="B25" s="46" t="s">
        <v>514</v>
      </c>
      <c r="C25" s="46" t="s">
        <v>119</v>
      </c>
      <c r="D25" s="47">
        <v>1</v>
      </c>
      <c r="E25" s="48" t="s">
        <v>1482</v>
      </c>
      <c r="F25" s="30" t="str">
        <f t="shared" si="0"/>
        <v>Completed</v>
      </c>
      <c r="G25" s="46" t="s">
        <v>1324</v>
      </c>
      <c r="I25" s="46" t="str">
        <f>IFERROR(VLOOKUP(B25,'Test 1,2'!$E$4:$I$604,5,0),"NOT BILLED")</f>
        <v>Jan</v>
      </c>
      <c r="J25" s="46" t="str">
        <f t="shared" si="1"/>
        <v>PASS</v>
      </c>
    </row>
    <row r="26" spans="2:10" x14ac:dyDescent="0.5">
      <c r="B26" s="46" t="s">
        <v>186</v>
      </c>
      <c r="C26" s="46" t="s">
        <v>187</v>
      </c>
      <c r="D26" s="47">
        <v>1</v>
      </c>
      <c r="E26" s="48" t="s">
        <v>1481</v>
      </c>
      <c r="F26" s="30" t="str">
        <f t="shared" si="0"/>
        <v>Completed</v>
      </c>
      <c r="G26" s="46" t="s">
        <v>1324</v>
      </c>
      <c r="I26" s="46" t="str">
        <f>IFERROR(VLOOKUP(B26,'Test 1,2'!$E$4:$I$604,5,0),"NOT BILLED")</f>
        <v>Jun</v>
      </c>
      <c r="J26" s="46" t="str">
        <f t="shared" si="1"/>
        <v>PASS</v>
      </c>
    </row>
    <row r="27" spans="2:10" x14ac:dyDescent="0.5">
      <c r="B27" s="46" t="s">
        <v>299</v>
      </c>
      <c r="C27" s="46" t="s">
        <v>111</v>
      </c>
      <c r="D27" s="47">
        <v>1</v>
      </c>
      <c r="E27" s="48" t="s">
        <v>1482</v>
      </c>
      <c r="F27" s="30" t="str">
        <f t="shared" si="0"/>
        <v>Completed</v>
      </c>
      <c r="G27" s="46" t="s">
        <v>1324</v>
      </c>
      <c r="I27" s="46" t="str">
        <f>IFERROR(VLOOKUP(B27,'Test 1,2'!$E$4:$I$604,5,0),"NOT BILLED")</f>
        <v>Aug</v>
      </c>
      <c r="J27" s="46" t="str">
        <f t="shared" si="1"/>
        <v>PASS</v>
      </c>
    </row>
    <row r="28" spans="2:10" x14ac:dyDescent="0.5">
      <c r="B28" s="46" t="s">
        <v>116</v>
      </c>
      <c r="C28" s="46" t="s">
        <v>114</v>
      </c>
      <c r="D28" s="47">
        <v>1</v>
      </c>
      <c r="E28" s="48" t="s">
        <v>1482</v>
      </c>
      <c r="F28" s="30" t="str">
        <f t="shared" si="0"/>
        <v>Completed</v>
      </c>
      <c r="G28" s="46" t="s">
        <v>1324</v>
      </c>
      <c r="I28" s="46" t="str">
        <f>IFERROR(VLOOKUP(B28,'Test 1,2'!$E$4:$I$604,5,0),"NOT BILLED")</f>
        <v>May</v>
      </c>
      <c r="J28" s="46" t="str">
        <f t="shared" si="1"/>
        <v>PASS</v>
      </c>
    </row>
    <row r="29" spans="2:10" x14ac:dyDescent="0.5">
      <c r="B29" s="46" t="s">
        <v>896</v>
      </c>
      <c r="C29" s="46" t="s">
        <v>45</v>
      </c>
      <c r="D29" s="47">
        <v>1</v>
      </c>
      <c r="E29" s="48" t="s">
        <v>1481</v>
      </c>
      <c r="F29" s="30" t="str">
        <f t="shared" si="0"/>
        <v>Completed</v>
      </c>
      <c r="G29" s="46" t="s">
        <v>1324</v>
      </c>
      <c r="I29" s="46" t="str">
        <f>IFERROR(VLOOKUP(B29,'Test 1,2'!$E$4:$I$604,5,0),"NOT BILLED")</f>
        <v>Aug</v>
      </c>
      <c r="J29" s="46" t="str">
        <f t="shared" si="1"/>
        <v>PASS</v>
      </c>
    </row>
    <row r="30" spans="2:10" x14ac:dyDescent="0.5">
      <c r="B30" s="46" t="s">
        <v>279</v>
      </c>
      <c r="C30" s="46" t="s">
        <v>195</v>
      </c>
      <c r="D30" s="47">
        <v>1</v>
      </c>
      <c r="E30" s="48" t="s">
        <v>1481</v>
      </c>
      <c r="F30" s="30" t="str">
        <f t="shared" si="0"/>
        <v>Completed</v>
      </c>
      <c r="G30" s="46" t="s">
        <v>1324</v>
      </c>
      <c r="I30" s="46" t="str">
        <f>IFERROR(VLOOKUP(B30,'Test 1,2'!$E$4:$I$604,5,0),"NOT BILLED")</f>
        <v>Aug</v>
      </c>
      <c r="J30" s="46" t="str">
        <f t="shared" si="1"/>
        <v>PASS</v>
      </c>
    </row>
    <row r="31" spans="2:10" x14ac:dyDescent="0.5">
      <c r="B31" s="46" t="s">
        <v>276</v>
      </c>
      <c r="C31" s="46" t="s">
        <v>95</v>
      </c>
      <c r="D31" s="47">
        <v>1</v>
      </c>
      <c r="E31" s="48" t="s">
        <v>1482</v>
      </c>
      <c r="F31" s="30" t="str">
        <f t="shared" si="0"/>
        <v>Completed</v>
      </c>
      <c r="G31" s="46" t="s">
        <v>1324</v>
      </c>
      <c r="I31" s="46" t="str">
        <f>IFERROR(VLOOKUP(B31,'Test 1,2'!$E$4:$I$604,5,0),"NOT BILLED")</f>
        <v>Aug</v>
      </c>
      <c r="J31" s="46" t="str">
        <f t="shared" si="1"/>
        <v>PASS</v>
      </c>
    </row>
    <row r="32" spans="2:10" x14ac:dyDescent="0.5">
      <c r="B32" s="46" t="s">
        <v>373</v>
      </c>
      <c r="C32" s="46" t="s">
        <v>87</v>
      </c>
      <c r="D32" s="47">
        <v>1</v>
      </c>
      <c r="E32" s="48" t="s">
        <v>1481</v>
      </c>
      <c r="F32" s="30" t="str">
        <f t="shared" si="0"/>
        <v>Completed</v>
      </c>
      <c r="G32" s="46" t="s">
        <v>1324</v>
      </c>
      <c r="I32" s="46" t="str">
        <f>IFERROR(VLOOKUP(B32,'Test 1,2'!$E$4:$I$604,5,0),"NOT BILLED")</f>
        <v>Sep</v>
      </c>
      <c r="J32" s="46" t="str">
        <f t="shared" si="1"/>
        <v>PASS</v>
      </c>
    </row>
    <row r="33" spans="2:10" x14ac:dyDescent="0.5">
      <c r="B33" s="46" t="s">
        <v>1152</v>
      </c>
      <c r="C33" s="46" t="s">
        <v>95</v>
      </c>
      <c r="D33" s="47">
        <v>1</v>
      </c>
      <c r="E33" s="48" t="s">
        <v>1481</v>
      </c>
      <c r="F33" s="30" t="str">
        <f t="shared" si="0"/>
        <v>Completed</v>
      </c>
      <c r="G33" s="46" t="s">
        <v>1324</v>
      </c>
      <c r="I33" s="46" t="str">
        <f>IFERROR(VLOOKUP(B33,'Test 1,2'!$E$4:$I$604,5,0),"NOT BILLED")</f>
        <v>Jan</v>
      </c>
      <c r="J33" s="46" t="str">
        <f t="shared" si="1"/>
        <v>PASS</v>
      </c>
    </row>
    <row r="34" spans="2:10" x14ac:dyDescent="0.5">
      <c r="B34" s="46" t="s">
        <v>1134</v>
      </c>
      <c r="C34" s="46" t="s">
        <v>50</v>
      </c>
      <c r="D34" s="47">
        <v>1</v>
      </c>
      <c r="E34" s="48" t="s">
        <v>1482</v>
      </c>
      <c r="F34" s="30" t="str">
        <f t="shared" si="0"/>
        <v>Completed</v>
      </c>
      <c r="G34" s="46" t="s">
        <v>1324</v>
      </c>
      <c r="I34" s="46" t="str">
        <f>IFERROR(VLOOKUP(B34,'Test 1,2'!$E$4:$I$604,5,0),"NOT BILLED")</f>
        <v>Dec</v>
      </c>
      <c r="J34" s="46" t="str">
        <f t="shared" si="1"/>
        <v>PASS</v>
      </c>
    </row>
    <row r="35" spans="2:10" x14ac:dyDescent="0.5">
      <c r="B35" s="46" t="s">
        <v>559</v>
      </c>
      <c r="C35" s="46" t="s">
        <v>67</v>
      </c>
      <c r="D35" s="47">
        <v>1</v>
      </c>
      <c r="E35" s="48" t="s">
        <v>1482</v>
      </c>
      <c r="F35" s="30" t="str">
        <f t="shared" si="0"/>
        <v>Completed</v>
      </c>
      <c r="G35" s="46" t="s">
        <v>1324</v>
      </c>
      <c r="I35" s="46" t="str">
        <f>IFERROR(VLOOKUP(B35,'Test 1,2'!$E$4:$I$604,5,0),"NOT BILLED")</f>
        <v>Jan</v>
      </c>
      <c r="J35" s="46" t="str">
        <f t="shared" si="1"/>
        <v>PASS</v>
      </c>
    </row>
    <row r="36" spans="2:10" x14ac:dyDescent="0.5">
      <c r="B36" s="46" t="s">
        <v>676</v>
      </c>
      <c r="C36" s="46" t="s">
        <v>95</v>
      </c>
      <c r="D36" s="47">
        <v>1</v>
      </c>
      <c r="E36" s="48" t="s">
        <v>1482</v>
      </c>
      <c r="F36" s="30" t="str">
        <f t="shared" si="0"/>
        <v>Completed</v>
      </c>
      <c r="G36" s="46" t="s">
        <v>1324</v>
      </c>
      <c r="I36" s="46" t="str">
        <f>IFERROR(VLOOKUP(B36,'Test 1,2'!$E$4:$I$604,5,0),"NOT BILLED")</f>
        <v>Apr</v>
      </c>
      <c r="J36" s="46" t="str">
        <f t="shared" si="1"/>
        <v>PASS</v>
      </c>
    </row>
    <row r="37" spans="2:10" x14ac:dyDescent="0.5">
      <c r="B37" s="46" t="s">
        <v>851</v>
      </c>
      <c r="C37" s="46" t="s">
        <v>103</v>
      </c>
      <c r="D37" s="47">
        <v>1</v>
      </c>
      <c r="E37" s="48" t="s">
        <v>1481</v>
      </c>
      <c r="F37" s="30" t="str">
        <f t="shared" si="0"/>
        <v>Completed</v>
      </c>
      <c r="G37" s="46" t="s">
        <v>1324</v>
      </c>
      <c r="I37" s="46" t="str">
        <f>IFERROR(VLOOKUP(B37,'Test 1,2'!$E$4:$I$604,5,0),"NOT BILLED")</f>
        <v>Jul</v>
      </c>
      <c r="J37" s="46" t="str">
        <f t="shared" si="1"/>
        <v>PASS</v>
      </c>
    </row>
    <row r="38" spans="2:10" x14ac:dyDescent="0.5">
      <c r="B38" s="46" t="s">
        <v>781</v>
      </c>
      <c r="C38" s="46" t="s">
        <v>293</v>
      </c>
      <c r="D38" s="47">
        <v>1</v>
      </c>
      <c r="E38" s="48" t="s">
        <v>1482</v>
      </c>
      <c r="F38" s="30" t="str">
        <f t="shared" si="0"/>
        <v>Completed</v>
      </c>
      <c r="G38" s="46" t="s">
        <v>1324</v>
      </c>
      <c r="I38" s="46" t="str">
        <f>IFERROR(VLOOKUP(B38,'Test 1,2'!$E$4:$I$604,5,0),"NOT BILLED")</f>
        <v>Jun</v>
      </c>
      <c r="J38" s="46" t="str">
        <f t="shared" si="1"/>
        <v>PASS</v>
      </c>
    </row>
    <row r="39" spans="2:10" x14ac:dyDescent="0.5">
      <c r="B39" s="46" t="s">
        <v>886</v>
      </c>
      <c r="C39" s="46" t="s">
        <v>308</v>
      </c>
      <c r="D39" s="47">
        <v>1</v>
      </c>
      <c r="E39" s="48" t="s">
        <v>1482</v>
      </c>
      <c r="F39" s="30" t="str">
        <f t="shared" si="0"/>
        <v>Completed</v>
      </c>
      <c r="G39" s="46" t="s">
        <v>1324</v>
      </c>
      <c r="I39" s="46" t="str">
        <f>IFERROR(VLOOKUP(B39,'Test 1,2'!$E$4:$I$604,5,0),"NOT BILLED")</f>
        <v>Aug</v>
      </c>
      <c r="J39" s="46" t="str">
        <f t="shared" si="1"/>
        <v>PASS</v>
      </c>
    </row>
    <row r="40" spans="2:10" x14ac:dyDescent="0.5">
      <c r="B40" s="46" t="s">
        <v>880</v>
      </c>
      <c r="C40" s="46" t="s">
        <v>229</v>
      </c>
      <c r="D40" s="47">
        <v>1</v>
      </c>
      <c r="E40" s="48" t="s">
        <v>1481</v>
      </c>
      <c r="F40" s="30" t="str">
        <f t="shared" si="0"/>
        <v>Completed</v>
      </c>
      <c r="G40" s="46" t="s">
        <v>1324</v>
      </c>
      <c r="I40" s="46" t="str">
        <f>IFERROR(VLOOKUP(B40,'Test 1,2'!$E$4:$I$604,5,0),"NOT BILLED")</f>
        <v>Aug</v>
      </c>
      <c r="J40" s="46" t="str">
        <f t="shared" si="1"/>
        <v>PASS</v>
      </c>
    </row>
    <row r="41" spans="2:10" x14ac:dyDescent="0.5">
      <c r="B41" s="46" t="s">
        <v>1090</v>
      </c>
      <c r="C41" s="46" t="s">
        <v>272</v>
      </c>
      <c r="D41" s="47">
        <v>1</v>
      </c>
      <c r="E41" s="48" t="s">
        <v>1481</v>
      </c>
      <c r="F41" s="30" t="str">
        <f t="shared" si="0"/>
        <v>Completed</v>
      </c>
      <c r="G41" s="46" t="s">
        <v>1324</v>
      </c>
      <c r="I41" s="46" t="str">
        <f>IFERROR(VLOOKUP(B41,'Test 1,2'!$E$4:$I$604,5,0),"NOT BILLED")</f>
        <v>Dec</v>
      </c>
      <c r="J41" s="46" t="str">
        <f t="shared" si="1"/>
        <v>PASS</v>
      </c>
    </row>
    <row r="42" spans="2:10" x14ac:dyDescent="0.5">
      <c r="B42" s="46" t="s">
        <v>652</v>
      </c>
      <c r="C42" s="46" t="s">
        <v>60</v>
      </c>
      <c r="D42" s="47">
        <v>1</v>
      </c>
      <c r="E42" s="48" t="s">
        <v>1482</v>
      </c>
      <c r="F42" s="30" t="str">
        <f t="shared" si="0"/>
        <v>Completed</v>
      </c>
      <c r="G42" s="46" t="s">
        <v>1324</v>
      </c>
      <c r="I42" s="46" t="str">
        <f>IFERROR(VLOOKUP(B42,'Test 1,2'!$E$4:$I$604,5,0),"NOT BILLED")</f>
        <v>Apr</v>
      </c>
      <c r="J42" s="46" t="str">
        <f t="shared" si="1"/>
        <v>PASS</v>
      </c>
    </row>
    <row r="43" spans="2:10" x14ac:dyDescent="0.5">
      <c r="B43" s="46" t="s">
        <v>656</v>
      </c>
      <c r="C43" s="46" t="s">
        <v>269</v>
      </c>
      <c r="D43" s="47">
        <v>1</v>
      </c>
      <c r="E43" s="48" t="s">
        <v>1482</v>
      </c>
      <c r="F43" s="30" t="str">
        <f t="shared" si="0"/>
        <v>Completed</v>
      </c>
      <c r="G43" s="46" t="s">
        <v>1324</v>
      </c>
      <c r="I43" s="46" t="str">
        <f>IFERROR(VLOOKUP(B43,'Test 1,2'!$E$4:$I$604,5,0),"NOT BILLED")</f>
        <v>Apr</v>
      </c>
      <c r="J43" s="46" t="str">
        <f t="shared" si="1"/>
        <v>PASS</v>
      </c>
    </row>
    <row r="44" spans="2:10" x14ac:dyDescent="0.5">
      <c r="B44" s="46" t="s">
        <v>549</v>
      </c>
      <c r="C44" s="46" t="s">
        <v>114</v>
      </c>
      <c r="D44" s="47">
        <v>1</v>
      </c>
      <c r="E44" s="48" t="s">
        <v>1482</v>
      </c>
      <c r="F44" s="30" t="str">
        <f t="shared" si="0"/>
        <v>Completed</v>
      </c>
      <c r="G44" s="46" t="s">
        <v>1324</v>
      </c>
      <c r="I44" s="46" t="str">
        <f>IFERROR(VLOOKUP(B44,'Test 1,2'!$E$4:$I$604,5,0),"NOT BILLED")</f>
        <v>Feb</v>
      </c>
      <c r="J44" s="46" t="str">
        <f t="shared" si="1"/>
        <v>PASS</v>
      </c>
    </row>
    <row r="45" spans="2:10" x14ac:dyDescent="0.5">
      <c r="B45" s="46" t="s">
        <v>916</v>
      </c>
      <c r="C45" s="46" t="s">
        <v>122</v>
      </c>
      <c r="D45" s="47">
        <v>1</v>
      </c>
      <c r="E45" s="48" t="s">
        <v>1481</v>
      </c>
      <c r="F45" s="30" t="str">
        <f t="shared" si="0"/>
        <v>Completed</v>
      </c>
      <c r="G45" s="46" t="s">
        <v>1324</v>
      </c>
      <c r="I45" s="46" t="str">
        <f>IFERROR(VLOOKUP(B45,'Test 1,2'!$E$4:$I$604,5,0),"NOT BILLED")</f>
        <v>Aug</v>
      </c>
      <c r="J45" s="46" t="str">
        <f t="shared" si="1"/>
        <v>PASS</v>
      </c>
    </row>
    <row r="46" spans="2:10" x14ac:dyDescent="0.5">
      <c r="B46" s="46" t="s">
        <v>268</v>
      </c>
      <c r="C46" s="46" t="s">
        <v>269</v>
      </c>
      <c r="D46" s="47">
        <v>1</v>
      </c>
      <c r="E46" s="48" t="s">
        <v>1481</v>
      </c>
      <c r="F46" s="30" t="str">
        <f t="shared" si="0"/>
        <v>Completed</v>
      </c>
      <c r="G46" s="46" t="s">
        <v>1324</v>
      </c>
      <c r="I46" s="46" t="str">
        <f>IFERROR(VLOOKUP(B46,'Test 1,2'!$E$4:$I$604,5,0),"NOT BILLED")</f>
        <v>Jul</v>
      </c>
      <c r="J46" s="46" t="str">
        <f t="shared" si="1"/>
        <v>PASS</v>
      </c>
    </row>
    <row r="47" spans="2:10" x14ac:dyDescent="0.5">
      <c r="B47" s="46" t="s">
        <v>271</v>
      </c>
      <c r="C47" s="46" t="s">
        <v>272</v>
      </c>
      <c r="D47" s="47">
        <v>1</v>
      </c>
      <c r="E47" s="48" t="s">
        <v>1482</v>
      </c>
      <c r="F47" s="30" t="str">
        <f t="shared" si="0"/>
        <v>Completed</v>
      </c>
      <c r="G47" s="46" t="s">
        <v>1324</v>
      </c>
      <c r="I47" s="46" t="str">
        <f>IFERROR(VLOOKUP(B47,'Test 1,2'!$E$4:$I$604,5,0),"NOT BILLED")</f>
        <v>Jul</v>
      </c>
      <c r="J47" s="46" t="str">
        <f t="shared" si="1"/>
        <v>PASS</v>
      </c>
    </row>
    <row r="48" spans="2:10" x14ac:dyDescent="0.5">
      <c r="B48" s="46" t="s">
        <v>1047</v>
      </c>
      <c r="C48" s="46" t="s">
        <v>184</v>
      </c>
      <c r="D48" s="47">
        <v>1</v>
      </c>
      <c r="E48" s="48" t="s">
        <v>1481</v>
      </c>
      <c r="F48" s="30" t="str">
        <f t="shared" si="0"/>
        <v>Completed</v>
      </c>
      <c r="G48" s="46" t="s">
        <v>1324</v>
      </c>
      <c r="I48" s="46" t="str">
        <f>IFERROR(VLOOKUP(B48,'Test 1,2'!$E$4:$I$604,5,0),"NOT BILLED")</f>
        <v>Nov</v>
      </c>
      <c r="J48" s="46" t="str">
        <f t="shared" si="1"/>
        <v>PASS</v>
      </c>
    </row>
    <row r="49" spans="2:10" x14ac:dyDescent="0.5">
      <c r="B49" s="46" t="s">
        <v>981</v>
      </c>
      <c r="C49" s="46" t="s">
        <v>119</v>
      </c>
      <c r="D49" s="47">
        <v>1</v>
      </c>
      <c r="E49" s="48" t="s">
        <v>1482</v>
      </c>
      <c r="F49" s="30" t="str">
        <f t="shared" si="0"/>
        <v>Completed</v>
      </c>
      <c r="G49" s="46" t="s">
        <v>1324</v>
      </c>
      <c r="I49" s="46" t="str">
        <f>IFERROR(VLOOKUP(B49,'Test 1,2'!$E$4:$I$604,5,0),"NOT BILLED")</f>
        <v>Sep</v>
      </c>
      <c r="J49" s="46" t="str">
        <f t="shared" si="1"/>
        <v>PASS</v>
      </c>
    </row>
    <row r="50" spans="2:10" x14ac:dyDescent="0.5">
      <c r="B50" s="46" t="s">
        <v>599</v>
      </c>
      <c r="C50" s="46" t="s">
        <v>27</v>
      </c>
      <c r="D50" s="47">
        <v>1</v>
      </c>
      <c r="E50" s="48" t="s">
        <v>1481</v>
      </c>
      <c r="F50" s="30" t="str">
        <f t="shared" si="0"/>
        <v>Completed</v>
      </c>
      <c r="G50" s="46" t="s">
        <v>1324</v>
      </c>
      <c r="I50" s="46" t="str">
        <f>IFERROR(VLOOKUP(B50,'Test 1,2'!$E$4:$I$604,5,0),"NOT BILLED")</f>
        <v>Mar</v>
      </c>
      <c r="J50" s="46" t="str">
        <f t="shared" si="1"/>
        <v>PASS</v>
      </c>
    </row>
    <row r="51" spans="2:10" x14ac:dyDescent="0.5">
      <c r="B51" s="46" t="s">
        <v>152</v>
      </c>
      <c r="C51" s="46" t="s">
        <v>153</v>
      </c>
      <c r="D51" s="47">
        <v>1</v>
      </c>
      <c r="E51" s="48" t="s">
        <v>1481</v>
      </c>
      <c r="F51" s="30" t="str">
        <f t="shared" si="0"/>
        <v>Completed</v>
      </c>
      <c r="G51" s="46" t="s">
        <v>1324</v>
      </c>
      <c r="I51" s="46" t="str">
        <f>IFERROR(VLOOKUP(B51,'Test 1,2'!$E$4:$I$604,5,0),"NOT BILLED")</f>
        <v>Apr</v>
      </c>
      <c r="J51" s="46" t="str">
        <f t="shared" si="1"/>
        <v>PASS</v>
      </c>
    </row>
    <row r="52" spans="2:10" x14ac:dyDescent="0.5">
      <c r="B52" s="46" t="s">
        <v>998</v>
      </c>
      <c r="C52" s="46" t="s">
        <v>35</v>
      </c>
      <c r="D52" s="47">
        <v>1</v>
      </c>
      <c r="E52" s="48" t="s">
        <v>1482</v>
      </c>
      <c r="F52" s="30" t="str">
        <f t="shared" si="0"/>
        <v>Completed</v>
      </c>
      <c r="G52" s="46" t="s">
        <v>1324</v>
      </c>
      <c r="I52" s="46" t="str">
        <f>IFERROR(VLOOKUP(B52,'Test 1,2'!$E$4:$I$604,5,0),"NOT BILLED")</f>
        <v>Oct</v>
      </c>
      <c r="J52" s="46" t="str">
        <f t="shared" si="1"/>
        <v>PASS</v>
      </c>
    </row>
    <row r="53" spans="2:10" x14ac:dyDescent="0.5">
      <c r="B53" s="46" t="s">
        <v>338</v>
      </c>
      <c r="C53" s="46" t="s">
        <v>195</v>
      </c>
      <c r="D53" s="47">
        <v>1</v>
      </c>
      <c r="E53" s="48" t="s">
        <v>1482</v>
      </c>
      <c r="F53" s="30" t="str">
        <f t="shared" si="0"/>
        <v>Completed</v>
      </c>
      <c r="G53" s="46" t="s">
        <v>1324</v>
      </c>
      <c r="I53" s="46" t="str">
        <f>IFERROR(VLOOKUP(B53,'Test 1,2'!$E$4:$I$604,5,0),"NOT BILLED")</f>
        <v>Sep</v>
      </c>
      <c r="J53" s="46" t="str">
        <f t="shared" si="1"/>
        <v>PASS</v>
      </c>
    </row>
    <row r="54" spans="2:10" x14ac:dyDescent="0.5">
      <c r="B54" s="46" t="s">
        <v>522</v>
      </c>
      <c r="C54" s="46" t="s">
        <v>241</v>
      </c>
      <c r="D54" s="47">
        <v>1</v>
      </c>
      <c r="E54" s="48" t="s">
        <v>1481</v>
      </c>
      <c r="F54" s="30" t="str">
        <f t="shared" si="0"/>
        <v>Completed</v>
      </c>
      <c r="G54" s="46" t="s">
        <v>1324</v>
      </c>
      <c r="I54" s="46" t="str">
        <f>IFERROR(VLOOKUP(B54,'Test 1,2'!$E$4:$I$604,5,0),"NOT BILLED")</f>
        <v>Jan</v>
      </c>
      <c r="J54" s="46" t="str">
        <f t="shared" si="1"/>
        <v>PASS</v>
      </c>
    </row>
    <row r="55" spans="2:10" x14ac:dyDescent="0.5">
      <c r="B55" s="46" t="s">
        <v>411</v>
      </c>
      <c r="C55" s="46" t="s">
        <v>229</v>
      </c>
      <c r="D55" s="47">
        <v>1</v>
      </c>
      <c r="E55" s="48" t="s">
        <v>1482</v>
      </c>
      <c r="F55" s="30" t="str">
        <f t="shared" si="0"/>
        <v>Completed</v>
      </c>
      <c r="G55" s="46" t="s">
        <v>1324</v>
      </c>
      <c r="I55" s="46" t="str">
        <f>IFERROR(VLOOKUP(B55,'Test 1,2'!$E$4:$I$604,5,0),"NOT BILLED")</f>
        <v>Oct</v>
      </c>
      <c r="J55" s="46" t="str">
        <f t="shared" si="1"/>
        <v>PASS</v>
      </c>
    </row>
    <row r="56" spans="2:10" x14ac:dyDescent="0.5">
      <c r="B56" s="46" t="s">
        <v>537</v>
      </c>
      <c r="C56" s="46" t="s">
        <v>114</v>
      </c>
      <c r="D56" s="47">
        <v>1</v>
      </c>
      <c r="E56" s="48" t="s">
        <v>1481</v>
      </c>
      <c r="F56" s="30" t="str">
        <f t="shared" si="0"/>
        <v>Completed</v>
      </c>
      <c r="G56" s="46" t="s">
        <v>1324</v>
      </c>
      <c r="I56" s="46" t="str">
        <f>IFERROR(VLOOKUP(B56,'Test 1,2'!$E$4:$I$604,5,0),"NOT BILLED")</f>
        <v>Feb</v>
      </c>
      <c r="J56" s="46" t="str">
        <f t="shared" si="1"/>
        <v>PASS</v>
      </c>
    </row>
    <row r="57" spans="2:10" x14ac:dyDescent="0.5">
      <c r="B57" s="46" t="s">
        <v>593</v>
      </c>
      <c r="C57" s="46" t="s">
        <v>45</v>
      </c>
      <c r="D57" s="47">
        <v>1</v>
      </c>
      <c r="E57" s="48" t="s">
        <v>1481</v>
      </c>
      <c r="F57" s="30" t="str">
        <f t="shared" si="0"/>
        <v>Completed</v>
      </c>
      <c r="G57" s="46" t="s">
        <v>1324</v>
      </c>
      <c r="I57" s="46" t="str">
        <f>IFERROR(VLOOKUP(B57,'Test 1,2'!$E$4:$I$604,5,0),"NOT BILLED")</f>
        <v>Mar</v>
      </c>
      <c r="J57" s="46" t="str">
        <f t="shared" si="1"/>
        <v>PASS</v>
      </c>
    </row>
    <row r="58" spans="2:10" x14ac:dyDescent="0.5">
      <c r="B58" s="46" t="s">
        <v>499</v>
      </c>
      <c r="C58" s="46" t="s">
        <v>57</v>
      </c>
      <c r="D58" s="47">
        <v>1</v>
      </c>
      <c r="E58" s="48" t="s">
        <v>1481</v>
      </c>
      <c r="F58" s="30" t="str">
        <f t="shared" si="0"/>
        <v>Completed</v>
      </c>
      <c r="G58" s="46" t="s">
        <v>1324</v>
      </c>
      <c r="I58" s="46" t="str">
        <f>IFERROR(VLOOKUP(B58,'Test 1,2'!$E$4:$I$604,5,0),"NOT BILLED")</f>
        <v>Dec</v>
      </c>
      <c r="J58" s="46" t="str">
        <f t="shared" si="1"/>
        <v>PASS</v>
      </c>
    </row>
    <row r="59" spans="2:10" x14ac:dyDescent="0.5">
      <c r="B59" s="46" t="s">
        <v>468</v>
      </c>
      <c r="C59" s="46" t="s">
        <v>45</v>
      </c>
      <c r="D59" s="47">
        <v>1</v>
      </c>
      <c r="E59" s="48" t="s">
        <v>1481</v>
      </c>
      <c r="F59" s="30" t="str">
        <f t="shared" si="0"/>
        <v>Completed</v>
      </c>
      <c r="G59" s="46" t="s">
        <v>1324</v>
      </c>
      <c r="I59" s="46" t="str">
        <f>IFERROR(VLOOKUP(B59,'Test 1,2'!$E$4:$I$604,5,0),"NOT BILLED")</f>
        <v>Dec</v>
      </c>
      <c r="J59" s="46" t="str">
        <f t="shared" si="1"/>
        <v>PASS</v>
      </c>
    </row>
    <row r="60" spans="2:10" x14ac:dyDescent="0.5">
      <c r="B60" s="46" t="s">
        <v>318</v>
      </c>
      <c r="C60" s="46" t="s">
        <v>122</v>
      </c>
      <c r="D60" s="47">
        <v>1</v>
      </c>
      <c r="E60" s="48" t="s">
        <v>1482</v>
      </c>
      <c r="F60" s="30" t="str">
        <f t="shared" si="0"/>
        <v>Completed</v>
      </c>
      <c r="G60" s="46" t="s">
        <v>1324</v>
      </c>
      <c r="I60" s="46" t="str">
        <f>IFERROR(VLOOKUP(B60,'Test 1,2'!$E$4:$I$604,5,0),"NOT BILLED")</f>
        <v>Aug</v>
      </c>
      <c r="J60" s="46" t="str">
        <f t="shared" si="1"/>
        <v>PASS</v>
      </c>
    </row>
    <row r="61" spans="2:10" x14ac:dyDescent="0.5">
      <c r="B61" s="46" t="s">
        <v>900</v>
      </c>
      <c r="C61" s="46" t="s">
        <v>229</v>
      </c>
      <c r="D61" s="47">
        <v>1</v>
      </c>
      <c r="E61" s="48" t="s">
        <v>1482</v>
      </c>
      <c r="F61" s="30" t="str">
        <f t="shared" si="0"/>
        <v>Completed</v>
      </c>
      <c r="G61" s="46" t="s">
        <v>1324</v>
      </c>
      <c r="I61" s="46" t="str">
        <f>IFERROR(VLOOKUP(B61,'Test 1,2'!$E$4:$I$604,5,0),"NOT BILLED")</f>
        <v>Aug</v>
      </c>
      <c r="J61" s="46" t="str">
        <f t="shared" si="1"/>
        <v>PASS</v>
      </c>
    </row>
    <row r="62" spans="2:10" x14ac:dyDescent="0.5">
      <c r="B62" s="46" t="s">
        <v>285</v>
      </c>
      <c r="C62" s="46" t="s">
        <v>238</v>
      </c>
      <c r="D62" s="47">
        <v>1</v>
      </c>
      <c r="E62" s="48" t="s">
        <v>1482</v>
      </c>
      <c r="F62" s="30" t="str">
        <f t="shared" si="0"/>
        <v>Completed</v>
      </c>
      <c r="G62" s="46" t="s">
        <v>1324</v>
      </c>
      <c r="I62" s="46" t="str">
        <f>IFERROR(VLOOKUP(B62,'Test 1,2'!$E$4:$I$604,5,0),"NOT BILLED")</f>
        <v>Jul</v>
      </c>
      <c r="J62" s="46" t="str">
        <f t="shared" si="1"/>
        <v>PASS</v>
      </c>
    </row>
    <row r="63" spans="2:10" x14ac:dyDescent="0.5">
      <c r="B63" s="46" t="s">
        <v>1086</v>
      </c>
      <c r="C63" s="46" t="s">
        <v>103</v>
      </c>
      <c r="D63" s="47">
        <v>1</v>
      </c>
      <c r="E63" s="48" t="s">
        <v>1481</v>
      </c>
      <c r="F63" s="30" t="str">
        <f t="shared" si="0"/>
        <v>Completed</v>
      </c>
      <c r="G63" s="46" t="s">
        <v>1324</v>
      </c>
      <c r="I63" s="46" t="str">
        <f>IFERROR(VLOOKUP(B63,'Test 1,2'!$E$4:$I$604,5,0),"NOT BILLED")</f>
        <v>Dec</v>
      </c>
      <c r="J63" s="46" t="str">
        <f t="shared" si="1"/>
        <v>PASS</v>
      </c>
    </row>
    <row r="64" spans="2:10" x14ac:dyDescent="0.5">
      <c r="B64" s="46" t="s">
        <v>456</v>
      </c>
      <c r="C64" s="46" t="s">
        <v>308</v>
      </c>
      <c r="D64" s="47">
        <v>1</v>
      </c>
      <c r="E64" s="48" t="s">
        <v>1482</v>
      </c>
      <c r="F64" s="30" t="str">
        <f t="shared" si="0"/>
        <v>Completed</v>
      </c>
      <c r="G64" s="46" t="s">
        <v>1324</v>
      </c>
      <c r="I64" s="46" t="str">
        <f>IFERROR(VLOOKUP(B64,'Test 1,2'!$E$4:$I$604,5,0),"NOT BILLED")</f>
        <v>Nov</v>
      </c>
      <c r="J64" s="46" t="str">
        <f t="shared" si="1"/>
        <v>PASS</v>
      </c>
    </row>
    <row r="65" spans="2:10" x14ac:dyDescent="0.5">
      <c r="B65" s="46" t="s">
        <v>1242</v>
      </c>
      <c r="C65" s="46" t="s">
        <v>290</v>
      </c>
      <c r="D65" s="47">
        <v>1</v>
      </c>
      <c r="E65" s="48" t="s">
        <v>1482</v>
      </c>
      <c r="F65" s="30" t="str">
        <f t="shared" si="0"/>
        <v>Completed</v>
      </c>
      <c r="G65" s="46" t="s">
        <v>1324</v>
      </c>
      <c r="I65" s="46" t="str">
        <f>IFERROR(VLOOKUP(B65,'Test 1,2'!$E$4:$I$604,5,0),"NOT BILLED")</f>
        <v>Feb</v>
      </c>
      <c r="J65" s="46" t="str">
        <f t="shared" si="1"/>
        <v>PASS</v>
      </c>
    </row>
    <row r="66" spans="2:10" x14ac:dyDescent="0.5">
      <c r="B66" s="46" t="s">
        <v>307</v>
      </c>
      <c r="C66" s="46" t="s">
        <v>308</v>
      </c>
      <c r="D66" s="47">
        <v>1</v>
      </c>
      <c r="E66" s="48" t="s">
        <v>1481</v>
      </c>
      <c r="F66" s="30" t="str">
        <f t="shared" si="0"/>
        <v>Completed</v>
      </c>
      <c r="G66" s="46" t="s">
        <v>1324</v>
      </c>
      <c r="I66" s="46" t="str">
        <f>IFERROR(VLOOKUP(B66,'Test 1,2'!$E$4:$I$604,5,0),"NOT BILLED")</f>
        <v>Aug</v>
      </c>
      <c r="J66" s="46" t="str">
        <f t="shared" si="1"/>
        <v>PASS</v>
      </c>
    </row>
    <row r="67" spans="2:10" x14ac:dyDescent="0.5">
      <c r="B67" s="46" t="s">
        <v>158</v>
      </c>
      <c r="C67" s="46" t="s">
        <v>15</v>
      </c>
      <c r="D67" s="47">
        <v>1</v>
      </c>
      <c r="E67" s="48" t="s">
        <v>1482</v>
      </c>
      <c r="F67" s="30" t="str">
        <f t="shared" si="0"/>
        <v>Completed</v>
      </c>
      <c r="G67" s="46" t="s">
        <v>1324</v>
      </c>
      <c r="I67" s="46" t="str">
        <f>IFERROR(VLOOKUP(B67,'Test 1,2'!$E$4:$I$604,5,0),"NOT BILLED")</f>
        <v>May</v>
      </c>
      <c r="J67" s="46" t="str">
        <f t="shared" si="1"/>
        <v>PASS</v>
      </c>
    </row>
    <row r="68" spans="2:10" x14ac:dyDescent="0.5">
      <c r="B68" s="46" t="s">
        <v>892</v>
      </c>
      <c r="C68" s="46" t="s">
        <v>122</v>
      </c>
      <c r="D68" s="47">
        <v>1</v>
      </c>
      <c r="E68" s="48" t="s">
        <v>1481</v>
      </c>
      <c r="F68" s="30" t="str">
        <f t="shared" ref="F68:F131" si="2">IF(D68=100%,"Completed","Contract-In-Progress")</f>
        <v>Completed</v>
      </c>
      <c r="G68" s="46" t="s">
        <v>1324</v>
      </c>
      <c r="I68" s="46" t="str">
        <f>IFERROR(VLOOKUP(B68,'Test 1,2'!$E$4:$I$604,5,0),"NOT BILLED")</f>
        <v>Aug</v>
      </c>
      <c r="J68" s="46" t="str">
        <f t="shared" ref="J68:J131" si="3">IF(I68&lt;&gt;"NOT BILLED",IF(D68=100%,"PASS","FLAG"),IF(D68&lt;100%,"PASS","FLAG"))</f>
        <v>PASS</v>
      </c>
    </row>
    <row r="69" spans="2:10" x14ac:dyDescent="0.5">
      <c r="B69" s="46" t="s">
        <v>597</v>
      </c>
      <c r="C69" s="46" t="s">
        <v>122</v>
      </c>
      <c r="D69" s="47">
        <v>1</v>
      </c>
      <c r="E69" s="48" t="s">
        <v>1481</v>
      </c>
      <c r="F69" s="30" t="str">
        <f t="shared" si="2"/>
        <v>Completed</v>
      </c>
      <c r="G69" s="46" t="s">
        <v>1324</v>
      </c>
      <c r="I69" s="46" t="str">
        <f>IFERROR(VLOOKUP(B69,'Test 1,2'!$E$4:$I$604,5,0),"NOT BILLED")</f>
        <v>Mar</v>
      </c>
      <c r="J69" s="46" t="str">
        <f t="shared" si="3"/>
        <v>PASS</v>
      </c>
    </row>
    <row r="70" spans="2:10" x14ac:dyDescent="0.5">
      <c r="B70" s="46" t="s">
        <v>1039</v>
      </c>
      <c r="C70" s="46" t="s">
        <v>72</v>
      </c>
      <c r="D70" s="47">
        <v>1</v>
      </c>
      <c r="E70" s="48" t="s">
        <v>1482</v>
      </c>
      <c r="F70" s="30" t="str">
        <f t="shared" si="2"/>
        <v>Completed</v>
      </c>
      <c r="G70" s="46" t="s">
        <v>1324</v>
      </c>
      <c r="I70" s="46" t="str">
        <f>IFERROR(VLOOKUP(B70,'Test 1,2'!$E$4:$I$604,5,0),"NOT BILLED")</f>
        <v>Nov</v>
      </c>
      <c r="J70" s="46" t="str">
        <f t="shared" si="3"/>
        <v>PASS</v>
      </c>
    </row>
    <row r="71" spans="2:10" x14ac:dyDescent="0.5">
      <c r="B71" s="46" t="s">
        <v>1132</v>
      </c>
      <c r="C71" s="46" t="s">
        <v>332</v>
      </c>
      <c r="D71" s="47">
        <v>1</v>
      </c>
      <c r="E71" s="48" t="s">
        <v>1481</v>
      </c>
      <c r="F71" s="30" t="str">
        <f t="shared" si="2"/>
        <v>Completed</v>
      </c>
      <c r="G71" s="46" t="s">
        <v>1324</v>
      </c>
      <c r="I71" s="46" t="str">
        <f>IFERROR(VLOOKUP(B71,'Test 1,2'!$E$4:$I$604,5,0),"NOT BILLED")</f>
        <v>Dec</v>
      </c>
      <c r="J71" s="46" t="str">
        <f t="shared" si="3"/>
        <v>PASS</v>
      </c>
    </row>
    <row r="72" spans="2:10" x14ac:dyDescent="0.5">
      <c r="B72" s="46" t="s">
        <v>696</v>
      </c>
      <c r="C72" s="46" t="s">
        <v>187</v>
      </c>
      <c r="D72" s="47">
        <v>1</v>
      </c>
      <c r="E72" s="48" t="s">
        <v>1481</v>
      </c>
      <c r="F72" s="30" t="str">
        <f t="shared" si="2"/>
        <v>Completed</v>
      </c>
      <c r="G72" s="46" t="s">
        <v>1324</v>
      </c>
      <c r="I72" s="46" t="str">
        <f>IFERROR(VLOOKUP(B72,'Test 1,2'!$E$4:$I$604,5,0),"NOT BILLED")</f>
        <v>May</v>
      </c>
      <c r="J72" s="46" t="str">
        <f t="shared" si="3"/>
        <v>PASS</v>
      </c>
    </row>
    <row r="73" spans="2:10" x14ac:dyDescent="0.5">
      <c r="B73" s="46" t="s">
        <v>197</v>
      </c>
      <c r="C73" s="46" t="s">
        <v>92</v>
      </c>
      <c r="D73" s="47">
        <v>1</v>
      </c>
      <c r="E73" s="48" t="s">
        <v>1482</v>
      </c>
      <c r="F73" s="30" t="str">
        <f t="shared" si="2"/>
        <v>Completed</v>
      </c>
      <c r="G73" s="46" t="s">
        <v>1324</v>
      </c>
      <c r="I73" s="46" t="str">
        <f>IFERROR(VLOOKUP(B73,'Test 1,2'!$E$4:$I$604,5,0),"NOT BILLED")</f>
        <v>Jun</v>
      </c>
      <c r="J73" s="46" t="str">
        <f t="shared" si="3"/>
        <v>PASS</v>
      </c>
    </row>
    <row r="74" spans="2:10" x14ac:dyDescent="0.5">
      <c r="B74" s="46" t="s">
        <v>989</v>
      </c>
      <c r="C74" s="46" t="s">
        <v>87</v>
      </c>
      <c r="D74" s="47">
        <v>1</v>
      </c>
      <c r="E74" s="48" t="s">
        <v>1481</v>
      </c>
      <c r="F74" s="30" t="str">
        <f t="shared" si="2"/>
        <v>Completed</v>
      </c>
      <c r="G74" s="46" t="s">
        <v>1324</v>
      </c>
      <c r="I74" s="46" t="str">
        <f>IFERROR(VLOOKUP(B74,'Test 1,2'!$E$4:$I$604,5,0),"NOT BILLED")</f>
        <v>Oct</v>
      </c>
      <c r="J74" s="46" t="str">
        <f t="shared" si="3"/>
        <v>PASS</v>
      </c>
    </row>
    <row r="75" spans="2:10" x14ac:dyDescent="0.5">
      <c r="B75" s="46" t="s">
        <v>421</v>
      </c>
      <c r="C75" s="46" t="s">
        <v>272</v>
      </c>
      <c r="D75" s="47">
        <v>1</v>
      </c>
      <c r="E75" s="48" t="s">
        <v>1481</v>
      </c>
      <c r="F75" s="30" t="str">
        <f t="shared" si="2"/>
        <v>Completed</v>
      </c>
      <c r="G75" s="46" t="s">
        <v>1324</v>
      </c>
      <c r="I75" s="46" t="str">
        <f>IFERROR(VLOOKUP(B75,'Test 1,2'!$E$4:$I$604,5,0),"NOT BILLED")</f>
        <v>Oct</v>
      </c>
      <c r="J75" s="46" t="str">
        <f t="shared" si="3"/>
        <v>PASS</v>
      </c>
    </row>
    <row r="76" spans="2:10" x14ac:dyDescent="0.5">
      <c r="B76" s="46" t="s">
        <v>340</v>
      </c>
      <c r="C76" s="46" t="s">
        <v>22</v>
      </c>
      <c r="D76" s="47">
        <v>1</v>
      </c>
      <c r="E76" s="48" t="s">
        <v>1481</v>
      </c>
      <c r="F76" s="30" t="str">
        <f t="shared" si="2"/>
        <v>Completed</v>
      </c>
      <c r="G76" s="46" t="s">
        <v>1324</v>
      </c>
      <c r="I76" s="46" t="str">
        <f>IFERROR(VLOOKUP(B76,'Test 1,2'!$E$4:$I$604,5,0),"NOT BILLED")</f>
        <v>Sep</v>
      </c>
      <c r="J76" s="46" t="str">
        <f t="shared" si="3"/>
        <v>PASS</v>
      </c>
    </row>
    <row r="77" spans="2:10" x14ac:dyDescent="0.5">
      <c r="B77" s="46" t="s">
        <v>959</v>
      </c>
      <c r="C77" s="46" t="s">
        <v>241</v>
      </c>
      <c r="D77" s="47">
        <v>1</v>
      </c>
      <c r="E77" s="48" t="s">
        <v>1481</v>
      </c>
      <c r="F77" s="30" t="str">
        <f t="shared" si="2"/>
        <v>Completed</v>
      </c>
      <c r="G77" s="46" t="s">
        <v>1324</v>
      </c>
      <c r="I77" s="46" t="str">
        <f>IFERROR(VLOOKUP(B77,'Test 1,2'!$E$4:$I$604,5,0),"NOT BILLED")</f>
        <v>Sep</v>
      </c>
      <c r="J77" s="46" t="str">
        <f t="shared" si="3"/>
        <v>PASS</v>
      </c>
    </row>
    <row r="78" spans="2:10" x14ac:dyDescent="0.5">
      <c r="B78" s="46" t="s">
        <v>295</v>
      </c>
      <c r="C78" s="46" t="s">
        <v>45</v>
      </c>
      <c r="D78" s="47">
        <v>1</v>
      </c>
      <c r="E78" s="48" t="s">
        <v>1482</v>
      </c>
      <c r="F78" s="30" t="str">
        <f t="shared" si="2"/>
        <v>Completed</v>
      </c>
      <c r="G78" s="46" t="s">
        <v>1324</v>
      </c>
      <c r="I78" s="46" t="str">
        <f>IFERROR(VLOOKUP(B78,'Test 1,2'!$E$4:$I$604,5,0),"NOT BILLED")</f>
        <v>Aug</v>
      </c>
      <c r="J78" s="46" t="str">
        <f t="shared" si="3"/>
        <v>PASS</v>
      </c>
    </row>
    <row r="79" spans="2:10" x14ac:dyDescent="0.5">
      <c r="B79" s="46" t="s">
        <v>949</v>
      </c>
      <c r="C79" s="46" t="s">
        <v>64</v>
      </c>
      <c r="D79" s="47">
        <v>1</v>
      </c>
      <c r="E79" s="48" t="s">
        <v>1482</v>
      </c>
      <c r="F79" s="30" t="str">
        <f t="shared" si="2"/>
        <v>Completed</v>
      </c>
      <c r="G79" s="46" t="s">
        <v>1324</v>
      </c>
      <c r="I79" s="46" t="str">
        <f>IFERROR(VLOOKUP(B79,'Test 1,2'!$E$4:$I$604,5,0),"NOT BILLED")</f>
        <v>Aug</v>
      </c>
      <c r="J79" s="46" t="str">
        <f t="shared" si="3"/>
        <v>PASS</v>
      </c>
    </row>
    <row r="80" spans="2:10" x14ac:dyDescent="0.5">
      <c r="B80" s="46" t="s">
        <v>908</v>
      </c>
      <c r="C80" s="46" t="s">
        <v>203</v>
      </c>
      <c r="D80" s="47">
        <v>1</v>
      </c>
      <c r="E80" s="48" t="s">
        <v>1482</v>
      </c>
      <c r="F80" s="30" t="str">
        <f t="shared" si="2"/>
        <v>Completed</v>
      </c>
      <c r="G80" s="46" t="s">
        <v>1324</v>
      </c>
      <c r="I80" s="46" t="str">
        <f>IFERROR(VLOOKUP(B80,'Test 1,2'!$E$4:$I$604,5,0),"NOT BILLED")</f>
        <v>Aug</v>
      </c>
      <c r="J80" s="46" t="str">
        <f t="shared" si="3"/>
        <v>PASS</v>
      </c>
    </row>
    <row r="81" spans="2:10" x14ac:dyDescent="0.5">
      <c r="B81" s="46" t="s">
        <v>1057</v>
      </c>
      <c r="C81" s="46" t="s">
        <v>114</v>
      </c>
      <c r="D81" s="47">
        <v>1</v>
      </c>
      <c r="E81" s="48" t="s">
        <v>1481</v>
      </c>
      <c r="F81" s="30" t="str">
        <f t="shared" si="2"/>
        <v>Completed</v>
      </c>
      <c r="G81" s="46" t="s">
        <v>1324</v>
      </c>
      <c r="I81" s="46" t="str">
        <f>IFERROR(VLOOKUP(B81,'Test 1,2'!$E$4:$I$604,5,0),"NOT BILLED")</f>
        <v>Nov</v>
      </c>
      <c r="J81" s="46" t="str">
        <f t="shared" si="3"/>
        <v>PASS</v>
      </c>
    </row>
    <row r="82" spans="2:10" x14ac:dyDescent="0.5">
      <c r="B82" s="46" t="s">
        <v>1049</v>
      </c>
      <c r="C82" s="46" t="s">
        <v>241</v>
      </c>
      <c r="D82" s="47">
        <v>1</v>
      </c>
      <c r="E82" s="48" t="s">
        <v>1481</v>
      </c>
      <c r="F82" s="30" t="str">
        <f t="shared" si="2"/>
        <v>Completed</v>
      </c>
      <c r="G82" s="46" t="s">
        <v>1324</v>
      </c>
      <c r="I82" s="46" t="str">
        <f>IFERROR(VLOOKUP(B82,'Test 1,2'!$E$4:$I$604,5,0),"NOT BILLED")</f>
        <v>Nov</v>
      </c>
      <c r="J82" s="46" t="str">
        <f t="shared" si="3"/>
        <v>PASS</v>
      </c>
    </row>
    <row r="83" spans="2:10" x14ac:dyDescent="0.5">
      <c r="B83" s="46" t="s">
        <v>207</v>
      </c>
      <c r="C83" s="46" t="s">
        <v>50</v>
      </c>
      <c r="D83" s="47">
        <v>1</v>
      </c>
      <c r="E83" s="48" t="s">
        <v>1482</v>
      </c>
      <c r="F83" s="30" t="str">
        <f t="shared" si="2"/>
        <v>Completed</v>
      </c>
      <c r="G83" s="46" t="s">
        <v>1324</v>
      </c>
      <c r="I83" s="46" t="str">
        <f>IFERROR(VLOOKUP(B83,'Test 1,2'!$E$4:$I$604,5,0),"NOT BILLED")</f>
        <v>Jun</v>
      </c>
      <c r="J83" s="46" t="str">
        <f t="shared" si="3"/>
        <v>PASS</v>
      </c>
    </row>
    <row r="84" spans="2:10" x14ac:dyDescent="0.5">
      <c r="B84" s="46" t="s">
        <v>1014</v>
      </c>
      <c r="C84" s="46" t="s">
        <v>290</v>
      </c>
      <c r="D84" s="47">
        <v>1</v>
      </c>
      <c r="E84" s="48" t="s">
        <v>1481</v>
      </c>
      <c r="F84" s="30" t="str">
        <f t="shared" si="2"/>
        <v>Completed</v>
      </c>
      <c r="G84" s="46" t="s">
        <v>1324</v>
      </c>
      <c r="I84" s="46" t="str">
        <f>IFERROR(VLOOKUP(B84,'Test 1,2'!$E$4:$I$604,5,0),"NOT BILLED")</f>
        <v>Oct</v>
      </c>
      <c r="J84" s="46" t="str">
        <f t="shared" si="3"/>
        <v>PASS</v>
      </c>
    </row>
    <row r="85" spans="2:10" x14ac:dyDescent="0.5">
      <c r="B85" s="46" t="s">
        <v>728</v>
      </c>
      <c r="C85" s="46" t="s">
        <v>60</v>
      </c>
      <c r="D85" s="47">
        <v>1</v>
      </c>
      <c r="E85" s="48" t="s">
        <v>1482</v>
      </c>
      <c r="F85" s="30" t="str">
        <f t="shared" si="2"/>
        <v>Completed</v>
      </c>
      <c r="G85" s="46" t="s">
        <v>1324</v>
      </c>
      <c r="I85" s="46" t="str">
        <f>IFERROR(VLOOKUP(B85,'Test 1,2'!$E$4:$I$604,5,0),"NOT BILLED")</f>
        <v>Apr</v>
      </c>
      <c r="J85" s="46" t="str">
        <f t="shared" si="3"/>
        <v>PASS</v>
      </c>
    </row>
    <row r="86" spans="2:10" x14ac:dyDescent="0.5">
      <c r="B86" s="46" t="s">
        <v>634</v>
      </c>
      <c r="C86" s="46" t="s">
        <v>190</v>
      </c>
      <c r="D86" s="47">
        <v>1</v>
      </c>
      <c r="E86" s="48" t="s">
        <v>1481</v>
      </c>
      <c r="F86" s="30" t="str">
        <f t="shared" si="2"/>
        <v>Completed</v>
      </c>
      <c r="G86" s="46" t="s">
        <v>1324</v>
      </c>
      <c r="I86" s="46" t="str">
        <f>IFERROR(VLOOKUP(B86,'Test 1,2'!$E$4:$I$604,5,0),"NOT BILLED")</f>
        <v>Apr</v>
      </c>
      <c r="J86" s="46" t="str">
        <f t="shared" si="3"/>
        <v>PASS</v>
      </c>
    </row>
    <row r="87" spans="2:10" x14ac:dyDescent="0.5">
      <c r="B87" s="46" t="s">
        <v>524</v>
      </c>
      <c r="C87" s="46" t="s">
        <v>272</v>
      </c>
      <c r="D87" s="47">
        <v>1</v>
      </c>
      <c r="E87" s="48" t="s">
        <v>1481</v>
      </c>
      <c r="F87" s="30" t="str">
        <f t="shared" si="2"/>
        <v>Completed</v>
      </c>
      <c r="G87" s="46" t="s">
        <v>1324</v>
      </c>
      <c r="I87" s="46" t="str">
        <f>IFERROR(VLOOKUP(B87,'Test 1,2'!$E$4:$I$604,5,0),"NOT BILLED")</f>
        <v>Jan</v>
      </c>
      <c r="J87" s="46" t="str">
        <f t="shared" si="3"/>
        <v>PASS</v>
      </c>
    </row>
    <row r="88" spans="2:10" x14ac:dyDescent="0.5">
      <c r="B88" s="46" t="s">
        <v>518</v>
      </c>
      <c r="C88" s="46" t="s">
        <v>131</v>
      </c>
      <c r="D88" s="47">
        <v>1</v>
      </c>
      <c r="E88" s="48" t="s">
        <v>1482</v>
      </c>
      <c r="F88" s="30" t="str">
        <f t="shared" si="2"/>
        <v>Completed</v>
      </c>
      <c r="G88" s="46" t="s">
        <v>1324</v>
      </c>
      <c r="I88" s="46" t="str">
        <f>IFERROR(VLOOKUP(B88,'Test 1,2'!$E$4:$I$604,5,0),"NOT BILLED")</f>
        <v>Jan</v>
      </c>
      <c r="J88" s="46" t="str">
        <f t="shared" si="3"/>
        <v>PASS</v>
      </c>
    </row>
    <row r="89" spans="2:10" x14ac:dyDescent="0.5">
      <c r="B89" s="46" t="s">
        <v>996</v>
      </c>
      <c r="C89" s="46" t="s">
        <v>332</v>
      </c>
      <c r="D89" s="47">
        <v>1</v>
      </c>
      <c r="E89" s="48" t="s">
        <v>1482</v>
      </c>
      <c r="F89" s="30" t="str">
        <f t="shared" si="2"/>
        <v>Completed</v>
      </c>
      <c r="G89" s="46" t="s">
        <v>1324</v>
      </c>
      <c r="I89" s="46" t="str">
        <f>IFERROR(VLOOKUP(B89,'Test 1,2'!$E$4:$I$604,5,0),"NOT BILLED")</f>
        <v>Oct</v>
      </c>
      <c r="J89" s="46" t="str">
        <f t="shared" si="3"/>
        <v>PASS</v>
      </c>
    </row>
    <row r="90" spans="2:10" x14ac:dyDescent="0.5">
      <c r="B90" s="46" t="s">
        <v>504</v>
      </c>
      <c r="C90" s="46" t="s">
        <v>269</v>
      </c>
      <c r="D90" s="47">
        <v>1</v>
      </c>
      <c r="E90" s="48" t="s">
        <v>1482</v>
      </c>
      <c r="F90" s="30" t="str">
        <f t="shared" si="2"/>
        <v>Completed</v>
      </c>
      <c r="G90" s="46" t="s">
        <v>1324</v>
      </c>
      <c r="I90" s="46" t="str">
        <f>IFERROR(VLOOKUP(B90,'Test 1,2'!$E$4:$I$604,5,0),"NOT BILLED")</f>
        <v>Jan</v>
      </c>
      <c r="J90" s="46" t="str">
        <f t="shared" si="3"/>
        <v>PASS</v>
      </c>
    </row>
    <row r="91" spans="2:10" x14ac:dyDescent="0.5">
      <c r="B91" s="46" t="s">
        <v>1020</v>
      </c>
      <c r="C91" s="46" t="s">
        <v>27</v>
      </c>
      <c r="D91" s="47">
        <v>1</v>
      </c>
      <c r="E91" s="48" t="s">
        <v>1482</v>
      </c>
      <c r="F91" s="30" t="str">
        <f t="shared" si="2"/>
        <v>Completed</v>
      </c>
      <c r="G91" s="46" t="s">
        <v>1324</v>
      </c>
      <c r="I91" s="46" t="str">
        <f>IFERROR(VLOOKUP(B91,'Test 1,2'!$E$4:$I$604,5,0),"NOT BILLED")</f>
        <v>Oct</v>
      </c>
      <c r="J91" s="46" t="str">
        <f t="shared" si="3"/>
        <v>PASS</v>
      </c>
    </row>
    <row r="92" spans="2:10" x14ac:dyDescent="0.5">
      <c r="B92" s="46" t="s">
        <v>1037</v>
      </c>
      <c r="C92" s="46" t="s">
        <v>293</v>
      </c>
      <c r="D92" s="47">
        <v>1</v>
      </c>
      <c r="E92" s="48" t="s">
        <v>1482</v>
      </c>
      <c r="F92" s="30" t="str">
        <f t="shared" si="2"/>
        <v>Completed</v>
      </c>
      <c r="G92" s="46" t="s">
        <v>1324</v>
      </c>
      <c r="I92" s="46" t="str">
        <f>IFERROR(VLOOKUP(B92,'Test 1,2'!$E$4:$I$604,5,0),"NOT BILLED")</f>
        <v>Nov</v>
      </c>
      <c r="J92" s="46" t="str">
        <f t="shared" si="3"/>
        <v>PASS</v>
      </c>
    </row>
    <row r="93" spans="2:10" x14ac:dyDescent="0.5">
      <c r="B93" s="46" t="s">
        <v>367</v>
      </c>
      <c r="C93" s="46" t="s">
        <v>262</v>
      </c>
      <c r="D93" s="47">
        <v>1</v>
      </c>
      <c r="E93" s="48" t="s">
        <v>1482</v>
      </c>
      <c r="F93" s="30" t="str">
        <f t="shared" si="2"/>
        <v>Completed</v>
      </c>
      <c r="G93" s="46" t="s">
        <v>1324</v>
      </c>
      <c r="I93" s="46" t="str">
        <f>IFERROR(VLOOKUP(B93,'Test 1,2'!$E$4:$I$604,5,0),"NOT BILLED")</f>
        <v>Sep</v>
      </c>
      <c r="J93" s="46" t="str">
        <f t="shared" si="3"/>
        <v>PASS</v>
      </c>
    </row>
    <row r="94" spans="2:10" x14ac:dyDescent="0.5">
      <c r="B94" s="46" t="s">
        <v>724</v>
      </c>
      <c r="C94" s="46" t="s">
        <v>195</v>
      </c>
      <c r="D94" s="47">
        <v>1</v>
      </c>
      <c r="E94" s="48" t="s">
        <v>1481</v>
      </c>
      <c r="F94" s="30" t="str">
        <f t="shared" si="2"/>
        <v>Completed</v>
      </c>
      <c r="G94" s="46" t="s">
        <v>1324</v>
      </c>
      <c r="I94" s="46" t="str">
        <f>IFERROR(VLOOKUP(B94,'Test 1,2'!$E$4:$I$604,5,0),"NOT BILLED")</f>
        <v>May</v>
      </c>
      <c r="J94" s="46" t="str">
        <f t="shared" si="3"/>
        <v>PASS</v>
      </c>
    </row>
    <row r="95" spans="2:10" x14ac:dyDescent="0.5">
      <c r="B95" s="46" t="s">
        <v>170</v>
      </c>
      <c r="C95" s="46" t="s">
        <v>125</v>
      </c>
      <c r="D95" s="47">
        <v>1</v>
      </c>
      <c r="E95" s="48" t="s">
        <v>1482</v>
      </c>
      <c r="F95" s="30" t="str">
        <f t="shared" si="2"/>
        <v>Completed</v>
      </c>
      <c r="G95" s="46" t="s">
        <v>1324</v>
      </c>
      <c r="I95" s="46" t="str">
        <f>IFERROR(VLOOKUP(B95,'Test 1,2'!$E$4:$I$604,5,0),"NOT BILLED")</f>
        <v>May</v>
      </c>
      <c r="J95" s="46" t="str">
        <f t="shared" si="3"/>
        <v>PASS</v>
      </c>
    </row>
    <row r="96" spans="2:10" x14ac:dyDescent="0.5">
      <c r="B96" s="46" t="s">
        <v>489</v>
      </c>
      <c r="C96" s="46" t="s">
        <v>269</v>
      </c>
      <c r="D96" s="47">
        <v>1</v>
      </c>
      <c r="E96" s="48" t="s">
        <v>1481</v>
      </c>
      <c r="F96" s="30" t="str">
        <f t="shared" si="2"/>
        <v>Completed</v>
      </c>
      <c r="G96" s="46" t="s">
        <v>1324</v>
      </c>
      <c r="I96" s="46" t="str">
        <f>IFERROR(VLOOKUP(B96,'Test 1,2'!$E$4:$I$604,5,0),"NOT BILLED")</f>
        <v>Dec</v>
      </c>
      <c r="J96" s="46" t="str">
        <f t="shared" si="3"/>
        <v>PASS</v>
      </c>
    </row>
    <row r="97" spans="2:10" x14ac:dyDescent="0.5">
      <c r="B97" s="46" t="s">
        <v>305</v>
      </c>
      <c r="C97" s="46" t="s">
        <v>125</v>
      </c>
      <c r="D97" s="47">
        <v>1</v>
      </c>
      <c r="E97" s="48" t="s">
        <v>1481</v>
      </c>
      <c r="F97" s="30" t="str">
        <f t="shared" si="2"/>
        <v>Completed</v>
      </c>
      <c r="G97" s="46" t="s">
        <v>1324</v>
      </c>
      <c r="I97" s="46" t="str">
        <f>IFERROR(VLOOKUP(B97,'Test 1,2'!$E$4:$I$604,5,0),"NOT BILLED")</f>
        <v>Aug</v>
      </c>
      <c r="J97" s="46" t="str">
        <f t="shared" si="3"/>
        <v>PASS</v>
      </c>
    </row>
    <row r="98" spans="2:10" x14ac:dyDescent="0.5">
      <c r="B98" s="46" t="s">
        <v>595</v>
      </c>
      <c r="C98" s="46" t="s">
        <v>57</v>
      </c>
      <c r="D98" s="47">
        <v>1</v>
      </c>
      <c r="E98" s="48" t="s">
        <v>1482</v>
      </c>
      <c r="F98" s="30" t="str">
        <f t="shared" si="2"/>
        <v>Completed</v>
      </c>
      <c r="G98" s="46" t="s">
        <v>1324</v>
      </c>
      <c r="I98" s="46" t="str">
        <f>IFERROR(VLOOKUP(B98,'Test 1,2'!$E$4:$I$604,5,0),"NOT BILLED")</f>
        <v>Mar</v>
      </c>
      <c r="J98" s="46" t="str">
        <f t="shared" si="3"/>
        <v>PASS</v>
      </c>
    </row>
    <row r="99" spans="2:10" x14ac:dyDescent="0.5">
      <c r="B99" s="46" t="s">
        <v>920</v>
      </c>
      <c r="C99" s="46" t="s">
        <v>81</v>
      </c>
      <c r="D99" s="47">
        <v>1</v>
      </c>
      <c r="E99" s="48" t="s">
        <v>1481</v>
      </c>
      <c r="F99" s="30" t="str">
        <f t="shared" si="2"/>
        <v>Completed</v>
      </c>
      <c r="G99" s="46" t="s">
        <v>1324</v>
      </c>
      <c r="I99" s="46" t="str">
        <f>IFERROR(VLOOKUP(B99,'Test 1,2'!$E$4:$I$604,5,0),"NOT BILLED")</f>
        <v>Aug</v>
      </c>
      <c r="J99" s="46" t="str">
        <f t="shared" si="3"/>
        <v>PASS</v>
      </c>
    </row>
    <row r="100" spans="2:10" x14ac:dyDescent="0.5">
      <c r="B100" s="46" t="s">
        <v>1278</v>
      </c>
      <c r="C100" s="46" t="s">
        <v>203</v>
      </c>
      <c r="D100" s="47">
        <v>1</v>
      </c>
      <c r="E100" s="48" t="s">
        <v>1482</v>
      </c>
      <c r="F100" s="30" t="str">
        <f t="shared" si="2"/>
        <v>Completed</v>
      </c>
      <c r="G100" s="46" t="s">
        <v>1324</v>
      </c>
      <c r="I100" s="46" t="str">
        <f>IFERROR(VLOOKUP(B100,'Test 1,2'!$E$4:$I$604,5,0),"NOT BILLED")</f>
        <v>Mar</v>
      </c>
      <c r="J100" s="46" t="str">
        <f t="shared" si="3"/>
        <v>PASS</v>
      </c>
    </row>
    <row r="101" spans="2:10" x14ac:dyDescent="0.5">
      <c r="B101" s="46" t="s">
        <v>555</v>
      </c>
      <c r="C101" s="46" t="s">
        <v>143</v>
      </c>
      <c r="D101" s="47">
        <v>1</v>
      </c>
      <c r="E101" s="48" t="s">
        <v>1482</v>
      </c>
      <c r="F101" s="30" t="str">
        <f t="shared" si="2"/>
        <v>Completed</v>
      </c>
      <c r="G101" s="46" t="s">
        <v>1324</v>
      </c>
      <c r="I101" s="46" t="str">
        <f>IFERROR(VLOOKUP(B101,'Test 1,2'!$E$4:$I$604,5,0),"NOT BILLED")</f>
        <v>Feb</v>
      </c>
      <c r="J101" s="46" t="str">
        <f t="shared" si="3"/>
        <v>PASS</v>
      </c>
    </row>
    <row r="102" spans="2:10" x14ac:dyDescent="0.5">
      <c r="B102" s="46" t="s">
        <v>616</v>
      </c>
      <c r="C102" s="46" t="s">
        <v>77</v>
      </c>
      <c r="D102" s="47">
        <v>1</v>
      </c>
      <c r="E102" s="48" t="s">
        <v>1482</v>
      </c>
      <c r="F102" s="30" t="str">
        <f t="shared" si="2"/>
        <v>Completed</v>
      </c>
      <c r="G102" s="46" t="s">
        <v>1325</v>
      </c>
      <c r="I102" s="46" t="str">
        <f>IFERROR(VLOOKUP(B102,'Test 1,2'!$E$4:$I$604,5,0),"NOT BILLED")</f>
        <v>Apr</v>
      </c>
      <c r="J102" s="46" t="str">
        <f t="shared" si="3"/>
        <v>PASS</v>
      </c>
    </row>
    <row r="103" spans="2:10" x14ac:dyDescent="0.5">
      <c r="B103" s="46" t="s">
        <v>1182</v>
      </c>
      <c r="C103" s="46" t="s">
        <v>203</v>
      </c>
      <c r="D103" s="47">
        <v>1</v>
      </c>
      <c r="E103" s="48" t="s">
        <v>1481</v>
      </c>
      <c r="F103" s="30" t="str">
        <f t="shared" si="2"/>
        <v>Completed</v>
      </c>
      <c r="G103" s="46" t="s">
        <v>1324</v>
      </c>
      <c r="I103" s="46" t="str">
        <f>IFERROR(VLOOKUP(B103,'Test 1,2'!$E$4:$I$604,5,0),"NOT BILLED")</f>
        <v>Jan</v>
      </c>
      <c r="J103" s="46" t="str">
        <f t="shared" si="3"/>
        <v>PASS</v>
      </c>
    </row>
    <row r="104" spans="2:10" x14ac:dyDescent="0.5">
      <c r="B104" s="46" t="s">
        <v>425</v>
      </c>
      <c r="C104" s="46" t="s">
        <v>95</v>
      </c>
      <c r="D104" s="47">
        <v>1</v>
      </c>
      <c r="E104" s="48" t="s">
        <v>1481</v>
      </c>
      <c r="F104" s="30" t="str">
        <f t="shared" si="2"/>
        <v>Completed</v>
      </c>
      <c r="G104" s="46" t="s">
        <v>1324</v>
      </c>
      <c r="I104" s="46" t="str">
        <f>IFERROR(VLOOKUP(B104,'Test 1,2'!$E$4:$I$604,5,0),"NOT BILLED")</f>
        <v>Oct</v>
      </c>
      <c r="J104" s="46" t="str">
        <f t="shared" si="3"/>
        <v>PASS</v>
      </c>
    </row>
    <row r="105" spans="2:10" x14ac:dyDescent="0.5">
      <c r="B105" s="46" t="s">
        <v>1168</v>
      </c>
      <c r="C105" s="46" t="s">
        <v>290</v>
      </c>
      <c r="D105" s="47">
        <v>1</v>
      </c>
      <c r="E105" s="48" t="s">
        <v>1482</v>
      </c>
      <c r="F105" s="30" t="str">
        <f t="shared" si="2"/>
        <v>Completed</v>
      </c>
      <c r="G105" s="46" t="s">
        <v>1324</v>
      </c>
      <c r="I105" s="46" t="str">
        <f>IFERROR(VLOOKUP(B105,'Test 1,2'!$E$4:$I$604,5,0),"NOT BILLED")</f>
        <v>Jan</v>
      </c>
      <c r="J105" s="46" t="str">
        <f t="shared" si="3"/>
        <v>PASS</v>
      </c>
    </row>
    <row r="106" spans="2:10" x14ac:dyDescent="0.5">
      <c r="B106" s="46" t="s">
        <v>771</v>
      </c>
      <c r="C106" s="46" t="s">
        <v>119</v>
      </c>
      <c r="D106" s="47">
        <v>1</v>
      </c>
      <c r="E106" s="48" t="s">
        <v>1482</v>
      </c>
      <c r="F106" s="30" t="str">
        <f t="shared" si="2"/>
        <v>Completed</v>
      </c>
      <c r="G106" s="46" t="s">
        <v>1324</v>
      </c>
      <c r="I106" s="46" t="str">
        <f>IFERROR(VLOOKUP(B106,'Test 1,2'!$E$4:$I$604,5,0),"NOT BILLED")</f>
        <v>Jun</v>
      </c>
      <c r="J106" s="46" t="str">
        <f t="shared" si="3"/>
        <v>PASS</v>
      </c>
    </row>
    <row r="107" spans="2:10" x14ac:dyDescent="0.5">
      <c r="B107" s="46" t="s">
        <v>1262</v>
      </c>
      <c r="C107" s="46" t="s">
        <v>92</v>
      </c>
      <c r="D107" s="47">
        <v>1</v>
      </c>
      <c r="E107" s="48" t="s">
        <v>1481</v>
      </c>
      <c r="F107" s="30" t="str">
        <f t="shared" si="2"/>
        <v>Completed</v>
      </c>
      <c r="G107" s="46" t="s">
        <v>1324</v>
      </c>
      <c r="I107" s="46" t="str">
        <f>IFERROR(VLOOKUP(B107,'Test 1,2'!$E$4:$I$604,5,0),"NOT BILLED")</f>
        <v>Feb</v>
      </c>
      <c r="J107" s="46" t="str">
        <f t="shared" si="3"/>
        <v>PASS</v>
      </c>
    </row>
    <row r="108" spans="2:10" x14ac:dyDescent="0.5">
      <c r="B108" s="46" t="s">
        <v>520</v>
      </c>
      <c r="C108" s="46" t="s">
        <v>67</v>
      </c>
      <c r="D108" s="47">
        <v>1</v>
      </c>
      <c r="E108" s="48" t="s">
        <v>1481</v>
      </c>
      <c r="F108" s="30" t="str">
        <f t="shared" si="2"/>
        <v>Completed</v>
      </c>
      <c r="G108" s="46" t="s">
        <v>1324</v>
      </c>
      <c r="I108" s="46" t="str">
        <f>IFERROR(VLOOKUP(B108,'Test 1,2'!$E$4:$I$604,5,0),"NOT BILLED")</f>
        <v>Jan</v>
      </c>
      <c r="J108" s="46" t="str">
        <f t="shared" si="3"/>
        <v>PASS</v>
      </c>
    </row>
    <row r="109" spans="2:10" x14ac:dyDescent="0.5">
      <c r="B109" s="46" t="s">
        <v>539</v>
      </c>
      <c r="C109" s="46" t="s">
        <v>131</v>
      </c>
      <c r="D109" s="47">
        <v>1</v>
      </c>
      <c r="E109" s="48" t="s">
        <v>1482</v>
      </c>
      <c r="F109" s="30" t="str">
        <f t="shared" si="2"/>
        <v>Completed</v>
      </c>
      <c r="G109" s="46" t="s">
        <v>1324</v>
      </c>
      <c r="I109" s="46" t="str">
        <f>IFERROR(VLOOKUP(B109,'Test 1,2'!$E$4:$I$604,5,0),"NOT BILLED")</f>
        <v>Feb</v>
      </c>
      <c r="J109" s="46" t="str">
        <f t="shared" si="3"/>
        <v>PASS</v>
      </c>
    </row>
    <row r="110" spans="2:10" x14ac:dyDescent="0.5">
      <c r="B110" s="46" t="s">
        <v>1158</v>
      </c>
      <c r="C110" s="46" t="s">
        <v>35</v>
      </c>
      <c r="D110" s="47">
        <v>1</v>
      </c>
      <c r="E110" s="48" t="s">
        <v>1481</v>
      </c>
      <c r="F110" s="30" t="str">
        <f t="shared" si="2"/>
        <v>Completed</v>
      </c>
      <c r="G110" s="46" t="s">
        <v>1324</v>
      </c>
      <c r="I110" s="46" t="str">
        <f>IFERROR(VLOOKUP(B110,'Test 1,2'!$E$4:$I$604,5,0),"NOT BILLED")</f>
        <v>Jan</v>
      </c>
      <c r="J110" s="46" t="str">
        <f t="shared" si="3"/>
        <v>PASS</v>
      </c>
    </row>
    <row r="111" spans="2:10" x14ac:dyDescent="0.5">
      <c r="B111" s="46" t="s">
        <v>438</v>
      </c>
      <c r="C111" s="46" t="s">
        <v>54</v>
      </c>
      <c r="D111" s="47">
        <v>1</v>
      </c>
      <c r="E111" s="48" t="s">
        <v>1481</v>
      </c>
      <c r="F111" s="30" t="str">
        <f t="shared" si="2"/>
        <v>Completed</v>
      </c>
      <c r="G111" s="46" t="s">
        <v>1324</v>
      </c>
      <c r="I111" s="46" t="str">
        <f>IFERROR(VLOOKUP(B111,'Test 1,2'!$E$4:$I$604,5,0),"NOT BILLED")</f>
        <v>Oct</v>
      </c>
      <c r="J111" s="46" t="str">
        <f t="shared" si="3"/>
        <v>PASS</v>
      </c>
    </row>
    <row r="112" spans="2:10" x14ac:dyDescent="0.5">
      <c r="B112" s="46" t="s">
        <v>202</v>
      </c>
      <c r="C112" s="46" t="s">
        <v>203</v>
      </c>
      <c r="D112" s="47">
        <v>1</v>
      </c>
      <c r="E112" s="48" t="s">
        <v>1482</v>
      </c>
      <c r="F112" s="30" t="str">
        <f t="shared" si="2"/>
        <v>Completed</v>
      </c>
      <c r="G112" s="46" t="s">
        <v>1324</v>
      </c>
      <c r="I112" s="46" t="str">
        <f>IFERROR(VLOOKUP(B112,'Test 1,2'!$E$4:$I$604,5,0),"NOT BILLED")</f>
        <v>Jun</v>
      </c>
      <c r="J112" s="46" t="str">
        <f t="shared" si="3"/>
        <v>PASS</v>
      </c>
    </row>
    <row r="113" spans="2:10" x14ac:dyDescent="0.5">
      <c r="B113" s="46" t="s">
        <v>871</v>
      </c>
      <c r="C113" s="46" t="s">
        <v>238</v>
      </c>
      <c r="D113" s="47">
        <v>1</v>
      </c>
      <c r="E113" s="48" t="s">
        <v>1481</v>
      </c>
      <c r="F113" s="30" t="str">
        <f t="shared" si="2"/>
        <v>Completed</v>
      </c>
      <c r="G113" s="46" t="s">
        <v>1324</v>
      </c>
      <c r="I113" s="46" t="str">
        <f>IFERROR(VLOOKUP(B113,'Test 1,2'!$E$4:$I$604,5,0),"NOT BILLED")</f>
        <v>Jul</v>
      </c>
      <c r="J113" s="46" t="str">
        <f t="shared" si="3"/>
        <v>PASS</v>
      </c>
    </row>
    <row r="114" spans="2:10" x14ac:dyDescent="0.5">
      <c r="B114" s="46" t="s">
        <v>389</v>
      </c>
      <c r="C114" s="46" t="s">
        <v>143</v>
      </c>
      <c r="D114" s="47">
        <v>1</v>
      </c>
      <c r="E114" s="48" t="s">
        <v>1481</v>
      </c>
      <c r="F114" s="30" t="str">
        <f t="shared" si="2"/>
        <v>Completed</v>
      </c>
      <c r="G114" s="46" t="s">
        <v>1324</v>
      </c>
      <c r="I114" s="46" t="str">
        <f>IFERROR(VLOOKUP(B114,'Test 1,2'!$E$4:$I$604,5,0),"NOT BILLED")</f>
        <v>Sep</v>
      </c>
      <c r="J114" s="46" t="str">
        <f t="shared" si="3"/>
        <v>PASS</v>
      </c>
    </row>
    <row r="115" spans="2:10" x14ac:dyDescent="0.5">
      <c r="B115" s="46" t="s">
        <v>1120</v>
      </c>
      <c r="C115" s="46" t="s">
        <v>35</v>
      </c>
      <c r="D115" s="47">
        <v>1</v>
      </c>
      <c r="E115" s="48" t="s">
        <v>1481</v>
      </c>
      <c r="F115" s="30" t="str">
        <f t="shared" si="2"/>
        <v>Completed</v>
      </c>
      <c r="G115" s="46" t="s">
        <v>1324</v>
      </c>
      <c r="I115" s="46" t="str">
        <f>IFERROR(VLOOKUP(B115,'Test 1,2'!$E$4:$I$604,5,0),"NOT BILLED")</f>
        <v>Dec</v>
      </c>
      <c r="J115" s="46" t="str">
        <f t="shared" si="3"/>
        <v>PASS</v>
      </c>
    </row>
    <row r="116" spans="2:10" x14ac:dyDescent="0.5">
      <c r="B116" s="46" t="s">
        <v>310</v>
      </c>
      <c r="C116" s="46" t="s">
        <v>45</v>
      </c>
      <c r="D116" s="47">
        <v>1</v>
      </c>
      <c r="E116" s="48" t="s">
        <v>1482</v>
      </c>
      <c r="F116" s="30" t="str">
        <f t="shared" si="2"/>
        <v>Completed</v>
      </c>
      <c r="G116" s="46" t="s">
        <v>1324</v>
      </c>
      <c r="I116" s="46" t="str">
        <f>IFERROR(VLOOKUP(B116,'Test 1,2'!$E$4:$I$604,5,0),"NOT BILLED")</f>
        <v>Aug</v>
      </c>
      <c r="J116" s="46" t="str">
        <f t="shared" si="3"/>
        <v>PASS</v>
      </c>
    </row>
    <row r="117" spans="2:10" x14ac:dyDescent="0.5">
      <c r="B117" s="46" t="s">
        <v>63</v>
      </c>
      <c r="C117" s="46" t="s">
        <v>64</v>
      </c>
      <c r="D117" s="47">
        <v>1</v>
      </c>
      <c r="E117" s="48" t="s">
        <v>1482</v>
      </c>
      <c r="F117" s="30" t="str">
        <f t="shared" si="2"/>
        <v>Completed</v>
      </c>
      <c r="G117" s="46" t="s">
        <v>1324</v>
      </c>
      <c r="I117" s="46" t="str">
        <f>IFERROR(VLOOKUP(B117,'Test 1,2'!$E$4:$I$604,5,0),"NOT BILLED")</f>
        <v>Apr</v>
      </c>
      <c r="J117" s="46" t="str">
        <f t="shared" si="3"/>
        <v>PASS</v>
      </c>
    </row>
    <row r="118" spans="2:10" x14ac:dyDescent="0.5">
      <c r="B118" s="46" t="s">
        <v>1266</v>
      </c>
      <c r="C118" s="46" t="s">
        <v>290</v>
      </c>
      <c r="D118" s="47">
        <v>1</v>
      </c>
      <c r="E118" s="48" t="s">
        <v>1482</v>
      </c>
      <c r="F118" s="30" t="str">
        <f t="shared" si="2"/>
        <v>Completed</v>
      </c>
      <c r="G118" s="46" t="s">
        <v>1324</v>
      </c>
      <c r="I118" s="46" t="str">
        <f>IFERROR(VLOOKUP(B118,'Test 1,2'!$E$4:$I$604,5,0),"NOT BILLED")</f>
        <v>Mar</v>
      </c>
      <c r="J118" s="46" t="str">
        <f t="shared" si="3"/>
        <v>PASS</v>
      </c>
    </row>
    <row r="119" spans="2:10" x14ac:dyDescent="0.5">
      <c r="B119" s="46" t="s">
        <v>495</v>
      </c>
      <c r="C119" s="46" t="s">
        <v>40</v>
      </c>
      <c r="D119" s="47">
        <v>1</v>
      </c>
      <c r="E119" s="48" t="s">
        <v>1481</v>
      </c>
      <c r="F119" s="30" t="str">
        <f t="shared" si="2"/>
        <v>Completed</v>
      </c>
      <c r="G119" s="46" t="s">
        <v>1324</v>
      </c>
      <c r="I119" s="46" t="str">
        <f>IFERROR(VLOOKUP(B119,'Test 1,2'!$E$4:$I$604,5,0),"NOT BILLED")</f>
        <v>Dec</v>
      </c>
      <c r="J119" s="46" t="str">
        <f t="shared" si="3"/>
        <v>PASS</v>
      </c>
    </row>
    <row r="120" spans="2:10" x14ac:dyDescent="0.5">
      <c r="B120" s="46" t="s">
        <v>346</v>
      </c>
      <c r="C120" s="46" t="s">
        <v>35</v>
      </c>
      <c r="D120" s="47">
        <v>1</v>
      </c>
      <c r="E120" s="48" t="s">
        <v>1481</v>
      </c>
      <c r="F120" s="30" t="str">
        <f t="shared" si="2"/>
        <v>Completed</v>
      </c>
      <c r="G120" s="46" t="s">
        <v>1324</v>
      </c>
      <c r="I120" s="46" t="str">
        <f>IFERROR(VLOOKUP(B120,'Test 1,2'!$E$4:$I$604,5,0),"NOT BILLED")</f>
        <v>Sep</v>
      </c>
      <c r="J120" s="46" t="str">
        <f t="shared" si="3"/>
        <v>PASS</v>
      </c>
    </row>
    <row r="121" spans="2:10" x14ac:dyDescent="0.5">
      <c r="B121" s="46" t="s">
        <v>325</v>
      </c>
      <c r="C121" s="46" t="s">
        <v>40</v>
      </c>
      <c r="D121" s="47">
        <v>1</v>
      </c>
      <c r="E121" s="48" t="s">
        <v>1481</v>
      </c>
      <c r="F121" s="30" t="str">
        <f t="shared" si="2"/>
        <v>Completed</v>
      </c>
      <c r="G121" s="46" t="s">
        <v>1324</v>
      </c>
      <c r="I121" s="46" t="str">
        <f>IFERROR(VLOOKUP(B121,'Test 1,2'!$E$4:$I$604,5,0),"NOT BILLED")</f>
        <v>Sep</v>
      </c>
      <c r="J121" s="46" t="str">
        <f t="shared" si="3"/>
        <v>PASS</v>
      </c>
    </row>
    <row r="122" spans="2:10" x14ac:dyDescent="0.5">
      <c r="B122" s="46" t="s">
        <v>14</v>
      </c>
      <c r="C122" s="46" t="s">
        <v>15</v>
      </c>
      <c r="D122" s="47">
        <v>1</v>
      </c>
      <c r="E122" s="48" t="s">
        <v>1482</v>
      </c>
      <c r="F122" s="30" t="str">
        <f t="shared" si="2"/>
        <v>Completed</v>
      </c>
      <c r="G122" s="46" t="s">
        <v>1324</v>
      </c>
      <c r="I122" s="46" t="str">
        <f>IFERROR(VLOOKUP(B122,'Test 1,2'!$E$4:$I$604,5,0),"NOT BILLED")</f>
        <v>Apr</v>
      </c>
      <c r="J122" s="46" t="str">
        <f t="shared" si="3"/>
        <v>PASS</v>
      </c>
    </row>
    <row r="123" spans="2:10" x14ac:dyDescent="0.5">
      <c r="B123" s="46" t="s">
        <v>1140</v>
      </c>
      <c r="C123" s="46" t="s">
        <v>114</v>
      </c>
      <c r="D123" s="47">
        <v>1</v>
      </c>
      <c r="E123" s="48" t="s">
        <v>1482</v>
      </c>
      <c r="F123" s="30" t="str">
        <f t="shared" si="2"/>
        <v>Completed</v>
      </c>
      <c r="G123" s="46" t="s">
        <v>1324</v>
      </c>
      <c r="I123" s="46" t="str">
        <f>IFERROR(VLOOKUP(B123,'Test 1,2'!$E$4:$I$604,5,0),"NOT BILLED")</f>
        <v>Dec</v>
      </c>
      <c r="J123" s="46" t="str">
        <f t="shared" si="3"/>
        <v>PASS</v>
      </c>
    </row>
    <row r="124" spans="2:10" x14ac:dyDescent="0.5">
      <c r="B124" s="46" t="s">
        <v>963</v>
      </c>
      <c r="C124" s="46" t="s">
        <v>332</v>
      </c>
      <c r="D124" s="47">
        <v>1</v>
      </c>
      <c r="E124" s="48" t="s">
        <v>1481</v>
      </c>
      <c r="F124" s="30" t="str">
        <f t="shared" si="2"/>
        <v>Completed</v>
      </c>
      <c r="G124" s="46" t="s">
        <v>1324</v>
      </c>
      <c r="I124" s="46" t="str">
        <f>IFERROR(VLOOKUP(B124,'Test 1,2'!$E$4:$I$604,5,0),"NOT BILLED")</f>
        <v>Sep</v>
      </c>
      <c r="J124" s="46" t="str">
        <f t="shared" si="3"/>
        <v>PASS</v>
      </c>
    </row>
    <row r="125" spans="2:10" x14ac:dyDescent="0.5">
      <c r="B125" s="46" t="s">
        <v>692</v>
      </c>
      <c r="C125" s="46" t="s">
        <v>22</v>
      </c>
      <c r="D125" s="47">
        <v>1</v>
      </c>
      <c r="E125" s="48" t="s">
        <v>1482</v>
      </c>
      <c r="F125" s="30" t="str">
        <f t="shared" si="2"/>
        <v>Completed</v>
      </c>
      <c r="G125" s="46" t="s">
        <v>1324</v>
      </c>
      <c r="I125" s="46" t="str">
        <f>IFERROR(VLOOKUP(B125,'Test 1,2'!$E$4:$I$604,5,0),"NOT BILLED")</f>
        <v>May</v>
      </c>
      <c r="J125" s="46" t="str">
        <f t="shared" si="3"/>
        <v>PASS</v>
      </c>
    </row>
    <row r="126" spans="2:10" x14ac:dyDescent="0.5">
      <c r="B126" s="46" t="s">
        <v>172</v>
      </c>
      <c r="C126" s="46" t="s">
        <v>114</v>
      </c>
      <c r="D126" s="47">
        <v>1</v>
      </c>
      <c r="E126" s="48" t="s">
        <v>1481</v>
      </c>
      <c r="F126" s="30" t="str">
        <f t="shared" si="2"/>
        <v>Completed</v>
      </c>
      <c r="G126" s="46" t="s">
        <v>1324</v>
      </c>
      <c r="I126" s="46" t="str">
        <f>IFERROR(VLOOKUP(B126,'Test 1,2'!$E$4:$I$604,5,0),"NOT BILLED")</f>
        <v>Jun</v>
      </c>
      <c r="J126" s="46" t="str">
        <f t="shared" si="3"/>
        <v>PASS</v>
      </c>
    </row>
    <row r="127" spans="2:10" x14ac:dyDescent="0.5">
      <c r="B127" s="46" t="s">
        <v>1061</v>
      </c>
      <c r="C127" s="46" t="s">
        <v>40</v>
      </c>
      <c r="D127" s="47">
        <v>1</v>
      </c>
      <c r="E127" s="48" t="s">
        <v>1481</v>
      </c>
      <c r="F127" s="30" t="str">
        <f t="shared" si="2"/>
        <v>Completed</v>
      </c>
      <c r="G127" s="46" t="s">
        <v>1324</v>
      </c>
      <c r="I127" s="46" t="str">
        <f>IFERROR(VLOOKUP(B127,'Test 1,2'!$E$4:$I$604,5,0),"NOT BILLED")</f>
        <v>Oct</v>
      </c>
      <c r="J127" s="46" t="str">
        <f t="shared" si="3"/>
        <v>PASS</v>
      </c>
    </row>
    <row r="128" spans="2:10" x14ac:dyDescent="0.5">
      <c r="B128" s="46" t="s">
        <v>1108</v>
      </c>
      <c r="C128" s="46" t="s">
        <v>84</v>
      </c>
      <c r="D128" s="47">
        <v>1</v>
      </c>
      <c r="E128" s="48" t="s">
        <v>1482</v>
      </c>
      <c r="F128" s="30" t="str">
        <f t="shared" si="2"/>
        <v>Completed</v>
      </c>
      <c r="G128" s="46" t="s">
        <v>1324</v>
      </c>
      <c r="I128" s="46" t="str">
        <f>IFERROR(VLOOKUP(B128,'Test 1,2'!$E$4:$I$604,5,0),"NOT BILLED")</f>
        <v>Dec</v>
      </c>
      <c r="J128" s="46" t="str">
        <f t="shared" si="3"/>
        <v>PASS</v>
      </c>
    </row>
    <row r="129" spans="2:10" x14ac:dyDescent="0.5">
      <c r="B129" s="46" t="s">
        <v>761</v>
      </c>
      <c r="C129" s="46" t="s">
        <v>272</v>
      </c>
      <c r="D129" s="47">
        <v>1</v>
      </c>
      <c r="E129" s="48" t="s">
        <v>1481</v>
      </c>
      <c r="F129" s="30" t="str">
        <f t="shared" si="2"/>
        <v>Completed</v>
      </c>
      <c r="G129" s="46" t="s">
        <v>1324</v>
      </c>
      <c r="I129" s="46" t="str">
        <f>IFERROR(VLOOKUP(B129,'Test 1,2'!$E$4:$I$604,5,0),"NOT BILLED")</f>
        <v>Jun</v>
      </c>
      <c r="J129" s="46" t="str">
        <f t="shared" si="3"/>
        <v>PASS</v>
      </c>
    </row>
    <row r="130" spans="2:10" x14ac:dyDescent="0.5">
      <c r="B130" s="46" t="s">
        <v>1032</v>
      </c>
      <c r="C130" s="46" t="s">
        <v>54</v>
      </c>
      <c r="D130" s="47">
        <v>1</v>
      </c>
      <c r="E130" s="48" t="s">
        <v>1482</v>
      </c>
      <c r="F130" s="30" t="str">
        <f t="shared" si="2"/>
        <v>Completed</v>
      </c>
      <c r="G130" s="46" t="s">
        <v>1324</v>
      </c>
      <c r="I130" s="46" t="str">
        <f>IFERROR(VLOOKUP(B130,'Test 1,2'!$E$4:$I$604,5,0),"NOT BILLED")</f>
        <v>Nov</v>
      </c>
      <c r="J130" s="46" t="str">
        <f t="shared" si="3"/>
        <v>PASS</v>
      </c>
    </row>
    <row r="131" spans="2:10" x14ac:dyDescent="0.5">
      <c r="B131" s="46" t="s">
        <v>823</v>
      </c>
      <c r="C131" s="46" t="s">
        <v>332</v>
      </c>
      <c r="D131" s="47">
        <v>1</v>
      </c>
      <c r="E131" s="48" t="s">
        <v>1481</v>
      </c>
      <c r="F131" s="30" t="str">
        <f t="shared" si="2"/>
        <v>Completed</v>
      </c>
      <c r="G131" s="46" t="s">
        <v>1325</v>
      </c>
      <c r="I131" s="46" t="str">
        <f>IFERROR(VLOOKUP(B131,'Test 1,2'!$E$4:$I$604,5,0),"NOT BILLED")</f>
        <v>Jul</v>
      </c>
      <c r="J131" s="46" t="str">
        <f t="shared" si="3"/>
        <v>PASS</v>
      </c>
    </row>
    <row r="132" spans="2:10" x14ac:dyDescent="0.5">
      <c r="B132" s="46" t="s">
        <v>749</v>
      </c>
      <c r="C132" s="46" t="s">
        <v>195</v>
      </c>
      <c r="D132" s="47">
        <v>1</v>
      </c>
      <c r="E132" s="48" t="s">
        <v>1482</v>
      </c>
      <c r="F132" s="30" t="str">
        <f t="shared" ref="F132:F195" si="4">IF(D132=100%,"Completed","Contract-In-Progress")</f>
        <v>Completed</v>
      </c>
      <c r="G132" s="46" t="s">
        <v>1324</v>
      </c>
      <c r="I132" s="46" t="str">
        <f>IFERROR(VLOOKUP(B132,'Test 1,2'!$E$4:$I$604,5,0),"NOT BILLED")</f>
        <v>May</v>
      </c>
      <c r="J132" s="46" t="str">
        <f t="shared" ref="J132:J195" si="5">IF(I132&lt;&gt;"NOT BILLED",IF(D132=100%,"PASS","FLAG"),IF(D132&lt;100%,"PASS","FLAG"))</f>
        <v>PASS</v>
      </c>
    </row>
    <row r="133" spans="2:10" x14ac:dyDescent="0.5">
      <c r="B133" s="46" t="s">
        <v>925</v>
      </c>
      <c r="C133" s="46" t="s">
        <v>272</v>
      </c>
      <c r="D133" s="47">
        <v>1</v>
      </c>
      <c r="E133" s="48" t="s">
        <v>1482</v>
      </c>
      <c r="F133" s="30" t="str">
        <f t="shared" si="4"/>
        <v>Completed</v>
      </c>
      <c r="G133" s="46" t="s">
        <v>1324</v>
      </c>
      <c r="I133" s="46" t="str">
        <f>IFERROR(VLOOKUP(B133,'Test 1,2'!$E$4:$I$604,5,0),"NOT BILLED")</f>
        <v>Aug</v>
      </c>
      <c r="J133" s="46" t="str">
        <f t="shared" si="5"/>
        <v>PASS</v>
      </c>
    </row>
    <row r="134" spans="2:10" x14ac:dyDescent="0.5">
      <c r="B134" s="46" t="s">
        <v>648</v>
      </c>
      <c r="C134" s="46" t="s">
        <v>577</v>
      </c>
      <c r="D134" s="47">
        <v>1</v>
      </c>
      <c r="E134" s="48" t="s">
        <v>1481</v>
      </c>
      <c r="F134" s="30" t="str">
        <f t="shared" si="4"/>
        <v>Completed</v>
      </c>
      <c r="G134" s="46" t="s">
        <v>1324</v>
      </c>
      <c r="I134" s="46" t="str">
        <f>IFERROR(VLOOKUP(B134,'Test 1,2'!$E$4:$I$604,5,0),"NOT BILLED")</f>
        <v>Apr</v>
      </c>
      <c r="J134" s="46" t="str">
        <f t="shared" si="5"/>
        <v>PASS</v>
      </c>
    </row>
    <row r="135" spans="2:10" x14ac:dyDescent="0.5">
      <c r="B135" s="46" t="s">
        <v>253</v>
      </c>
      <c r="C135" s="46" t="s">
        <v>103</v>
      </c>
      <c r="D135" s="47">
        <v>1</v>
      </c>
      <c r="E135" s="48" t="s">
        <v>1482</v>
      </c>
      <c r="F135" s="30" t="str">
        <f t="shared" si="4"/>
        <v>Completed</v>
      </c>
      <c r="G135" s="46" t="s">
        <v>1324</v>
      </c>
      <c r="I135" s="46" t="str">
        <f>IFERROR(VLOOKUP(B135,'Test 1,2'!$E$4:$I$604,5,0),"NOT BILLED")</f>
        <v>Jul</v>
      </c>
      <c r="J135" s="46" t="str">
        <f t="shared" si="5"/>
        <v>PASS</v>
      </c>
    </row>
    <row r="136" spans="2:10" x14ac:dyDescent="0.5">
      <c r="B136" s="46" t="s">
        <v>409</v>
      </c>
      <c r="C136" s="46" t="s">
        <v>203</v>
      </c>
      <c r="D136" s="47">
        <v>1</v>
      </c>
      <c r="E136" s="48" t="s">
        <v>1482</v>
      </c>
      <c r="F136" s="30" t="str">
        <f t="shared" si="4"/>
        <v>Completed</v>
      </c>
      <c r="G136" s="46" t="s">
        <v>1324</v>
      </c>
      <c r="I136" s="46" t="str">
        <f>IFERROR(VLOOKUP(B136,'Test 1,2'!$E$4:$I$604,5,0),"NOT BILLED")</f>
        <v>Oct</v>
      </c>
      <c r="J136" s="46" t="str">
        <f t="shared" si="5"/>
        <v>PASS</v>
      </c>
    </row>
    <row r="137" spans="2:10" x14ac:dyDescent="0.5">
      <c r="B137" s="46" t="s">
        <v>247</v>
      </c>
      <c r="C137" s="46" t="s">
        <v>103</v>
      </c>
      <c r="D137" s="47">
        <v>1</v>
      </c>
      <c r="E137" s="48" t="s">
        <v>1482</v>
      </c>
      <c r="F137" s="30" t="str">
        <f t="shared" si="4"/>
        <v>Completed</v>
      </c>
      <c r="G137" s="46" t="s">
        <v>1324</v>
      </c>
      <c r="I137" s="46" t="str">
        <f>IFERROR(VLOOKUP(B137,'Test 1,2'!$E$4:$I$604,5,0),"NOT BILLED")</f>
        <v>Jul</v>
      </c>
      <c r="J137" s="46" t="str">
        <f t="shared" si="5"/>
        <v>PASS</v>
      </c>
    </row>
    <row r="138" spans="2:10" x14ac:dyDescent="0.5">
      <c r="B138" s="46" t="s">
        <v>1252</v>
      </c>
      <c r="C138" s="46" t="s">
        <v>195</v>
      </c>
      <c r="D138" s="47">
        <v>1</v>
      </c>
      <c r="E138" s="48" t="s">
        <v>1482</v>
      </c>
      <c r="F138" s="30" t="str">
        <f t="shared" si="4"/>
        <v>Completed</v>
      </c>
      <c r="G138" s="46" t="s">
        <v>1324</v>
      </c>
      <c r="I138" s="46" t="str">
        <f>IFERROR(VLOOKUP(B138,'Test 1,2'!$E$4:$I$604,5,0),"NOT BILLED")</f>
        <v>Feb</v>
      </c>
      <c r="J138" s="46" t="str">
        <f t="shared" si="5"/>
        <v>PASS</v>
      </c>
    </row>
    <row r="139" spans="2:10" x14ac:dyDescent="0.5">
      <c r="B139" s="46" t="s">
        <v>632</v>
      </c>
      <c r="C139" s="46" t="s">
        <v>84</v>
      </c>
      <c r="D139" s="47">
        <v>1</v>
      </c>
      <c r="E139" s="48" t="s">
        <v>1481</v>
      </c>
      <c r="F139" s="30" t="str">
        <f t="shared" si="4"/>
        <v>Completed</v>
      </c>
      <c r="G139" s="46" t="s">
        <v>1324</v>
      </c>
      <c r="I139" s="46" t="str">
        <f>IFERROR(VLOOKUP(B139,'Test 1,2'!$E$4:$I$604,5,0),"NOT BILLED")</f>
        <v>Apr</v>
      </c>
      <c r="J139" s="46" t="str">
        <f t="shared" si="5"/>
        <v>PASS</v>
      </c>
    </row>
    <row r="140" spans="2:10" x14ac:dyDescent="0.5">
      <c r="B140" s="46" t="s">
        <v>415</v>
      </c>
      <c r="C140" s="46" t="s">
        <v>22</v>
      </c>
      <c r="D140" s="47">
        <v>1</v>
      </c>
      <c r="E140" s="48" t="s">
        <v>1482</v>
      </c>
      <c r="F140" s="30" t="str">
        <f t="shared" si="4"/>
        <v>Completed</v>
      </c>
      <c r="G140" s="46" t="s">
        <v>1324</v>
      </c>
      <c r="I140" s="46" t="str">
        <f>IFERROR(VLOOKUP(B140,'Test 1,2'!$E$4:$I$604,5,0),"NOT BILLED")</f>
        <v>Oct</v>
      </c>
      <c r="J140" s="46" t="str">
        <f t="shared" si="5"/>
        <v>PASS</v>
      </c>
    </row>
    <row r="141" spans="2:10" x14ac:dyDescent="0.5">
      <c r="B141" s="46" t="s">
        <v>987</v>
      </c>
      <c r="C141" s="46" t="s">
        <v>95</v>
      </c>
      <c r="D141" s="47">
        <v>1</v>
      </c>
      <c r="E141" s="48" t="s">
        <v>1481</v>
      </c>
      <c r="F141" s="30" t="str">
        <f t="shared" si="4"/>
        <v>Completed</v>
      </c>
      <c r="G141" s="46" t="s">
        <v>1324</v>
      </c>
      <c r="I141" s="46" t="str">
        <f>IFERROR(VLOOKUP(B141,'Test 1,2'!$E$4:$I$604,5,0),"NOT BILLED")</f>
        <v>Oct</v>
      </c>
      <c r="J141" s="46" t="str">
        <f t="shared" si="5"/>
        <v>PASS</v>
      </c>
    </row>
    <row r="142" spans="2:10" x14ac:dyDescent="0.5">
      <c r="B142" s="46" t="s">
        <v>179</v>
      </c>
      <c r="C142" s="46" t="s">
        <v>119</v>
      </c>
      <c r="D142" s="47">
        <v>1</v>
      </c>
      <c r="E142" s="48" t="s">
        <v>1481</v>
      </c>
      <c r="F142" s="30" t="str">
        <f t="shared" si="4"/>
        <v>Completed</v>
      </c>
      <c r="G142" s="46" t="s">
        <v>1324</v>
      </c>
      <c r="I142" s="46" t="str">
        <f>IFERROR(VLOOKUP(B142,'Test 1,2'!$E$4:$I$604,5,0),"NOT BILLED")</f>
        <v>Jun</v>
      </c>
      <c r="J142" s="46" t="str">
        <f t="shared" si="5"/>
        <v>PASS</v>
      </c>
    </row>
    <row r="143" spans="2:10" x14ac:dyDescent="0.5">
      <c r="B143" s="46" t="s">
        <v>765</v>
      </c>
      <c r="C143" s="46" t="s">
        <v>203</v>
      </c>
      <c r="D143" s="47">
        <v>1</v>
      </c>
      <c r="E143" s="48" t="s">
        <v>1481</v>
      </c>
      <c r="F143" s="30" t="str">
        <f t="shared" si="4"/>
        <v>Completed</v>
      </c>
      <c r="G143" s="46" t="s">
        <v>1324</v>
      </c>
      <c r="I143" s="46" t="str">
        <f>IFERROR(VLOOKUP(B143,'Test 1,2'!$E$4:$I$604,5,0),"NOT BILLED")</f>
        <v>Jun</v>
      </c>
      <c r="J143" s="46" t="str">
        <f t="shared" si="5"/>
        <v>PASS</v>
      </c>
    </row>
    <row r="144" spans="2:10" x14ac:dyDescent="0.5">
      <c r="B144" s="46" t="s">
        <v>1244</v>
      </c>
      <c r="C144" s="46" t="s">
        <v>238</v>
      </c>
      <c r="D144" s="47">
        <v>1</v>
      </c>
      <c r="E144" s="48" t="s">
        <v>1482</v>
      </c>
      <c r="F144" s="30" t="str">
        <f t="shared" si="4"/>
        <v>Completed</v>
      </c>
      <c r="G144" s="46" t="s">
        <v>1324</v>
      </c>
      <c r="I144" s="46" t="str">
        <f>IFERROR(VLOOKUP(B144,'Test 1,2'!$E$4:$I$604,5,0),"NOT BILLED")</f>
        <v>Jan</v>
      </c>
      <c r="J144" s="46" t="str">
        <f t="shared" si="5"/>
        <v>PASS</v>
      </c>
    </row>
    <row r="145" spans="2:10" x14ac:dyDescent="0.5">
      <c r="B145" s="46" t="s">
        <v>1100</v>
      </c>
      <c r="C145" s="46" t="s">
        <v>272</v>
      </c>
      <c r="D145" s="47">
        <v>1</v>
      </c>
      <c r="E145" s="48" t="s">
        <v>1481</v>
      </c>
      <c r="F145" s="30" t="str">
        <f t="shared" si="4"/>
        <v>Completed</v>
      </c>
      <c r="G145" s="46" t="s">
        <v>1324</v>
      </c>
      <c r="I145" s="46" t="str">
        <f>IFERROR(VLOOKUP(B145,'Test 1,2'!$E$4:$I$604,5,0),"NOT BILLED")</f>
        <v>Dec</v>
      </c>
      <c r="J145" s="46" t="str">
        <f t="shared" si="5"/>
        <v>PASS</v>
      </c>
    </row>
    <row r="146" spans="2:10" x14ac:dyDescent="0.5">
      <c r="B146" s="46" t="s">
        <v>620</v>
      </c>
      <c r="C146" s="46" t="s">
        <v>184</v>
      </c>
      <c r="D146" s="47">
        <v>1</v>
      </c>
      <c r="E146" s="48" t="s">
        <v>1481</v>
      </c>
      <c r="F146" s="30" t="str">
        <f t="shared" si="4"/>
        <v>Completed</v>
      </c>
      <c r="G146" s="46" t="s">
        <v>1324</v>
      </c>
      <c r="I146" s="46" t="str">
        <f>IFERROR(VLOOKUP(B146,'Test 1,2'!$E$4:$I$604,5,0),"NOT BILLED")</f>
        <v>Apr</v>
      </c>
      <c r="J146" s="46" t="str">
        <f t="shared" si="5"/>
        <v>PASS</v>
      </c>
    </row>
    <row r="147" spans="2:10" x14ac:dyDescent="0.5">
      <c r="B147" s="46" t="s">
        <v>1292</v>
      </c>
      <c r="C147" s="46" t="s">
        <v>114</v>
      </c>
      <c r="D147" s="47">
        <v>1</v>
      </c>
      <c r="E147" s="48" t="s">
        <v>1482</v>
      </c>
      <c r="F147" s="30" t="str">
        <f t="shared" si="4"/>
        <v>Completed</v>
      </c>
      <c r="G147" s="46" t="s">
        <v>1324</v>
      </c>
      <c r="I147" s="46" t="str">
        <f>IFERROR(VLOOKUP(B147,'Test 1,2'!$E$4:$I$604,5,0),"NOT BILLED")</f>
        <v>Mar</v>
      </c>
      <c r="J147" s="46" t="str">
        <f t="shared" si="5"/>
        <v>PASS</v>
      </c>
    </row>
    <row r="148" spans="2:10" x14ac:dyDescent="0.5">
      <c r="B148" s="46" t="s">
        <v>585</v>
      </c>
      <c r="C148" s="46" t="s">
        <v>122</v>
      </c>
      <c r="D148" s="47">
        <v>1</v>
      </c>
      <c r="E148" s="48" t="s">
        <v>1482</v>
      </c>
      <c r="F148" s="30" t="str">
        <f t="shared" si="4"/>
        <v>Completed</v>
      </c>
      <c r="G148" s="46" t="s">
        <v>1324</v>
      </c>
      <c r="I148" s="46" t="str">
        <f>IFERROR(VLOOKUP(B148,'Test 1,2'!$E$4:$I$604,5,0),"NOT BILLED")</f>
        <v>Mar</v>
      </c>
      <c r="J148" s="46" t="str">
        <f t="shared" si="5"/>
        <v>PASS</v>
      </c>
    </row>
    <row r="149" spans="2:10" x14ac:dyDescent="0.5">
      <c r="B149" s="46" t="s">
        <v>660</v>
      </c>
      <c r="C149" s="46" t="s">
        <v>114</v>
      </c>
      <c r="D149" s="47">
        <v>1</v>
      </c>
      <c r="E149" s="48" t="s">
        <v>1481</v>
      </c>
      <c r="F149" s="30" t="str">
        <f t="shared" si="4"/>
        <v>Completed</v>
      </c>
      <c r="G149" s="46" t="s">
        <v>1324</v>
      </c>
      <c r="I149" s="46" t="str">
        <f>IFERROR(VLOOKUP(B149,'Test 1,2'!$E$4:$I$604,5,0),"NOT BILLED")</f>
        <v>Apr</v>
      </c>
      <c r="J149" s="46" t="str">
        <f t="shared" si="5"/>
        <v>PASS</v>
      </c>
    </row>
    <row r="150" spans="2:10" x14ac:dyDescent="0.5">
      <c r="B150" s="46" t="s">
        <v>436</v>
      </c>
      <c r="C150" s="46" t="s">
        <v>54</v>
      </c>
      <c r="D150" s="47">
        <v>1</v>
      </c>
      <c r="E150" s="48" t="s">
        <v>1481</v>
      </c>
      <c r="F150" s="30" t="str">
        <f t="shared" si="4"/>
        <v>Completed</v>
      </c>
      <c r="G150" s="46" t="s">
        <v>1324</v>
      </c>
      <c r="I150" s="46" t="str">
        <f>IFERROR(VLOOKUP(B150,'Test 1,2'!$E$4:$I$604,5,0),"NOT BILLED")</f>
        <v>Nov</v>
      </c>
      <c r="J150" s="46" t="str">
        <f t="shared" si="5"/>
        <v>PASS</v>
      </c>
    </row>
    <row r="151" spans="2:10" x14ac:dyDescent="0.5">
      <c r="B151" s="46" t="s">
        <v>543</v>
      </c>
      <c r="C151" s="46" t="s">
        <v>262</v>
      </c>
      <c r="D151" s="47">
        <v>1</v>
      </c>
      <c r="E151" s="48" t="s">
        <v>1481</v>
      </c>
      <c r="F151" s="30" t="str">
        <f t="shared" si="4"/>
        <v>Completed</v>
      </c>
      <c r="G151" s="46" t="s">
        <v>1324</v>
      </c>
      <c r="I151" s="46" t="str">
        <f>IFERROR(VLOOKUP(B151,'Test 1,2'!$E$4:$I$604,5,0),"NOT BILLED")</f>
        <v>Jan</v>
      </c>
      <c r="J151" s="46" t="str">
        <f t="shared" si="5"/>
        <v>PASS</v>
      </c>
    </row>
    <row r="152" spans="2:10" x14ac:dyDescent="0.5">
      <c r="B152" s="46" t="s">
        <v>662</v>
      </c>
      <c r="C152" s="46" t="s">
        <v>72</v>
      </c>
      <c r="D152" s="47">
        <v>1</v>
      </c>
      <c r="E152" s="48" t="s">
        <v>1482</v>
      </c>
      <c r="F152" s="30" t="str">
        <f t="shared" si="4"/>
        <v>Completed</v>
      </c>
      <c r="G152" s="46" t="s">
        <v>1324</v>
      </c>
      <c r="I152" s="46" t="str">
        <f>IFERROR(VLOOKUP(B152,'Test 1,2'!$E$4:$I$604,5,0),"NOT BILLED")</f>
        <v>Apr</v>
      </c>
      <c r="J152" s="46" t="str">
        <f t="shared" si="5"/>
        <v>PASS</v>
      </c>
    </row>
    <row r="153" spans="2:10" x14ac:dyDescent="0.5">
      <c r="B153" s="46" t="s">
        <v>391</v>
      </c>
      <c r="C153" s="46" t="s">
        <v>195</v>
      </c>
      <c r="D153" s="47">
        <v>1</v>
      </c>
      <c r="E153" s="48" t="s">
        <v>1482</v>
      </c>
      <c r="F153" s="30" t="str">
        <f t="shared" si="4"/>
        <v>Completed</v>
      </c>
      <c r="G153" s="46" t="s">
        <v>1324</v>
      </c>
      <c r="I153" s="46" t="str">
        <f>IFERROR(VLOOKUP(B153,'Test 1,2'!$E$4:$I$604,5,0),"NOT BILLED")</f>
        <v>Oct</v>
      </c>
      <c r="J153" s="46" t="str">
        <f t="shared" si="5"/>
        <v>PASS</v>
      </c>
    </row>
    <row r="154" spans="2:10" x14ac:dyDescent="0.5">
      <c r="B154" s="46" t="s">
        <v>745</v>
      </c>
      <c r="C154" s="46" t="s">
        <v>119</v>
      </c>
      <c r="D154" s="47">
        <v>1</v>
      </c>
      <c r="E154" s="48" t="s">
        <v>1481</v>
      </c>
      <c r="F154" s="30" t="str">
        <f t="shared" si="4"/>
        <v>Completed</v>
      </c>
      <c r="G154" s="46" t="s">
        <v>1324</v>
      </c>
      <c r="I154" s="46" t="str">
        <f>IFERROR(VLOOKUP(B154,'Test 1,2'!$E$4:$I$604,5,0),"NOT BILLED")</f>
        <v>May</v>
      </c>
      <c r="J154" s="46" t="str">
        <f t="shared" si="5"/>
        <v>PASS</v>
      </c>
    </row>
    <row r="155" spans="2:10" x14ac:dyDescent="0.5">
      <c r="B155" s="46" t="s">
        <v>759</v>
      </c>
      <c r="C155" s="46" t="s">
        <v>81</v>
      </c>
      <c r="D155" s="47">
        <v>1</v>
      </c>
      <c r="E155" s="48" t="s">
        <v>1481</v>
      </c>
      <c r="F155" s="30" t="str">
        <f t="shared" si="4"/>
        <v>Completed</v>
      </c>
      <c r="G155" s="46" t="s">
        <v>1324</v>
      </c>
      <c r="I155" s="46" t="str">
        <f>IFERROR(VLOOKUP(B155,'Test 1,2'!$E$4:$I$604,5,0),"NOT BILLED")</f>
        <v>May</v>
      </c>
      <c r="J155" s="46" t="str">
        <f t="shared" si="5"/>
        <v>PASS</v>
      </c>
    </row>
    <row r="156" spans="2:10" x14ac:dyDescent="0.5">
      <c r="B156" s="46" t="s">
        <v>726</v>
      </c>
      <c r="C156" s="46" t="s">
        <v>195</v>
      </c>
      <c r="D156" s="47">
        <v>1</v>
      </c>
      <c r="E156" s="48" t="s">
        <v>1482</v>
      </c>
      <c r="F156" s="30" t="str">
        <f t="shared" si="4"/>
        <v>Completed</v>
      </c>
      <c r="G156" s="46" t="s">
        <v>1324</v>
      </c>
      <c r="I156" s="46" t="str">
        <f>IFERROR(VLOOKUP(B156,'Test 1,2'!$E$4:$I$604,5,0),"NOT BILLED")</f>
        <v>May</v>
      </c>
      <c r="J156" s="46" t="str">
        <f t="shared" si="5"/>
        <v>PASS</v>
      </c>
    </row>
    <row r="157" spans="2:10" x14ac:dyDescent="0.5">
      <c r="B157" s="46" t="s">
        <v>1166</v>
      </c>
      <c r="C157" s="46" t="s">
        <v>577</v>
      </c>
      <c r="D157" s="47">
        <v>1</v>
      </c>
      <c r="E157" s="48" t="s">
        <v>1481</v>
      </c>
      <c r="F157" s="30" t="str">
        <f t="shared" si="4"/>
        <v>Completed</v>
      </c>
      <c r="G157" s="46" t="s">
        <v>1325</v>
      </c>
      <c r="I157" s="46" t="str">
        <f>IFERROR(VLOOKUP(B157,'Test 1,2'!$E$4:$I$604,5,0),"NOT BILLED")</f>
        <v>Jan</v>
      </c>
      <c r="J157" s="46" t="str">
        <f t="shared" si="5"/>
        <v>PASS</v>
      </c>
    </row>
    <row r="158" spans="2:10" x14ac:dyDescent="0.5">
      <c r="B158" s="46" t="s">
        <v>1004</v>
      </c>
      <c r="C158" s="46" t="s">
        <v>195</v>
      </c>
      <c r="D158" s="47">
        <v>1</v>
      </c>
      <c r="E158" s="48" t="s">
        <v>1482</v>
      </c>
      <c r="F158" s="30" t="str">
        <f t="shared" si="4"/>
        <v>Completed</v>
      </c>
      <c r="G158" s="46" t="s">
        <v>1324</v>
      </c>
      <c r="I158" s="46" t="str">
        <f>IFERROR(VLOOKUP(B158,'Test 1,2'!$E$4:$I$604,5,0),"NOT BILLED")</f>
        <v>Oct</v>
      </c>
      <c r="J158" s="46" t="str">
        <f t="shared" si="5"/>
        <v>PASS</v>
      </c>
    </row>
    <row r="159" spans="2:10" x14ac:dyDescent="0.5">
      <c r="B159" s="46" t="s">
        <v>434</v>
      </c>
      <c r="C159" s="46" t="s">
        <v>87</v>
      </c>
      <c r="D159" s="47">
        <v>1</v>
      </c>
      <c r="E159" s="48" t="s">
        <v>1482</v>
      </c>
      <c r="F159" s="30" t="str">
        <f t="shared" si="4"/>
        <v>Completed</v>
      </c>
      <c r="G159" s="46" t="s">
        <v>1324</v>
      </c>
      <c r="I159" s="46" t="str">
        <f>IFERROR(VLOOKUP(B159,'Test 1,2'!$E$4:$I$604,5,0),"NOT BILLED")</f>
        <v>Nov</v>
      </c>
      <c r="J159" s="46" t="str">
        <f t="shared" si="5"/>
        <v>PASS</v>
      </c>
    </row>
    <row r="160" spans="2:10" x14ac:dyDescent="0.5">
      <c r="B160" s="46" t="s">
        <v>1022</v>
      </c>
      <c r="C160" s="46" t="s">
        <v>64</v>
      </c>
      <c r="D160" s="47">
        <v>1</v>
      </c>
      <c r="E160" s="48" t="s">
        <v>1481</v>
      </c>
      <c r="F160" s="30" t="str">
        <f t="shared" si="4"/>
        <v>Completed</v>
      </c>
      <c r="G160" s="46" t="s">
        <v>1324</v>
      </c>
      <c r="I160" s="46" t="str">
        <f>IFERROR(VLOOKUP(B160,'Test 1,2'!$E$4:$I$604,5,0),"NOT BILLED")</f>
        <v>Oct</v>
      </c>
      <c r="J160" s="46" t="str">
        <f t="shared" si="5"/>
        <v>PASS</v>
      </c>
    </row>
    <row r="161" spans="2:10" x14ac:dyDescent="0.5">
      <c r="B161" s="46" t="s">
        <v>1144</v>
      </c>
      <c r="C161" s="46" t="s">
        <v>103</v>
      </c>
      <c r="D161" s="47">
        <v>1</v>
      </c>
      <c r="E161" s="48" t="s">
        <v>1482</v>
      </c>
      <c r="F161" s="30" t="str">
        <f t="shared" si="4"/>
        <v>Completed</v>
      </c>
      <c r="G161" s="46" t="s">
        <v>1324</v>
      </c>
      <c r="I161" s="46" t="str">
        <f>IFERROR(VLOOKUP(B161,'Test 1,2'!$E$4:$I$604,5,0),"NOT BILLED")</f>
        <v>Dec</v>
      </c>
      <c r="J161" s="46" t="str">
        <f t="shared" si="5"/>
        <v>PASS</v>
      </c>
    </row>
    <row r="162" spans="2:10" x14ac:dyDescent="0.5">
      <c r="B162" s="46" t="s">
        <v>668</v>
      </c>
      <c r="C162" s="46" t="s">
        <v>15</v>
      </c>
      <c r="D162" s="47">
        <v>1</v>
      </c>
      <c r="E162" s="48" t="s">
        <v>1481</v>
      </c>
      <c r="F162" s="30" t="str">
        <f t="shared" si="4"/>
        <v>Completed</v>
      </c>
      <c r="G162" s="46" t="s">
        <v>1324</v>
      </c>
      <c r="I162" s="46" t="str">
        <f>IFERROR(VLOOKUP(B162,'Test 1,2'!$E$4:$I$604,5,0),"NOT BILLED")</f>
        <v>Apr</v>
      </c>
      <c r="J162" s="46" t="str">
        <f t="shared" si="5"/>
        <v>PASS</v>
      </c>
    </row>
    <row r="163" spans="2:10" x14ac:dyDescent="0.5">
      <c r="B163" s="46" t="s">
        <v>462</v>
      </c>
      <c r="C163" s="46" t="s">
        <v>15</v>
      </c>
      <c r="D163" s="47">
        <v>1</v>
      </c>
      <c r="E163" s="48" t="s">
        <v>1482</v>
      </c>
      <c r="F163" s="30" t="str">
        <f t="shared" si="4"/>
        <v>Completed</v>
      </c>
      <c r="G163" s="46" t="s">
        <v>1324</v>
      </c>
      <c r="I163" s="46" t="str">
        <f>IFERROR(VLOOKUP(B163,'Test 1,2'!$E$4:$I$604,5,0),"NOT BILLED")</f>
        <v>Nov</v>
      </c>
      <c r="J163" s="46" t="str">
        <f t="shared" si="5"/>
        <v>PASS</v>
      </c>
    </row>
    <row r="164" spans="2:10" x14ac:dyDescent="0.5">
      <c r="B164" s="46" t="s">
        <v>743</v>
      </c>
      <c r="C164" s="46" t="s">
        <v>35</v>
      </c>
      <c r="D164" s="47">
        <v>1</v>
      </c>
      <c r="E164" s="48" t="s">
        <v>1482</v>
      </c>
      <c r="F164" s="30" t="str">
        <f t="shared" si="4"/>
        <v>Completed</v>
      </c>
      <c r="G164" s="46" t="s">
        <v>1324</v>
      </c>
      <c r="I164" s="46" t="str">
        <f>IFERROR(VLOOKUP(B164,'Test 1,2'!$E$4:$I$604,5,0),"NOT BILLED")</f>
        <v>May</v>
      </c>
      <c r="J164" s="46" t="str">
        <f t="shared" si="5"/>
        <v>PASS</v>
      </c>
    </row>
    <row r="165" spans="2:10" x14ac:dyDescent="0.5">
      <c r="B165" s="46" t="s">
        <v>941</v>
      </c>
      <c r="C165" s="46" t="s">
        <v>92</v>
      </c>
      <c r="D165" s="47">
        <v>1</v>
      </c>
      <c r="E165" s="48" t="s">
        <v>1481</v>
      </c>
      <c r="F165" s="30" t="str">
        <f t="shared" si="4"/>
        <v>Completed</v>
      </c>
      <c r="G165" s="46" t="s">
        <v>1324</v>
      </c>
      <c r="I165" s="46" t="str">
        <f>IFERROR(VLOOKUP(B165,'Test 1,2'!$E$4:$I$604,5,0),"NOT BILLED")</f>
        <v>Aug</v>
      </c>
      <c r="J165" s="46" t="str">
        <f t="shared" si="5"/>
        <v>PASS</v>
      </c>
    </row>
    <row r="166" spans="2:10" x14ac:dyDescent="0.5">
      <c r="B166" s="46" t="s">
        <v>894</v>
      </c>
      <c r="C166" s="46" t="s">
        <v>84</v>
      </c>
      <c r="D166" s="47">
        <v>1</v>
      </c>
      <c r="E166" s="48" t="s">
        <v>1482</v>
      </c>
      <c r="F166" s="30" t="str">
        <f t="shared" si="4"/>
        <v>Completed</v>
      </c>
      <c r="G166" s="46" t="s">
        <v>1324</v>
      </c>
      <c r="I166" s="46" t="str">
        <f>IFERROR(VLOOKUP(B166,'Test 1,2'!$E$4:$I$604,5,0),"NOT BILLED")</f>
        <v>Aug</v>
      </c>
      <c r="J166" s="46" t="str">
        <f t="shared" si="5"/>
        <v>PASS</v>
      </c>
    </row>
    <row r="167" spans="2:10" x14ac:dyDescent="0.5">
      <c r="B167" s="46" t="s">
        <v>259</v>
      </c>
      <c r="C167" s="46" t="s">
        <v>81</v>
      </c>
      <c r="D167" s="47">
        <v>1</v>
      </c>
      <c r="E167" s="48" t="s">
        <v>1482</v>
      </c>
      <c r="F167" s="30" t="str">
        <f t="shared" si="4"/>
        <v>Completed</v>
      </c>
      <c r="G167" s="46" t="s">
        <v>1325</v>
      </c>
      <c r="I167" s="46" t="str">
        <f>IFERROR(VLOOKUP(B167,'Test 1,2'!$E$4:$I$604,5,0),"NOT BILLED")</f>
        <v>Jul</v>
      </c>
      <c r="J167" s="46" t="str">
        <f t="shared" si="5"/>
        <v>PASS</v>
      </c>
    </row>
    <row r="168" spans="2:10" x14ac:dyDescent="0.5">
      <c r="B168" s="46" t="s">
        <v>444</v>
      </c>
      <c r="C168" s="46" t="s">
        <v>45</v>
      </c>
      <c r="D168" s="47">
        <v>1</v>
      </c>
      <c r="E168" s="48" t="s">
        <v>1481</v>
      </c>
      <c r="F168" s="30" t="str">
        <f t="shared" si="4"/>
        <v>Completed</v>
      </c>
      <c r="G168" s="46" t="s">
        <v>1324</v>
      </c>
      <c r="I168" s="46" t="str">
        <f>IFERROR(VLOOKUP(B168,'Test 1,2'!$E$4:$I$604,5,0),"NOT BILLED")</f>
        <v>Nov</v>
      </c>
      <c r="J168" s="46" t="str">
        <f t="shared" si="5"/>
        <v>PASS</v>
      </c>
    </row>
    <row r="169" spans="2:10" x14ac:dyDescent="0.5">
      <c r="B169" s="46" t="s">
        <v>448</v>
      </c>
      <c r="C169" s="46" t="s">
        <v>269</v>
      </c>
      <c r="D169" s="47">
        <v>1</v>
      </c>
      <c r="E169" s="48" t="s">
        <v>1482</v>
      </c>
      <c r="F169" s="30" t="str">
        <f t="shared" si="4"/>
        <v>Completed</v>
      </c>
      <c r="G169" s="46" t="s">
        <v>1324</v>
      </c>
      <c r="I169" s="46" t="str">
        <f>IFERROR(VLOOKUP(B169,'Test 1,2'!$E$4:$I$604,5,0),"NOT BILLED")</f>
        <v>Nov</v>
      </c>
      <c r="J169" s="46" t="str">
        <f t="shared" si="5"/>
        <v>PASS</v>
      </c>
    </row>
    <row r="170" spans="2:10" x14ac:dyDescent="0.5">
      <c r="B170" s="46" t="s">
        <v>74</v>
      </c>
      <c r="C170" s="46" t="s">
        <v>67</v>
      </c>
      <c r="D170" s="47">
        <v>1</v>
      </c>
      <c r="E170" s="48" t="s">
        <v>1482</v>
      </c>
      <c r="F170" s="30" t="str">
        <f t="shared" si="4"/>
        <v>Completed</v>
      </c>
      <c r="G170" s="46" t="s">
        <v>1324</v>
      </c>
      <c r="I170" s="46" t="str">
        <f>IFERROR(VLOOKUP(B170,'Test 1,2'!$E$4:$I$604,5,0),"NOT BILLED")</f>
        <v>Apr</v>
      </c>
      <c r="J170" s="46" t="str">
        <f t="shared" si="5"/>
        <v>PASS</v>
      </c>
    </row>
    <row r="171" spans="2:10" x14ac:dyDescent="0.5">
      <c r="B171" s="46" t="s">
        <v>245</v>
      </c>
      <c r="C171" s="46" t="s">
        <v>229</v>
      </c>
      <c r="D171" s="47">
        <v>1</v>
      </c>
      <c r="E171" s="48" t="s">
        <v>1482</v>
      </c>
      <c r="F171" s="30" t="str">
        <f t="shared" si="4"/>
        <v>Completed</v>
      </c>
      <c r="G171" s="46" t="s">
        <v>1324</v>
      </c>
      <c r="I171" s="46" t="str">
        <f>IFERROR(VLOOKUP(B171,'Test 1,2'!$E$4:$I$604,5,0),"NOT BILLED")</f>
        <v>Jul</v>
      </c>
      <c r="J171" s="46" t="str">
        <f t="shared" si="5"/>
        <v>PASS</v>
      </c>
    </row>
    <row r="172" spans="2:10" x14ac:dyDescent="0.5">
      <c r="B172" s="46" t="s">
        <v>181</v>
      </c>
      <c r="C172" s="46" t="s">
        <v>72</v>
      </c>
      <c r="D172" s="47">
        <v>1</v>
      </c>
      <c r="E172" s="48" t="s">
        <v>1482</v>
      </c>
      <c r="F172" s="30" t="str">
        <f t="shared" si="4"/>
        <v>Completed</v>
      </c>
      <c r="G172" s="46" t="s">
        <v>1325</v>
      </c>
      <c r="I172" s="46" t="str">
        <f>IFERROR(VLOOKUP(B172,'Test 1,2'!$E$4:$I$604,5,0),"NOT BILLED")</f>
        <v>Jun</v>
      </c>
      <c r="J172" s="46" t="str">
        <f t="shared" si="5"/>
        <v>PASS</v>
      </c>
    </row>
    <row r="173" spans="2:10" x14ac:dyDescent="0.5">
      <c r="B173" s="46" t="s">
        <v>793</v>
      </c>
      <c r="C173" s="46" t="s">
        <v>125</v>
      </c>
      <c r="D173" s="47">
        <v>1</v>
      </c>
      <c r="E173" s="48" t="s">
        <v>1482</v>
      </c>
      <c r="F173" s="30" t="str">
        <f t="shared" si="4"/>
        <v>Completed</v>
      </c>
      <c r="G173" s="46" t="s">
        <v>1324</v>
      </c>
      <c r="I173" s="46" t="str">
        <f>IFERROR(VLOOKUP(B173,'Test 1,2'!$E$4:$I$604,5,0),"NOT BILLED")</f>
        <v>Jun</v>
      </c>
      <c r="J173" s="46" t="str">
        <f t="shared" si="5"/>
        <v>PASS</v>
      </c>
    </row>
    <row r="174" spans="2:10" x14ac:dyDescent="0.5">
      <c r="B174" s="46" t="s">
        <v>610</v>
      </c>
      <c r="C174" s="46" t="s">
        <v>184</v>
      </c>
      <c r="D174" s="47">
        <v>1</v>
      </c>
      <c r="E174" s="48" t="s">
        <v>1482</v>
      </c>
      <c r="F174" s="30" t="str">
        <f t="shared" si="4"/>
        <v>Completed</v>
      </c>
      <c r="G174" s="46" t="s">
        <v>1324</v>
      </c>
      <c r="I174" s="46" t="str">
        <f>IFERROR(VLOOKUP(B174,'Test 1,2'!$E$4:$I$604,5,0),"NOT BILLED")</f>
        <v>Mar</v>
      </c>
      <c r="J174" s="46" t="str">
        <f t="shared" si="5"/>
        <v>PASS</v>
      </c>
    </row>
    <row r="175" spans="2:10" x14ac:dyDescent="0.5">
      <c r="B175" s="46" t="s">
        <v>1053</v>
      </c>
      <c r="C175" s="46" t="s">
        <v>103</v>
      </c>
      <c r="D175" s="47">
        <v>1</v>
      </c>
      <c r="E175" s="48" t="s">
        <v>1482</v>
      </c>
      <c r="F175" s="30" t="str">
        <f t="shared" si="4"/>
        <v>Completed</v>
      </c>
      <c r="G175" s="46" t="s">
        <v>1324</v>
      </c>
      <c r="I175" s="46" t="str">
        <f>IFERROR(VLOOKUP(B175,'Test 1,2'!$E$4:$I$604,5,0),"NOT BILLED")</f>
        <v>Nov</v>
      </c>
      <c r="J175" s="46" t="str">
        <f t="shared" si="5"/>
        <v>PASS</v>
      </c>
    </row>
    <row r="176" spans="2:10" x14ac:dyDescent="0.5">
      <c r="B176" s="46" t="s">
        <v>1288</v>
      </c>
      <c r="C176" s="46" t="s">
        <v>103</v>
      </c>
      <c r="D176" s="47">
        <v>1</v>
      </c>
      <c r="E176" s="48" t="s">
        <v>1481</v>
      </c>
      <c r="F176" s="30" t="str">
        <f t="shared" si="4"/>
        <v>Completed</v>
      </c>
      <c r="G176" s="46" t="s">
        <v>1324</v>
      </c>
      <c r="I176" s="46" t="str">
        <f>IFERROR(VLOOKUP(B176,'Test 1,2'!$E$4:$I$604,5,0),"NOT BILLED")</f>
        <v>Mar</v>
      </c>
      <c r="J176" s="46" t="str">
        <f t="shared" si="5"/>
        <v>PASS</v>
      </c>
    </row>
    <row r="177" spans="2:10" x14ac:dyDescent="0.5">
      <c r="B177" s="46" t="s">
        <v>452</v>
      </c>
      <c r="C177" s="46" t="s">
        <v>60</v>
      </c>
      <c r="D177" s="47">
        <v>1</v>
      </c>
      <c r="E177" s="48" t="s">
        <v>1482</v>
      </c>
      <c r="F177" s="30" t="str">
        <f t="shared" si="4"/>
        <v>Completed</v>
      </c>
      <c r="G177" s="46" t="s">
        <v>1324</v>
      </c>
      <c r="I177" s="46" t="str">
        <f>IFERROR(VLOOKUP(B177,'Test 1,2'!$E$4:$I$604,5,0),"NOT BILLED")</f>
        <v>Nov</v>
      </c>
      <c r="J177" s="46" t="str">
        <f t="shared" si="5"/>
        <v>PASS</v>
      </c>
    </row>
    <row r="178" spans="2:10" x14ac:dyDescent="0.5">
      <c r="B178" s="46" t="s">
        <v>257</v>
      </c>
      <c r="C178" s="46" t="s">
        <v>143</v>
      </c>
      <c r="D178" s="47">
        <v>1</v>
      </c>
      <c r="E178" s="48" t="s">
        <v>1481</v>
      </c>
      <c r="F178" s="30" t="str">
        <f t="shared" si="4"/>
        <v>Completed</v>
      </c>
      <c r="G178" s="46" t="s">
        <v>1324</v>
      </c>
      <c r="I178" s="46" t="str">
        <f>IFERROR(VLOOKUP(B178,'Test 1,2'!$E$4:$I$604,5,0),"NOT BILLED")</f>
        <v>Jul</v>
      </c>
      <c r="J178" s="46" t="str">
        <f t="shared" si="5"/>
        <v>PASS</v>
      </c>
    </row>
    <row r="179" spans="2:10" x14ac:dyDescent="0.5">
      <c r="B179" s="46" t="s">
        <v>1110</v>
      </c>
      <c r="C179" s="46" t="s">
        <v>608</v>
      </c>
      <c r="D179" s="47">
        <v>1</v>
      </c>
      <c r="E179" s="48" t="s">
        <v>1482</v>
      </c>
      <c r="F179" s="30" t="str">
        <f t="shared" si="4"/>
        <v>Completed</v>
      </c>
      <c r="G179" s="46" t="s">
        <v>1324</v>
      </c>
      <c r="I179" s="46" t="str">
        <f>IFERROR(VLOOKUP(B179,'Test 1,2'!$E$4:$I$604,5,0),"NOT BILLED")</f>
        <v>Dec</v>
      </c>
      <c r="J179" s="46" t="str">
        <f t="shared" si="5"/>
        <v>PASS</v>
      </c>
    </row>
    <row r="180" spans="2:10" x14ac:dyDescent="0.5">
      <c r="B180" s="46" t="s">
        <v>1006</v>
      </c>
      <c r="C180" s="46" t="s">
        <v>57</v>
      </c>
      <c r="D180" s="47">
        <v>1</v>
      </c>
      <c r="E180" s="48" t="s">
        <v>1481</v>
      </c>
      <c r="F180" s="30" t="str">
        <f t="shared" si="4"/>
        <v>Completed</v>
      </c>
      <c r="G180" s="46" t="s">
        <v>1324</v>
      </c>
      <c r="I180" s="46" t="str">
        <f>IFERROR(VLOOKUP(B180,'Test 1,2'!$E$4:$I$604,5,0),"NOT BILLED")</f>
        <v>Oct</v>
      </c>
      <c r="J180" s="46" t="str">
        <f t="shared" si="5"/>
        <v>PASS</v>
      </c>
    </row>
    <row r="181" spans="2:10" x14ac:dyDescent="0.5">
      <c r="B181" s="46" t="s">
        <v>1220</v>
      </c>
      <c r="C181" s="46" t="s">
        <v>27</v>
      </c>
      <c r="D181" s="47">
        <v>1</v>
      </c>
      <c r="E181" s="48" t="s">
        <v>1482</v>
      </c>
      <c r="F181" s="30" t="str">
        <f t="shared" si="4"/>
        <v>Completed</v>
      </c>
      <c r="G181" s="46" t="s">
        <v>1324</v>
      </c>
      <c r="I181" s="46" t="str">
        <f>IFERROR(VLOOKUP(B181,'Test 1,2'!$E$4:$I$604,5,0),"NOT BILLED")</f>
        <v>Feb</v>
      </c>
      <c r="J181" s="46" t="str">
        <f t="shared" si="5"/>
        <v>PASS</v>
      </c>
    </row>
    <row r="182" spans="2:10" x14ac:dyDescent="0.5">
      <c r="B182" s="46" t="s">
        <v>353</v>
      </c>
      <c r="C182" s="46" t="s">
        <v>57</v>
      </c>
      <c r="D182" s="47">
        <v>1</v>
      </c>
      <c r="E182" s="48" t="s">
        <v>1481</v>
      </c>
      <c r="F182" s="30" t="str">
        <f t="shared" si="4"/>
        <v>Completed</v>
      </c>
      <c r="G182" s="46" t="s">
        <v>1324</v>
      </c>
      <c r="I182" s="46" t="str">
        <f>IFERROR(VLOOKUP(B182,'Test 1,2'!$E$4:$I$604,5,0),"NOT BILLED")</f>
        <v>Sep</v>
      </c>
      <c r="J182" s="46" t="str">
        <f t="shared" si="5"/>
        <v>PASS</v>
      </c>
    </row>
    <row r="183" spans="2:10" x14ac:dyDescent="0.5">
      <c r="B183" s="46" t="s">
        <v>1296</v>
      </c>
      <c r="C183" s="46" t="s">
        <v>153</v>
      </c>
      <c r="D183" s="47">
        <v>1</v>
      </c>
      <c r="E183" s="48" t="s">
        <v>1482</v>
      </c>
      <c r="F183" s="30" t="str">
        <f t="shared" si="4"/>
        <v>Completed</v>
      </c>
      <c r="G183" s="46" t="s">
        <v>1324</v>
      </c>
      <c r="I183" s="46" t="str">
        <f>IFERROR(VLOOKUP(B183,'Test 1,2'!$E$4:$I$604,5,0),"NOT BILLED")</f>
        <v>Mar</v>
      </c>
      <c r="J183" s="46" t="str">
        <f t="shared" si="5"/>
        <v>PASS</v>
      </c>
    </row>
    <row r="184" spans="2:10" x14ac:dyDescent="0.5">
      <c r="B184" s="46" t="s">
        <v>730</v>
      </c>
      <c r="C184" s="46" t="s">
        <v>190</v>
      </c>
      <c r="D184" s="47">
        <v>1</v>
      </c>
      <c r="E184" s="48" t="s">
        <v>1481</v>
      </c>
      <c r="F184" s="30" t="str">
        <f t="shared" si="4"/>
        <v>Completed</v>
      </c>
      <c r="G184" s="46" t="s">
        <v>1324</v>
      </c>
      <c r="I184" s="46" t="str">
        <f>IFERROR(VLOOKUP(B184,'Test 1,2'!$E$4:$I$604,5,0),"NOT BILLED")</f>
        <v>May</v>
      </c>
      <c r="J184" s="46" t="str">
        <f t="shared" si="5"/>
        <v>PASS</v>
      </c>
    </row>
    <row r="185" spans="2:10" x14ac:dyDescent="0.5">
      <c r="B185" s="46" t="s">
        <v>458</v>
      </c>
      <c r="C185" s="46" t="s">
        <v>111</v>
      </c>
      <c r="D185" s="47">
        <v>1</v>
      </c>
      <c r="E185" s="48" t="s">
        <v>1482</v>
      </c>
      <c r="F185" s="30" t="str">
        <f t="shared" si="4"/>
        <v>Completed</v>
      </c>
      <c r="G185" s="46" t="s">
        <v>1324</v>
      </c>
      <c r="I185" s="46" t="str">
        <f>IFERROR(VLOOKUP(B185,'Test 1,2'!$E$4:$I$604,5,0),"NOT BILLED")</f>
        <v>Nov</v>
      </c>
      <c r="J185" s="46" t="str">
        <f t="shared" si="5"/>
        <v>PASS</v>
      </c>
    </row>
    <row r="186" spans="2:10" x14ac:dyDescent="0.5">
      <c r="B186" s="46" t="s">
        <v>133</v>
      </c>
      <c r="C186" s="46" t="s">
        <v>114</v>
      </c>
      <c r="D186" s="47">
        <v>1</v>
      </c>
      <c r="E186" s="48" t="s">
        <v>1482</v>
      </c>
      <c r="F186" s="30" t="str">
        <f t="shared" si="4"/>
        <v>Completed</v>
      </c>
      <c r="G186" s="46" t="s">
        <v>1324</v>
      </c>
      <c r="I186" s="46" t="str">
        <f>IFERROR(VLOOKUP(B186,'Test 1,2'!$E$4:$I$604,5,0),"NOT BILLED")</f>
        <v>May</v>
      </c>
      <c r="J186" s="46" t="str">
        <f t="shared" si="5"/>
        <v>PASS</v>
      </c>
    </row>
    <row r="187" spans="2:10" x14ac:dyDescent="0.5">
      <c r="B187" s="46" t="s">
        <v>359</v>
      </c>
      <c r="C187" s="46" t="s">
        <v>35</v>
      </c>
      <c r="D187" s="47">
        <v>1</v>
      </c>
      <c r="E187" s="48" t="s">
        <v>1481</v>
      </c>
      <c r="F187" s="30" t="str">
        <f t="shared" si="4"/>
        <v>Completed</v>
      </c>
      <c r="G187" s="46" t="s">
        <v>1324</v>
      </c>
      <c r="I187" s="46" t="str">
        <f>IFERROR(VLOOKUP(B187,'Test 1,2'!$E$4:$I$604,5,0),"NOT BILLED")</f>
        <v>Sep</v>
      </c>
      <c r="J187" s="46" t="str">
        <f t="shared" si="5"/>
        <v>PASS</v>
      </c>
    </row>
    <row r="188" spans="2:10" x14ac:dyDescent="0.5">
      <c r="B188" s="46" t="s">
        <v>791</v>
      </c>
      <c r="C188" s="46" t="s">
        <v>184</v>
      </c>
      <c r="D188" s="47">
        <v>1</v>
      </c>
      <c r="E188" s="48" t="s">
        <v>1481</v>
      </c>
      <c r="F188" s="30" t="str">
        <f t="shared" si="4"/>
        <v>Completed</v>
      </c>
      <c r="G188" s="46" t="s">
        <v>1324</v>
      </c>
      <c r="I188" s="46" t="str">
        <f>IFERROR(VLOOKUP(B188,'Test 1,2'!$E$4:$I$604,5,0),"NOT BILLED")</f>
        <v>Jun</v>
      </c>
      <c r="J188" s="46" t="str">
        <f t="shared" si="5"/>
        <v>PASS</v>
      </c>
    </row>
    <row r="189" spans="2:10" x14ac:dyDescent="0.5">
      <c r="B189" s="46" t="s">
        <v>53</v>
      </c>
      <c r="C189" s="46" t="s">
        <v>54</v>
      </c>
      <c r="D189" s="47">
        <v>1</v>
      </c>
      <c r="E189" s="48" t="s">
        <v>1481</v>
      </c>
      <c r="F189" s="30" t="str">
        <f t="shared" si="4"/>
        <v>Completed</v>
      </c>
      <c r="G189" s="46" t="s">
        <v>1324</v>
      </c>
      <c r="I189" s="46" t="str">
        <f>IFERROR(VLOOKUP(B189,'Test 1,2'!$E$4:$I$604,5,0),"NOT BILLED")</f>
        <v>Apr</v>
      </c>
      <c r="J189" s="46" t="str">
        <f t="shared" si="5"/>
        <v>PASS</v>
      </c>
    </row>
    <row r="190" spans="2:10" x14ac:dyDescent="0.5">
      <c r="B190" s="46" t="s">
        <v>39</v>
      </c>
      <c r="C190" s="46" t="s">
        <v>40</v>
      </c>
      <c r="D190" s="47">
        <v>1</v>
      </c>
      <c r="E190" s="48" t="s">
        <v>1481</v>
      </c>
      <c r="F190" s="30" t="str">
        <f t="shared" si="4"/>
        <v>Completed</v>
      </c>
      <c r="G190" s="46" t="s">
        <v>1325</v>
      </c>
      <c r="I190" s="46" t="str">
        <f>IFERROR(VLOOKUP(B190,'Test 1,2'!$E$4:$I$604,5,0),"NOT BILLED")</f>
        <v>Apr</v>
      </c>
      <c r="J190" s="46" t="str">
        <f t="shared" si="5"/>
        <v>PASS</v>
      </c>
    </row>
    <row r="191" spans="2:10" x14ac:dyDescent="0.5">
      <c r="B191" s="46" t="s">
        <v>350</v>
      </c>
      <c r="C191" s="46" t="s">
        <v>27</v>
      </c>
      <c r="D191" s="47">
        <v>1</v>
      </c>
      <c r="E191" s="48" t="s">
        <v>1481</v>
      </c>
      <c r="F191" s="30" t="str">
        <f t="shared" si="4"/>
        <v>Completed</v>
      </c>
      <c r="G191" s="46" t="s">
        <v>1324</v>
      </c>
      <c r="I191" s="46" t="str">
        <f>IFERROR(VLOOKUP(B191,'Test 1,2'!$E$4:$I$604,5,0),"NOT BILLED")</f>
        <v>Sep</v>
      </c>
      <c r="J191" s="46" t="str">
        <f t="shared" si="5"/>
        <v>PASS</v>
      </c>
    </row>
    <row r="192" spans="2:10" x14ac:dyDescent="0.5">
      <c r="B192" s="46" t="s">
        <v>626</v>
      </c>
      <c r="C192" s="46" t="s">
        <v>131</v>
      </c>
      <c r="D192" s="47">
        <v>1</v>
      </c>
      <c r="E192" s="48" t="s">
        <v>1481</v>
      </c>
      <c r="F192" s="30" t="str">
        <f t="shared" si="4"/>
        <v>Completed</v>
      </c>
      <c r="G192" s="46" t="s">
        <v>1324</v>
      </c>
      <c r="I192" s="46" t="str">
        <f>IFERROR(VLOOKUP(B192,'Test 1,2'!$E$4:$I$604,5,0),"NOT BILLED")</f>
        <v>Apr</v>
      </c>
      <c r="J192" s="46" t="str">
        <f t="shared" si="5"/>
        <v>PASS</v>
      </c>
    </row>
    <row r="193" spans="2:10" x14ac:dyDescent="0.5">
      <c r="B193" s="46" t="s">
        <v>664</v>
      </c>
      <c r="C193" s="46" t="s">
        <v>64</v>
      </c>
      <c r="D193" s="47">
        <v>1</v>
      </c>
      <c r="E193" s="48" t="s">
        <v>1481</v>
      </c>
      <c r="F193" s="30" t="str">
        <f t="shared" si="4"/>
        <v>Completed</v>
      </c>
      <c r="G193" s="46" t="s">
        <v>1324</v>
      </c>
      <c r="I193" s="46" t="str">
        <f>IFERROR(VLOOKUP(B193,'Test 1,2'!$E$4:$I$604,5,0),"NOT BILLED")</f>
        <v>Apr</v>
      </c>
      <c r="J193" s="46" t="str">
        <f t="shared" si="5"/>
        <v>PASS</v>
      </c>
    </row>
    <row r="194" spans="2:10" x14ac:dyDescent="0.5">
      <c r="B194" s="46" t="s">
        <v>224</v>
      </c>
      <c r="C194" s="46" t="s">
        <v>57</v>
      </c>
      <c r="D194" s="47">
        <v>1</v>
      </c>
      <c r="E194" s="48" t="s">
        <v>1481</v>
      </c>
      <c r="F194" s="30" t="str">
        <f t="shared" si="4"/>
        <v>Completed</v>
      </c>
      <c r="G194" s="46" t="s">
        <v>1324</v>
      </c>
      <c r="I194" s="46" t="str">
        <f>IFERROR(VLOOKUP(B194,'Test 1,2'!$E$4:$I$604,5,0),"NOT BILLED")</f>
        <v>Jul</v>
      </c>
      <c r="J194" s="46" t="str">
        <f t="shared" si="5"/>
        <v>PASS</v>
      </c>
    </row>
    <row r="195" spans="2:10" x14ac:dyDescent="0.5">
      <c r="B195" s="46" t="s">
        <v>312</v>
      </c>
      <c r="C195" s="46" t="s">
        <v>122</v>
      </c>
      <c r="D195" s="47">
        <v>1</v>
      </c>
      <c r="E195" s="48" t="s">
        <v>1481</v>
      </c>
      <c r="F195" s="30" t="str">
        <f t="shared" si="4"/>
        <v>Completed</v>
      </c>
      <c r="G195" s="46" t="s">
        <v>1324</v>
      </c>
      <c r="I195" s="46" t="str">
        <f>IFERROR(VLOOKUP(B195,'Test 1,2'!$E$4:$I$604,5,0),"NOT BILLED")</f>
        <v>Aug</v>
      </c>
      <c r="J195" s="46" t="str">
        <f t="shared" si="5"/>
        <v>PASS</v>
      </c>
    </row>
    <row r="196" spans="2:10" x14ac:dyDescent="0.5">
      <c r="B196" s="46" t="s">
        <v>1080</v>
      </c>
      <c r="C196" s="46" t="s">
        <v>57</v>
      </c>
      <c r="D196" s="47">
        <v>1</v>
      </c>
      <c r="E196" s="48" t="s">
        <v>1482</v>
      </c>
      <c r="F196" s="30" t="str">
        <f t="shared" ref="F196:F259" si="6">IF(D196=100%,"Completed","Contract-In-Progress")</f>
        <v>Completed</v>
      </c>
      <c r="G196" s="46" t="s">
        <v>1324</v>
      </c>
      <c r="I196" s="46" t="str">
        <f>IFERROR(VLOOKUP(B196,'Test 1,2'!$E$4:$I$604,5,0),"NOT BILLED")</f>
        <v>Dec</v>
      </c>
      <c r="J196" s="46" t="str">
        <f t="shared" ref="J196:J259" si="7">IF(I196&lt;&gt;"NOT BILLED",IF(D196=100%,"PASS","FLAG"),IF(D196&lt;100%,"PASS","FLAG"))</f>
        <v>PASS</v>
      </c>
    </row>
    <row r="197" spans="2:10" x14ac:dyDescent="0.5">
      <c r="B197" s="46" t="s">
        <v>775</v>
      </c>
      <c r="C197" s="46" t="s">
        <v>122</v>
      </c>
      <c r="D197" s="47">
        <v>1</v>
      </c>
      <c r="E197" s="48" t="s">
        <v>1482</v>
      </c>
      <c r="F197" s="30" t="str">
        <f t="shared" si="6"/>
        <v>Completed</v>
      </c>
      <c r="G197" s="46" t="s">
        <v>1324</v>
      </c>
      <c r="I197" s="46" t="str">
        <f>IFERROR(VLOOKUP(B197,'Test 1,2'!$E$4:$I$604,5,0),"NOT BILLED")</f>
        <v>Jun</v>
      </c>
      <c r="J197" s="46" t="str">
        <f t="shared" si="7"/>
        <v>PASS</v>
      </c>
    </row>
    <row r="198" spans="2:10" x14ac:dyDescent="0.5">
      <c r="B198" s="46" t="s">
        <v>1148</v>
      </c>
      <c r="C198" s="46" t="s">
        <v>229</v>
      </c>
      <c r="D198" s="47">
        <v>1</v>
      </c>
      <c r="E198" s="48" t="s">
        <v>1482</v>
      </c>
      <c r="F198" s="30" t="str">
        <f t="shared" si="6"/>
        <v>Completed</v>
      </c>
      <c r="G198" s="46" t="s">
        <v>1324</v>
      </c>
      <c r="I198" s="46" t="str">
        <f>IFERROR(VLOOKUP(B198,'Test 1,2'!$E$4:$I$604,5,0),"NOT BILLED")</f>
        <v>Jan</v>
      </c>
      <c r="J198" s="46" t="str">
        <f t="shared" si="7"/>
        <v>PASS</v>
      </c>
    </row>
    <row r="199" spans="2:10" x14ac:dyDescent="0.5">
      <c r="B199" s="46" t="s">
        <v>670</v>
      </c>
      <c r="C199" s="46" t="s">
        <v>241</v>
      </c>
      <c r="D199" s="47">
        <v>1</v>
      </c>
      <c r="E199" s="48" t="s">
        <v>1481</v>
      </c>
      <c r="F199" s="30" t="str">
        <f t="shared" si="6"/>
        <v>Completed</v>
      </c>
      <c r="G199" s="46" t="s">
        <v>1324</v>
      </c>
      <c r="I199" s="46" t="str">
        <f>IFERROR(VLOOKUP(B199,'Test 1,2'!$E$4:$I$604,5,0),"NOT BILLED")</f>
        <v>Apr</v>
      </c>
      <c r="J199" s="46" t="str">
        <f t="shared" si="7"/>
        <v>PASS</v>
      </c>
    </row>
    <row r="200" spans="2:10" x14ac:dyDescent="0.5">
      <c r="B200" s="46" t="s">
        <v>1264</v>
      </c>
      <c r="C200" s="46" t="s">
        <v>119</v>
      </c>
      <c r="D200" s="47">
        <v>1</v>
      </c>
      <c r="E200" s="48" t="s">
        <v>1481</v>
      </c>
      <c r="F200" s="30" t="str">
        <f t="shared" si="6"/>
        <v>Completed</v>
      </c>
      <c r="G200" s="46" t="s">
        <v>1324</v>
      </c>
      <c r="I200" s="46" t="str">
        <f>IFERROR(VLOOKUP(B200,'Test 1,2'!$E$4:$I$604,5,0),"NOT BILLED")</f>
        <v>Feb</v>
      </c>
      <c r="J200" s="46" t="str">
        <f t="shared" si="7"/>
        <v>PASS</v>
      </c>
    </row>
    <row r="201" spans="2:10" x14ac:dyDescent="0.5">
      <c r="B201" s="46" t="s">
        <v>363</v>
      </c>
      <c r="C201" s="46" t="s">
        <v>119</v>
      </c>
      <c r="D201" s="47">
        <v>1</v>
      </c>
      <c r="E201" s="48" t="s">
        <v>1481</v>
      </c>
      <c r="F201" s="30" t="str">
        <f t="shared" si="6"/>
        <v>Completed</v>
      </c>
      <c r="G201" s="46" t="s">
        <v>1324</v>
      </c>
      <c r="I201" s="46" t="str">
        <f>IFERROR(VLOOKUP(B201,'Test 1,2'!$E$4:$I$604,5,0),"NOT BILLED")</f>
        <v>Sep</v>
      </c>
      <c r="J201" s="46" t="str">
        <f t="shared" si="7"/>
        <v>PASS</v>
      </c>
    </row>
    <row r="202" spans="2:10" x14ac:dyDescent="0.5">
      <c r="B202" s="46" t="s">
        <v>672</v>
      </c>
      <c r="C202" s="46" t="s">
        <v>54</v>
      </c>
      <c r="D202" s="47">
        <v>1</v>
      </c>
      <c r="E202" s="48" t="s">
        <v>1482</v>
      </c>
      <c r="F202" s="30" t="str">
        <f t="shared" si="6"/>
        <v>Completed</v>
      </c>
      <c r="G202" s="46" t="s">
        <v>1324</v>
      </c>
      <c r="I202" s="46" t="str">
        <f>IFERROR(VLOOKUP(B202,'Test 1,2'!$E$4:$I$604,5,0),"NOT BILLED")</f>
        <v>Apr</v>
      </c>
      <c r="J202" s="46" t="str">
        <f t="shared" si="7"/>
        <v>PASS</v>
      </c>
    </row>
    <row r="203" spans="2:10" x14ac:dyDescent="0.5">
      <c r="B203" s="46" t="s">
        <v>1270</v>
      </c>
      <c r="C203" s="46" t="s">
        <v>184</v>
      </c>
      <c r="D203" s="47">
        <v>1</v>
      </c>
      <c r="E203" s="48" t="s">
        <v>1482</v>
      </c>
      <c r="F203" s="30" t="str">
        <f t="shared" si="6"/>
        <v>Completed</v>
      </c>
      <c r="G203" s="46" t="s">
        <v>1324</v>
      </c>
      <c r="I203" s="46" t="str">
        <f>IFERROR(VLOOKUP(B203,'Test 1,2'!$E$4:$I$604,5,0),"NOT BILLED")</f>
        <v>Mar</v>
      </c>
      <c r="J203" s="46" t="str">
        <f t="shared" si="7"/>
        <v>PASS</v>
      </c>
    </row>
    <row r="204" spans="2:10" x14ac:dyDescent="0.5">
      <c r="B204" s="46" t="s">
        <v>121</v>
      </c>
      <c r="C204" s="46" t="s">
        <v>122</v>
      </c>
      <c r="D204" s="47">
        <v>1</v>
      </c>
      <c r="E204" s="48" t="s">
        <v>1482</v>
      </c>
      <c r="F204" s="30" t="str">
        <f t="shared" si="6"/>
        <v>Completed</v>
      </c>
      <c r="G204" s="46" t="s">
        <v>1324</v>
      </c>
      <c r="I204" s="46" t="str">
        <f>IFERROR(VLOOKUP(B204,'Test 1,2'!$E$4:$I$604,5,0),"NOT BILLED")</f>
        <v>May</v>
      </c>
      <c r="J204" s="46" t="str">
        <f t="shared" si="7"/>
        <v>PASS</v>
      </c>
    </row>
    <row r="205" spans="2:10" x14ac:dyDescent="0.5">
      <c r="B205" s="46" t="s">
        <v>565</v>
      </c>
      <c r="C205" s="46" t="s">
        <v>95</v>
      </c>
      <c r="D205" s="47">
        <v>1</v>
      </c>
      <c r="E205" s="48" t="s">
        <v>1481</v>
      </c>
      <c r="F205" s="30" t="str">
        <f t="shared" si="6"/>
        <v>Completed</v>
      </c>
      <c r="G205" s="46" t="s">
        <v>1324</v>
      </c>
      <c r="I205" s="46" t="str">
        <f>IFERROR(VLOOKUP(B205,'Test 1,2'!$E$4:$I$604,5,0),"NOT BILLED")</f>
        <v>Feb</v>
      </c>
      <c r="J205" s="46" t="str">
        <f t="shared" si="7"/>
        <v>PASS</v>
      </c>
    </row>
    <row r="206" spans="2:10" x14ac:dyDescent="0.5">
      <c r="B206" s="46" t="s">
        <v>127</v>
      </c>
      <c r="C206" s="46" t="s">
        <v>128</v>
      </c>
      <c r="D206" s="47">
        <v>1</v>
      </c>
      <c r="E206" s="48" t="s">
        <v>1482</v>
      </c>
      <c r="F206" s="30" t="str">
        <f t="shared" si="6"/>
        <v>Completed</v>
      </c>
      <c r="G206" s="46" t="s">
        <v>1324</v>
      </c>
      <c r="I206" s="46" t="str">
        <f>IFERROR(VLOOKUP(B206,'Test 1,2'!$E$4:$I$604,5,0),"NOT BILLED")</f>
        <v>May</v>
      </c>
      <c r="J206" s="46" t="str">
        <f t="shared" si="7"/>
        <v>PASS</v>
      </c>
    </row>
    <row r="207" spans="2:10" x14ac:dyDescent="0.5">
      <c r="B207" s="46" t="s">
        <v>605</v>
      </c>
      <c r="C207" s="46" t="s">
        <v>111</v>
      </c>
      <c r="D207" s="47">
        <v>1</v>
      </c>
      <c r="E207" s="48" t="s">
        <v>1481</v>
      </c>
      <c r="F207" s="30" t="str">
        <f t="shared" si="6"/>
        <v>Completed</v>
      </c>
      <c r="G207" s="46" t="s">
        <v>1324</v>
      </c>
      <c r="I207" s="46" t="str">
        <f>IFERROR(VLOOKUP(B207,'Test 1,2'!$E$4:$I$604,5,0),"NOT BILLED")</f>
        <v>Mar</v>
      </c>
      <c r="J207" s="46" t="str">
        <f t="shared" si="7"/>
        <v>PASS</v>
      </c>
    </row>
    <row r="208" spans="2:10" x14ac:dyDescent="0.5">
      <c r="B208" s="46" t="s">
        <v>1096</v>
      </c>
      <c r="C208" s="46" t="s">
        <v>308</v>
      </c>
      <c r="D208" s="47">
        <v>1</v>
      </c>
      <c r="E208" s="48" t="s">
        <v>1481</v>
      </c>
      <c r="F208" s="30" t="str">
        <f t="shared" si="6"/>
        <v>Completed</v>
      </c>
      <c r="G208" s="46" t="s">
        <v>1324</v>
      </c>
      <c r="I208" s="46" t="str">
        <f>IFERROR(VLOOKUP(B208,'Test 1,2'!$E$4:$I$604,5,0),"NOT BILLED")</f>
        <v>Dec</v>
      </c>
      <c r="J208" s="46" t="str">
        <f t="shared" si="7"/>
        <v>PASS</v>
      </c>
    </row>
    <row r="209" spans="2:10" x14ac:dyDescent="0.5">
      <c r="B209" s="46" t="s">
        <v>1024</v>
      </c>
      <c r="C209" s="46" t="s">
        <v>40</v>
      </c>
      <c r="D209" s="47">
        <v>1</v>
      </c>
      <c r="E209" s="48" t="s">
        <v>1482</v>
      </c>
      <c r="F209" s="30" t="str">
        <f t="shared" si="6"/>
        <v>Completed</v>
      </c>
      <c r="G209" s="46" t="s">
        <v>1324</v>
      </c>
      <c r="I209" s="46" t="str">
        <f>IFERROR(VLOOKUP(B209,'Test 1,2'!$E$4:$I$604,5,0),"NOT BILLED")</f>
        <v>Oct</v>
      </c>
      <c r="J209" s="46" t="str">
        <f t="shared" si="7"/>
        <v>PASS</v>
      </c>
    </row>
    <row r="210" spans="2:10" x14ac:dyDescent="0.5">
      <c r="B210" s="46" t="s">
        <v>150</v>
      </c>
      <c r="C210" s="46" t="s">
        <v>60</v>
      </c>
      <c r="D210" s="47">
        <v>1</v>
      </c>
      <c r="E210" s="48" t="s">
        <v>1481</v>
      </c>
      <c r="F210" s="30" t="str">
        <f t="shared" si="6"/>
        <v>Completed</v>
      </c>
      <c r="G210" s="46" t="s">
        <v>1324</v>
      </c>
      <c r="I210" s="46" t="str">
        <f>IFERROR(VLOOKUP(B210,'Test 1,2'!$E$4:$I$604,5,0),"NOT BILLED")</f>
        <v>May</v>
      </c>
      <c r="J210" s="46" t="str">
        <f t="shared" si="7"/>
        <v>PASS</v>
      </c>
    </row>
    <row r="211" spans="2:10" x14ac:dyDescent="0.5">
      <c r="B211" s="46" t="s">
        <v>49</v>
      </c>
      <c r="C211" s="46" t="s">
        <v>50</v>
      </c>
      <c r="D211" s="47">
        <v>1</v>
      </c>
      <c r="E211" s="48" t="s">
        <v>1482</v>
      </c>
      <c r="F211" s="30" t="str">
        <f t="shared" si="6"/>
        <v>Completed</v>
      </c>
      <c r="G211" s="46" t="s">
        <v>1324</v>
      </c>
      <c r="I211" s="46" t="str">
        <f>IFERROR(VLOOKUP(B211,'Test 1,2'!$E$4:$I$604,5,0),"NOT BILLED")</f>
        <v>Apr</v>
      </c>
      <c r="J211" s="46" t="str">
        <f t="shared" si="7"/>
        <v>PASS</v>
      </c>
    </row>
    <row r="212" spans="2:10" x14ac:dyDescent="0.5">
      <c r="B212" s="46" t="s">
        <v>801</v>
      </c>
      <c r="C212" s="46" t="s">
        <v>81</v>
      </c>
      <c r="D212" s="47">
        <v>1</v>
      </c>
      <c r="E212" s="48" t="s">
        <v>1481</v>
      </c>
      <c r="F212" s="30" t="str">
        <f t="shared" si="6"/>
        <v>Completed</v>
      </c>
      <c r="G212" s="46" t="s">
        <v>1324</v>
      </c>
      <c r="I212" s="46" t="str">
        <f>IFERROR(VLOOKUP(B212,'Test 1,2'!$E$4:$I$604,5,0),"NOT BILLED")</f>
        <v>Jun</v>
      </c>
      <c r="J212" s="46" t="str">
        <f t="shared" si="7"/>
        <v>PASS</v>
      </c>
    </row>
    <row r="213" spans="2:10" x14ac:dyDescent="0.5">
      <c r="B213" s="46" t="s">
        <v>1000</v>
      </c>
      <c r="C213" s="46" t="s">
        <v>64</v>
      </c>
      <c r="D213" s="47">
        <v>1</v>
      </c>
      <c r="E213" s="48" t="s">
        <v>1481</v>
      </c>
      <c r="F213" s="30" t="str">
        <f t="shared" si="6"/>
        <v>Completed</v>
      </c>
      <c r="G213" s="46" t="s">
        <v>1324</v>
      </c>
      <c r="I213" s="46" t="str">
        <f>IFERROR(VLOOKUP(B213,'Test 1,2'!$E$4:$I$604,5,0),"NOT BILLED")</f>
        <v>Oct</v>
      </c>
      <c r="J213" s="46" t="str">
        <f t="shared" si="7"/>
        <v>PASS</v>
      </c>
    </row>
    <row r="214" spans="2:10" x14ac:dyDescent="0.5">
      <c r="B214" s="46" t="s">
        <v>859</v>
      </c>
      <c r="C214" s="46" t="s">
        <v>27</v>
      </c>
      <c r="D214" s="47">
        <v>1</v>
      </c>
      <c r="E214" s="48" t="s">
        <v>1482</v>
      </c>
      <c r="F214" s="30" t="str">
        <f t="shared" si="6"/>
        <v>Completed</v>
      </c>
      <c r="G214" s="46" t="s">
        <v>1324</v>
      </c>
      <c r="I214" s="46" t="str">
        <f>IFERROR(VLOOKUP(B214,'Test 1,2'!$E$4:$I$604,5,0),"NOT BILLED")</f>
        <v>Jul</v>
      </c>
      <c r="J214" s="46" t="str">
        <f t="shared" si="7"/>
        <v>PASS</v>
      </c>
    </row>
    <row r="215" spans="2:10" x14ac:dyDescent="0.5">
      <c r="B215" s="46" t="s">
        <v>734</v>
      </c>
      <c r="C215" s="46" t="s">
        <v>72</v>
      </c>
      <c r="D215" s="47">
        <v>1</v>
      </c>
      <c r="E215" s="48" t="s">
        <v>1482</v>
      </c>
      <c r="F215" s="30" t="str">
        <f t="shared" si="6"/>
        <v>Completed</v>
      </c>
      <c r="G215" s="46" t="s">
        <v>1324</v>
      </c>
      <c r="I215" s="46" t="str">
        <f>IFERROR(VLOOKUP(B215,'Test 1,2'!$E$4:$I$604,5,0),"NOT BILLED")</f>
        <v>May</v>
      </c>
      <c r="J215" s="46" t="str">
        <f t="shared" si="7"/>
        <v>PASS</v>
      </c>
    </row>
    <row r="216" spans="2:10" x14ac:dyDescent="0.5">
      <c r="B216" s="46" t="s">
        <v>718</v>
      </c>
      <c r="C216" s="46" t="s">
        <v>57</v>
      </c>
      <c r="D216" s="47">
        <v>1</v>
      </c>
      <c r="E216" s="48" t="s">
        <v>1481</v>
      </c>
      <c r="F216" s="30" t="str">
        <f t="shared" si="6"/>
        <v>Completed</v>
      </c>
      <c r="G216" s="46" t="s">
        <v>1324</v>
      </c>
      <c r="I216" s="46" t="str">
        <f>IFERROR(VLOOKUP(B216,'Test 1,2'!$E$4:$I$604,5,0),"NOT BILLED")</f>
        <v>May</v>
      </c>
      <c r="J216" s="46" t="str">
        <f t="shared" si="7"/>
        <v>PASS</v>
      </c>
    </row>
    <row r="217" spans="2:10" x14ac:dyDescent="0.5">
      <c r="B217" s="46" t="s">
        <v>240</v>
      </c>
      <c r="C217" s="46" t="s">
        <v>241</v>
      </c>
      <c r="D217" s="47">
        <v>1</v>
      </c>
      <c r="E217" s="48" t="s">
        <v>1482</v>
      </c>
      <c r="F217" s="30" t="str">
        <f t="shared" si="6"/>
        <v>Completed</v>
      </c>
      <c r="G217" s="46" t="s">
        <v>1324</v>
      </c>
      <c r="I217" s="46" t="str">
        <f>IFERROR(VLOOKUP(B217,'Test 1,2'!$E$4:$I$604,5,0),"NOT BILLED")</f>
        <v>Jun</v>
      </c>
      <c r="J217" s="46" t="str">
        <f t="shared" si="7"/>
        <v>PASS</v>
      </c>
    </row>
    <row r="218" spans="2:10" x14ac:dyDescent="0.5">
      <c r="B218" s="46" t="s">
        <v>965</v>
      </c>
      <c r="C218" s="46" t="s">
        <v>378</v>
      </c>
      <c r="D218" s="47">
        <v>1</v>
      </c>
      <c r="E218" s="48" t="s">
        <v>1481</v>
      </c>
      <c r="F218" s="30" t="str">
        <f t="shared" si="6"/>
        <v>Completed</v>
      </c>
      <c r="G218" s="46" t="s">
        <v>1325</v>
      </c>
      <c r="I218" s="46" t="str">
        <f>IFERROR(VLOOKUP(B218,'Test 1,2'!$E$4:$I$604,5,0),"NOT BILLED")</f>
        <v>Sep</v>
      </c>
      <c r="J218" s="46" t="str">
        <f t="shared" si="7"/>
        <v>PASS</v>
      </c>
    </row>
    <row r="219" spans="2:10" x14ac:dyDescent="0.5">
      <c r="B219" s="46" t="s">
        <v>929</v>
      </c>
      <c r="C219" s="46" t="s">
        <v>269</v>
      </c>
      <c r="D219" s="47">
        <v>1</v>
      </c>
      <c r="E219" s="48" t="s">
        <v>1481</v>
      </c>
      <c r="F219" s="30" t="str">
        <f t="shared" si="6"/>
        <v>Completed</v>
      </c>
      <c r="G219" s="46" t="s">
        <v>1325</v>
      </c>
      <c r="I219" s="46" t="str">
        <f>IFERROR(VLOOKUP(B219,'Test 1,2'!$E$4:$I$604,5,0),"NOT BILLED")</f>
        <v>Aug</v>
      </c>
      <c r="J219" s="46" t="str">
        <f t="shared" si="7"/>
        <v>PASS</v>
      </c>
    </row>
    <row r="220" spans="2:10" x14ac:dyDescent="0.5">
      <c r="B220" s="46" t="s">
        <v>1210</v>
      </c>
      <c r="C220" s="46" t="s">
        <v>195</v>
      </c>
      <c r="D220" s="47">
        <v>1</v>
      </c>
      <c r="E220" s="48" t="s">
        <v>1481</v>
      </c>
      <c r="F220" s="30" t="str">
        <f t="shared" si="6"/>
        <v>Completed</v>
      </c>
      <c r="G220" s="46" t="s">
        <v>1324</v>
      </c>
      <c r="I220" s="46" t="str">
        <f>IFERROR(VLOOKUP(B220,'Test 1,2'!$E$4:$I$604,5,0),"NOT BILLED")</f>
        <v>Feb</v>
      </c>
      <c r="J220" s="46" t="str">
        <f t="shared" si="7"/>
        <v>PASS</v>
      </c>
    </row>
    <row r="221" spans="2:10" x14ac:dyDescent="0.5">
      <c r="B221" s="46" t="s">
        <v>44</v>
      </c>
      <c r="C221" s="46" t="s">
        <v>45</v>
      </c>
      <c r="D221" s="47">
        <v>1</v>
      </c>
      <c r="E221" s="48" t="s">
        <v>1482</v>
      </c>
      <c r="F221" s="30" t="str">
        <f t="shared" si="6"/>
        <v>Completed</v>
      </c>
      <c r="G221" s="46" t="s">
        <v>1324</v>
      </c>
      <c r="I221" s="46" t="str">
        <f>IFERROR(VLOOKUP(B221,'Test 1,2'!$E$4:$I$604,5,0),"NOT BILLED")</f>
        <v>Apr</v>
      </c>
      <c r="J221" s="46" t="str">
        <f t="shared" si="7"/>
        <v>PASS</v>
      </c>
    </row>
    <row r="222" spans="2:10" x14ac:dyDescent="0.5">
      <c r="B222" s="46" t="s">
        <v>994</v>
      </c>
      <c r="C222" s="46" t="s">
        <v>64</v>
      </c>
      <c r="D222" s="47">
        <v>1</v>
      </c>
      <c r="E222" s="48" t="s">
        <v>1482</v>
      </c>
      <c r="F222" s="30" t="str">
        <f t="shared" si="6"/>
        <v>Completed</v>
      </c>
      <c r="G222" s="46" t="s">
        <v>1324</v>
      </c>
      <c r="I222" s="46" t="str">
        <f>IFERROR(VLOOKUP(B222,'Test 1,2'!$E$4:$I$604,5,0),"NOT BILLED")</f>
        <v>Sep</v>
      </c>
      <c r="J222" s="46" t="str">
        <f t="shared" si="7"/>
        <v>PASS</v>
      </c>
    </row>
    <row r="223" spans="2:10" x14ac:dyDescent="0.5">
      <c r="B223" s="46" t="s">
        <v>967</v>
      </c>
      <c r="C223" s="46" t="s">
        <v>378</v>
      </c>
      <c r="D223" s="47">
        <v>1</v>
      </c>
      <c r="E223" s="48" t="s">
        <v>1481</v>
      </c>
      <c r="F223" s="30" t="str">
        <f t="shared" si="6"/>
        <v>Completed</v>
      </c>
      <c r="G223" s="46" t="s">
        <v>1324</v>
      </c>
      <c r="I223" s="46" t="str">
        <f>IFERROR(VLOOKUP(B223,'Test 1,2'!$E$4:$I$604,5,0),"NOT BILLED")</f>
        <v>Sep</v>
      </c>
      <c r="J223" s="46" t="str">
        <f t="shared" si="7"/>
        <v>PASS</v>
      </c>
    </row>
    <row r="224" spans="2:10" x14ac:dyDescent="0.5">
      <c r="B224" s="46" t="s">
        <v>811</v>
      </c>
      <c r="C224" s="46" t="s">
        <v>175</v>
      </c>
      <c r="D224" s="47">
        <v>1</v>
      </c>
      <c r="E224" s="48" t="s">
        <v>1481</v>
      </c>
      <c r="F224" s="30" t="str">
        <f t="shared" si="6"/>
        <v>Completed</v>
      </c>
      <c r="G224" s="46" t="s">
        <v>1325</v>
      </c>
      <c r="I224" s="46" t="str">
        <f>IFERROR(VLOOKUP(B224,'Test 1,2'!$E$4:$I$604,5,0),"NOT BILLED")</f>
        <v>Jul</v>
      </c>
      <c r="J224" s="46" t="str">
        <f t="shared" si="7"/>
        <v>PASS</v>
      </c>
    </row>
    <row r="225" spans="2:10" x14ac:dyDescent="0.5">
      <c r="B225" s="46" t="s">
        <v>1122</v>
      </c>
      <c r="C225" s="46" t="s">
        <v>175</v>
      </c>
      <c r="D225" s="47">
        <v>1</v>
      </c>
      <c r="E225" s="48" t="s">
        <v>1482</v>
      </c>
      <c r="F225" s="30" t="str">
        <f t="shared" si="6"/>
        <v>Completed</v>
      </c>
      <c r="G225" s="46" t="s">
        <v>1324</v>
      </c>
      <c r="I225" s="46" t="str">
        <f>IFERROR(VLOOKUP(B225,'Test 1,2'!$E$4:$I$604,5,0),"NOT BILLED")</f>
        <v>Dec</v>
      </c>
      <c r="J225" s="46" t="str">
        <f t="shared" si="7"/>
        <v>PASS</v>
      </c>
    </row>
    <row r="226" spans="2:10" x14ac:dyDescent="0.5">
      <c r="B226" s="46" t="s">
        <v>387</v>
      </c>
      <c r="C226" s="46" t="s">
        <v>64</v>
      </c>
      <c r="D226" s="47">
        <v>1</v>
      </c>
      <c r="E226" s="48" t="s">
        <v>1482</v>
      </c>
      <c r="F226" s="30" t="str">
        <f t="shared" si="6"/>
        <v>Completed</v>
      </c>
      <c r="G226" s="46" t="s">
        <v>1324</v>
      </c>
      <c r="I226" s="46" t="str">
        <f>IFERROR(VLOOKUP(B226,'Test 1,2'!$E$4:$I$604,5,0),"NOT BILLED")</f>
        <v>Sep</v>
      </c>
      <c r="J226" s="46" t="str">
        <f t="shared" si="7"/>
        <v>PASS</v>
      </c>
    </row>
    <row r="227" spans="2:10" x14ac:dyDescent="0.5">
      <c r="B227" s="46" t="s">
        <v>1290</v>
      </c>
      <c r="C227" s="46" t="s">
        <v>92</v>
      </c>
      <c r="D227" s="47">
        <v>1</v>
      </c>
      <c r="E227" s="48" t="s">
        <v>1482</v>
      </c>
      <c r="F227" s="30" t="str">
        <f t="shared" si="6"/>
        <v>Completed</v>
      </c>
      <c r="G227" s="46" t="s">
        <v>1324</v>
      </c>
      <c r="I227" s="46" t="str">
        <f>IFERROR(VLOOKUP(B227,'Test 1,2'!$E$4:$I$604,5,0),"NOT BILLED")</f>
        <v>Mar</v>
      </c>
      <c r="J227" s="46" t="str">
        <f t="shared" si="7"/>
        <v>PASS</v>
      </c>
    </row>
    <row r="228" spans="2:10" x14ac:dyDescent="0.5">
      <c r="B228" s="46" t="s">
        <v>983</v>
      </c>
      <c r="C228" s="46" t="s">
        <v>608</v>
      </c>
      <c r="D228" s="47">
        <v>1</v>
      </c>
      <c r="E228" s="48" t="s">
        <v>1482</v>
      </c>
      <c r="F228" s="30" t="str">
        <f t="shared" si="6"/>
        <v>Completed</v>
      </c>
      <c r="G228" s="46" t="s">
        <v>1324</v>
      </c>
      <c r="I228" s="46" t="str">
        <f>IFERROR(VLOOKUP(B228,'Test 1,2'!$E$4:$I$604,5,0),"NOT BILLED")</f>
        <v>Oct</v>
      </c>
      <c r="J228" s="46" t="str">
        <f t="shared" si="7"/>
        <v>PASS</v>
      </c>
    </row>
    <row r="229" spans="2:10" x14ac:dyDescent="0.5">
      <c r="B229" s="46" t="s">
        <v>841</v>
      </c>
      <c r="C229" s="46" t="s">
        <v>60</v>
      </c>
      <c r="D229" s="47">
        <v>1</v>
      </c>
      <c r="E229" s="48" t="s">
        <v>1481</v>
      </c>
      <c r="F229" s="30" t="str">
        <f t="shared" si="6"/>
        <v>Completed</v>
      </c>
      <c r="G229" s="46" t="s">
        <v>1324</v>
      </c>
      <c r="I229" s="46" t="str">
        <f>IFERROR(VLOOKUP(B229,'Test 1,2'!$E$4:$I$604,5,0),"NOT BILLED")</f>
        <v>Jul</v>
      </c>
      <c r="J229" s="46" t="str">
        <f t="shared" si="7"/>
        <v>PASS</v>
      </c>
    </row>
    <row r="230" spans="2:10" x14ac:dyDescent="0.5">
      <c r="B230" s="46" t="s">
        <v>1092</v>
      </c>
      <c r="C230" s="46" t="s">
        <v>131</v>
      </c>
      <c r="D230" s="47">
        <v>1</v>
      </c>
      <c r="E230" s="48" t="s">
        <v>1482</v>
      </c>
      <c r="F230" s="30" t="str">
        <f t="shared" si="6"/>
        <v>Completed</v>
      </c>
      <c r="G230" s="46" t="s">
        <v>1324</v>
      </c>
      <c r="I230" s="46" t="str">
        <f>IFERROR(VLOOKUP(B230,'Test 1,2'!$E$4:$I$604,5,0),"NOT BILLED")</f>
        <v>Dec</v>
      </c>
      <c r="J230" s="46" t="str">
        <f t="shared" si="7"/>
        <v>PASS</v>
      </c>
    </row>
    <row r="231" spans="2:10" x14ac:dyDescent="0.5">
      <c r="B231" s="46" t="s">
        <v>213</v>
      </c>
      <c r="C231" s="46" t="s">
        <v>103</v>
      </c>
      <c r="D231" s="47">
        <v>1</v>
      </c>
      <c r="E231" s="48" t="s">
        <v>1482</v>
      </c>
      <c r="F231" s="30" t="str">
        <f t="shared" si="6"/>
        <v>Completed</v>
      </c>
      <c r="G231" s="46" t="s">
        <v>1324</v>
      </c>
      <c r="I231" s="46" t="str">
        <f>IFERROR(VLOOKUP(B231,'Test 1,2'!$E$4:$I$604,5,0),"NOT BILLED")</f>
        <v>Jun</v>
      </c>
      <c r="J231" s="46" t="str">
        <f t="shared" si="7"/>
        <v>PASS</v>
      </c>
    </row>
    <row r="232" spans="2:10" x14ac:dyDescent="0.5">
      <c r="B232" s="46" t="s">
        <v>534</v>
      </c>
      <c r="C232" s="46" t="s">
        <v>238</v>
      </c>
      <c r="D232" s="47">
        <v>1</v>
      </c>
      <c r="E232" s="48" t="s">
        <v>1482</v>
      </c>
      <c r="F232" s="30" t="str">
        <f t="shared" si="6"/>
        <v>Completed</v>
      </c>
      <c r="G232" s="46" t="s">
        <v>1324</v>
      </c>
      <c r="I232" s="46" t="str">
        <f>IFERROR(VLOOKUP(B232,'Test 1,2'!$E$4:$I$604,5,0),"NOT BILLED")</f>
        <v>Feb</v>
      </c>
      <c r="J232" s="46" t="str">
        <f t="shared" si="7"/>
        <v>PASS</v>
      </c>
    </row>
    <row r="233" spans="2:10" x14ac:dyDescent="0.5">
      <c r="B233" s="46" t="s">
        <v>751</v>
      </c>
      <c r="C233" s="46" t="s">
        <v>262</v>
      </c>
      <c r="D233" s="47">
        <v>1</v>
      </c>
      <c r="E233" s="48" t="s">
        <v>1482</v>
      </c>
      <c r="F233" s="30" t="str">
        <f t="shared" si="6"/>
        <v>Completed</v>
      </c>
      <c r="G233" s="46" t="s">
        <v>1324</v>
      </c>
      <c r="I233" s="46" t="str">
        <f>IFERROR(VLOOKUP(B233,'Test 1,2'!$E$4:$I$604,5,0),"NOT BILLED")</f>
        <v>May</v>
      </c>
      <c r="J233" s="46" t="str">
        <f t="shared" si="7"/>
        <v>PASS</v>
      </c>
    </row>
    <row r="234" spans="2:10" x14ac:dyDescent="0.5">
      <c r="B234" s="46" t="s">
        <v>951</v>
      </c>
      <c r="C234" s="46" t="s">
        <v>81</v>
      </c>
      <c r="D234" s="47">
        <v>1</v>
      </c>
      <c r="E234" s="48" t="s">
        <v>1481</v>
      </c>
      <c r="F234" s="30" t="str">
        <f t="shared" si="6"/>
        <v>Completed</v>
      </c>
      <c r="G234" s="46" t="s">
        <v>1324</v>
      </c>
      <c r="I234" s="46" t="str">
        <f>IFERROR(VLOOKUP(B234,'Test 1,2'!$E$4:$I$604,5,0),"NOT BILLED")</f>
        <v>Jul</v>
      </c>
      <c r="J234" s="46" t="str">
        <f t="shared" si="7"/>
        <v>PASS</v>
      </c>
    </row>
    <row r="235" spans="2:10" x14ac:dyDescent="0.5">
      <c r="B235" s="46" t="s">
        <v>646</v>
      </c>
      <c r="C235" s="46" t="s">
        <v>308</v>
      </c>
      <c r="D235" s="47">
        <v>1</v>
      </c>
      <c r="E235" s="48" t="s">
        <v>1481</v>
      </c>
      <c r="F235" s="30" t="str">
        <f t="shared" si="6"/>
        <v>Completed</v>
      </c>
      <c r="G235" s="46" t="s">
        <v>1324</v>
      </c>
      <c r="I235" s="46" t="str">
        <f>IFERROR(VLOOKUP(B235,'Test 1,2'!$E$4:$I$604,5,0),"NOT BILLED")</f>
        <v>Apr</v>
      </c>
      <c r="J235" s="46" t="str">
        <f t="shared" si="7"/>
        <v>PASS</v>
      </c>
    </row>
    <row r="236" spans="2:10" x14ac:dyDescent="0.5">
      <c r="B236" s="46" t="s">
        <v>471</v>
      </c>
      <c r="C236" s="46" t="s">
        <v>111</v>
      </c>
      <c r="D236" s="47">
        <v>1</v>
      </c>
      <c r="E236" s="48" t="s">
        <v>1481</v>
      </c>
      <c r="F236" s="30" t="str">
        <f t="shared" si="6"/>
        <v>Completed</v>
      </c>
      <c r="G236" s="46" t="s">
        <v>1324</v>
      </c>
      <c r="I236" s="46" t="str">
        <f>IFERROR(VLOOKUP(B236,'Test 1,2'!$E$4:$I$604,5,0),"NOT BILLED")</f>
        <v>Dec</v>
      </c>
      <c r="J236" s="46" t="str">
        <f t="shared" si="7"/>
        <v>PASS</v>
      </c>
    </row>
    <row r="237" spans="2:10" x14ac:dyDescent="0.5">
      <c r="B237" s="46" t="s">
        <v>130</v>
      </c>
      <c r="C237" s="46" t="s">
        <v>131</v>
      </c>
      <c r="D237" s="47">
        <v>1</v>
      </c>
      <c r="E237" s="48" t="s">
        <v>1481</v>
      </c>
      <c r="F237" s="30" t="str">
        <f t="shared" si="6"/>
        <v>Completed</v>
      </c>
      <c r="G237" s="46" t="s">
        <v>1324</v>
      </c>
      <c r="I237" s="46" t="str">
        <f>IFERROR(VLOOKUP(B237,'Test 1,2'!$E$4:$I$604,5,0),"NOT BILLED")</f>
        <v>May</v>
      </c>
      <c r="J237" s="46" t="str">
        <f t="shared" si="7"/>
        <v>PASS</v>
      </c>
    </row>
    <row r="238" spans="2:10" x14ac:dyDescent="0.5">
      <c r="B238" s="46" t="s">
        <v>1218</v>
      </c>
      <c r="C238" s="46" t="s">
        <v>95</v>
      </c>
      <c r="D238" s="47">
        <v>1</v>
      </c>
      <c r="E238" s="48" t="s">
        <v>1481</v>
      </c>
      <c r="F238" s="30" t="str">
        <f t="shared" si="6"/>
        <v>Completed</v>
      </c>
      <c r="G238" s="46" t="s">
        <v>1324</v>
      </c>
      <c r="I238" s="46" t="str">
        <f>IFERROR(VLOOKUP(B238,'Test 1,2'!$E$4:$I$604,5,0),"NOT BILLED")</f>
        <v>Feb</v>
      </c>
      <c r="J238" s="46" t="str">
        <f t="shared" si="7"/>
        <v>PASS</v>
      </c>
    </row>
    <row r="239" spans="2:10" x14ac:dyDescent="0.5">
      <c r="B239" s="46" t="s">
        <v>779</v>
      </c>
      <c r="C239" s="46" t="s">
        <v>195</v>
      </c>
      <c r="D239" s="47">
        <v>1</v>
      </c>
      <c r="E239" s="48" t="s">
        <v>1481</v>
      </c>
      <c r="F239" s="30" t="str">
        <f t="shared" si="6"/>
        <v>Completed</v>
      </c>
      <c r="G239" s="46" t="s">
        <v>1324</v>
      </c>
      <c r="I239" s="46" t="str">
        <f>IFERROR(VLOOKUP(B239,'Test 1,2'!$E$4:$I$604,5,0),"NOT BILLED")</f>
        <v>May</v>
      </c>
      <c r="J239" s="46" t="str">
        <f t="shared" si="7"/>
        <v>PASS</v>
      </c>
    </row>
    <row r="240" spans="2:10" x14ac:dyDescent="0.5">
      <c r="B240" s="46" t="s">
        <v>165</v>
      </c>
      <c r="C240" s="46" t="s">
        <v>143</v>
      </c>
      <c r="D240" s="47">
        <v>1</v>
      </c>
      <c r="E240" s="48" t="s">
        <v>1482</v>
      </c>
      <c r="F240" s="30" t="str">
        <f t="shared" si="6"/>
        <v>Completed</v>
      </c>
      <c r="G240" s="46" t="s">
        <v>1324</v>
      </c>
      <c r="I240" s="46" t="str">
        <f>IFERROR(VLOOKUP(B240,'Test 1,2'!$E$4:$I$604,5,0),"NOT BILLED")</f>
        <v>May</v>
      </c>
      <c r="J240" s="46" t="str">
        <f t="shared" si="7"/>
        <v>PASS</v>
      </c>
    </row>
    <row r="241" spans="2:10" x14ac:dyDescent="0.5">
      <c r="B241" s="46" t="s">
        <v>1164</v>
      </c>
      <c r="C241" s="46" t="s">
        <v>272</v>
      </c>
      <c r="D241" s="47">
        <v>1</v>
      </c>
      <c r="E241" s="48" t="s">
        <v>1482</v>
      </c>
      <c r="F241" s="30" t="str">
        <f t="shared" si="6"/>
        <v>Completed</v>
      </c>
      <c r="G241" s="46" t="s">
        <v>1324</v>
      </c>
      <c r="I241" s="46" t="str">
        <f>IFERROR(VLOOKUP(B241,'Test 1,2'!$E$4:$I$604,5,0),"NOT BILLED")</f>
        <v>Jan</v>
      </c>
      <c r="J241" s="46" t="str">
        <f t="shared" si="7"/>
        <v>PASS</v>
      </c>
    </row>
    <row r="242" spans="2:10" x14ac:dyDescent="0.5">
      <c r="B242" s="46" t="s">
        <v>1256</v>
      </c>
      <c r="C242" s="46" t="s">
        <v>378</v>
      </c>
      <c r="D242" s="47">
        <v>1</v>
      </c>
      <c r="E242" s="48" t="s">
        <v>1481</v>
      </c>
      <c r="F242" s="30" t="str">
        <f t="shared" si="6"/>
        <v>Completed</v>
      </c>
      <c r="G242" s="46" t="s">
        <v>1324</v>
      </c>
      <c r="I242" s="46" t="str">
        <f>IFERROR(VLOOKUP(B242,'Test 1,2'!$E$4:$I$604,5,0),"NOT BILLED")</f>
        <v>Jan</v>
      </c>
      <c r="J242" s="46" t="str">
        <f t="shared" si="7"/>
        <v>PASS</v>
      </c>
    </row>
    <row r="243" spans="2:10" x14ac:dyDescent="0.5">
      <c r="B243" s="46" t="s">
        <v>975</v>
      </c>
      <c r="C243" s="46" t="s">
        <v>175</v>
      </c>
      <c r="D243" s="47">
        <v>1</v>
      </c>
      <c r="E243" s="48" t="s">
        <v>1481</v>
      </c>
      <c r="F243" s="30" t="str">
        <f t="shared" si="6"/>
        <v>Completed</v>
      </c>
      <c r="G243" s="46" t="s">
        <v>1324</v>
      </c>
      <c r="I243" s="46" t="str">
        <f>IFERROR(VLOOKUP(B243,'Test 1,2'!$E$4:$I$604,5,0),"NOT BILLED")</f>
        <v>Sep</v>
      </c>
      <c r="J243" s="46" t="str">
        <f t="shared" si="7"/>
        <v>PASS</v>
      </c>
    </row>
    <row r="244" spans="2:10" x14ac:dyDescent="0.5">
      <c r="B244" s="46" t="s">
        <v>557</v>
      </c>
      <c r="C244" s="46" t="s">
        <v>190</v>
      </c>
      <c r="D244" s="47">
        <v>1</v>
      </c>
      <c r="E244" s="48" t="s">
        <v>1481</v>
      </c>
      <c r="F244" s="30" t="str">
        <f t="shared" si="6"/>
        <v>Completed</v>
      </c>
      <c r="G244" s="46" t="s">
        <v>1324</v>
      </c>
      <c r="I244" s="46" t="str">
        <f>IFERROR(VLOOKUP(B244,'Test 1,2'!$E$4:$I$604,5,0),"NOT BILLED")</f>
        <v>Feb</v>
      </c>
      <c r="J244" s="46" t="str">
        <f t="shared" si="7"/>
        <v>PASS</v>
      </c>
    </row>
    <row r="245" spans="2:10" x14ac:dyDescent="0.5">
      <c r="B245" s="46" t="s">
        <v>1238</v>
      </c>
      <c r="C245" s="46" t="s">
        <v>131</v>
      </c>
      <c r="D245" s="47">
        <v>1</v>
      </c>
      <c r="E245" s="48" t="s">
        <v>1481</v>
      </c>
      <c r="F245" s="30" t="str">
        <f t="shared" si="6"/>
        <v>Completed</v>
      </c>
      <c r="G245" s="46" t="s">
        <v>1324</v>
      </c>
      <c r="I245" s="46" t="str">
        <f>IFERROR(VLOOKUP(B245,'Test 1,2'!$E$4:$I$604,5,0),"NOT BILLED")</f>
        <v>Feb</v>
      </c>
      <c r="J245" s="46" t="str">
        <f t="shared" si="7"/>
        <v>PASS</v>
      </c>
    </row>
    <row r="246" spans="2:10" x14ac:dyDescent="0.5">
      <c r="B246" s="46" t="s">
        <v>405</v>
      </c>
      <c r="C246" s="46" t="s">
        <v>128</v>
      </c>
      <c r="D246" s="47">
        <v>1</v>
      </c>
      <c r="E246" s="48" t="s">
        <v>1482</v>
      </c>
      <c r="F246" s="30" t="str">
        <f t="shared" si="6"/>
        <v>Completed</v>
      </c>
      <c r="G246" s="46" t="s">
        <v>1324</v>
      </c>
      <c r="I246" s="46" t="str">
        <f>IFERROR(VLOOKUP(B246,'Test 1,2'!$E$4:$I$604,5,0),"NOT BILLED")</f>
        <v>Oct</v>
      </c>
      <c r="J246" s="46" t="str">
        <f t="shared" si="7"/>
        <v>PASS</v>
      </c>
    </row>
    <row r="247" spans="2:10" x14ac:dyDescent="0.5">
      <c r="B247" s="46" t="s">
        <v>1106</v>
      </c>
      <c r="C247" s="46" t="s">
        <v>293</v>
      </c>
      <c r="D247" s="47">
        <v>1</v>
      </c>
      <c r="E247" s="48" t="s">
        <v>1481</v>
      </c>
      <c r="F247" s="30" t="str">
        <f t="shared" si="6"/>
        <v>Completed</v>
      </c>
      <c r="G247" s="46" t="s">
        <v>1324</v>
      </c>
      <c r="I247" s="46" t="str">
        <f>IFERROR(VLOOKUP(B247,'Test 1,2'!$E$4:$I$604,5,0),"NOT BILLED")</f>
        <v>Dec</v>
      </c>
      <c r="J247" s="46" t="str">
        <f t="shared" si="7"/>
        <v>PASS</v>
      </c>
    </row>
    <row r="248" spans="2:10" x14ac:dyDescent="0.5">
      <c r="B248" s="46" t="s">
        <v>454</v>
      </c>
      <c r="C248" s="46" t="s">
        <v>308</v>
      </c>
      <c r="D248" s="47">
        <v>1</v>
      </c>
      <c r="E248" s="48" t="s">
        <v>1481</v>
      </c>
      <c r="F248" s="30" t="str">
        <f t="shared" si="6"/>
        <v>Completed</v>
      </c>
      <c r="G248" s="46" t="s">
        <v>1324</v>
      </c>
      <c r="I248" s="46" t="str">
        <f>IFERROR(VLOOKUP(B248,'Test 1,2'!$E$4:$I$604,5,0),"NOT BILLED")</f>
        <v>Nov</v>
      </c>
      <c r="J248" s="46" t="str">
        <f t="shared" si="7"/>
        <v>PASS</v>
      </c>
    </row>
    <row r="249" spans="2:10" x14ac:dyDescent="0.5">
      <c r="B249" s="46" t="s">
        <v>773</v>
      </c>
      <c r="C249" s="46" t="s">
        <v>81</v>
      </c>
      <c r="D249" s="47">
        <v>1</v>
      </c>
      <c r="E249" s="48" t="s">
        <v>1482</v>
      </c>
      <c r="F249" s="30" t="str">
        <f t="shared" si="6"/>
        <v>Completed</v>
      </c>
      <c r="G249" s="46" t="s">
        <v>1324</v>
      </c>
      <c r="I249" s="46" t="str">
        <f>IFERROR(VLOOKUP(B249,'Test 1,2'!$E$4:$I$604,5,0),"NOT BILLED")</f>
        <v>Jun</v>
      </c>
      <c r="J249" s="46" t="str">
        <f t="shared" si="7"/>
        <v>PASS</v>
      </c>
    </row>
    <row r="250" spans="2:10" x14ac:dyDescent="0.5">
      <c r="B250" s="46" t="s">
        <v>819</v>
      </c>
      <c r="C250" s="46" t="s">
        <v>114</v>
      </c>
      <c r="D250" s="47">
        <v>1</v>
      </c>
      <c r="E250" s="48" t="s">
        <v>1482</v>
      </c>
      <c r="F250" s="30" t="str">
        <f t="shared" si="6"/>
        <v>Completed</v>
      </c>
      <c r="G250" s="46" t="s">
        <v>1324</v>
      </c>
      <c r="I250" s="46" t="str">
        <f>IFERROR(VLOOKUP(B250,'Test 1,2'!$E$4:$I$604,5,0),"NOT BILLED")</f>
        <v>Jul</v>
      </c>
      <c r="J250" s="46" t="str">
        <f t="shared" si="7"/>
        <v>PASS</v>
      </c>
    </row>
    <row r="251" spans="2:10" x14ac:dyDescent="0.5">
      <c r="B251" s="46" t="s">
        <v>906</v>
      </c>
      <c r="C251" s="46" t="s">
        <v>114</v>
      </c>
      <c r="D251" s="47">
        <v>1</v>
      </c>
      <c r="E251" s="48" t="s">
        <v>1481</v>
      </c>
      <c r="F251" s="30" t="str">
        <f t="shared" si="6"/>
        <v>Completed</v>
      </c>
      <c r="G251" s="46" t="s">
        <v>1324</v>
      </c>
      <c r="I251" s="46" t="str">
        <f>IFERROR(VLOOKUP(B251,'Test 1,2'!$E$4:$I$604,5,0),"NOT BILLED")</f>
        <v>Aug</v>
      </c>
      <c r="J251" s="46" t="str">
        <f t="shared" si="7"/>
        <v>PASS</v>
      </c>
    </row>
    <row r="252" spans="2:10" x14ac:dyDescent="0.5">
      <c r="B252" s="46" t="s">
        <v>722</v>
      </c>
      <c r="C252" s="46" t="s">
        <v>111</v>
      </c>
      <c r="D252" s="47">
        <v>1</v>
      </c>
      <c r="E252" s="48" t="s">
        <v>1481</v>
      </c>
      <c r="F252" s="30" t="str">
        <f t="shared" si="6"/>
        <v>Completed</v>
      </c>
      <c r="G252" s="46" t="s">
        <v>1325</v>
      </c>
      <c r="I252" s="46" t="str">
        <f>IFERROR(VLOOKUP(B252,'Test 1,2'!$E$4:$I$604,5,0),"NOT BILLED")</f>
        <v>May</v>
      </c>
      <c r="J252" s="46" t="str">
        <f t="shared" si="7"/>
        <v>PASS</v>
      </c>
    </row>
    <row r="253" spans="2:10" x14ac:dyDescent="0.5">
      <c r="B253" s="46" t="s">
        <v>1154</v>
      </c>
      <c r="C253" s="46" t="s">
        <v>195</v>
      </c>
      <c r="D253" s="47">
        <v>1</v>
      </c>
      <c r="E253" s="48" t="s">
        <v>1482</v>
      </c>
      <c r="F253" s="30" t="str">
        <f t="shared" si="6"/>
        <v>Completed</v>
      </c>
      <c r="G253" s="46" t="s">
        <v>1324</v>
      </c>
      <c r="I253" s="46" t="str">
        <f>IFERROR(VLOOKUP(B253,'Test 1,2'!$E$4:$I$604,5,0),"NOT BILLED")</f>
        <v>Jan</v>
      </c>
      <c r="J253" s="46" t="str">
        <f t="shared" si="7"/>
        <v>PASS</v>
      </c>
    </row>
    <row r="254" spans="2:10" x14ac:dyDescent="0.5">
      <c r="B254" s="46" t="s">
        <v>1236</v>
      </c>
      <c r="C254" s="46" t="s">
        <v>332</v>
      </c>
      <c r="D254" s="47">
        <v>1</v>
      </c>
      <c r="E254" s="48" t="s">
        <v>1482</v>
      </c>
      <c r="F254" s="30" t="str">
        <f t="shared" si="6"/>
        <v>Completed</v>
      </c>
      <c r="G254" s="46" t="s">
        <v>1324</v>
      </c>
      <c r="I254" s="46" t="str">
        <f>IFERROR(VLOOKUP(B254,'Test 1,2'!$E$4:$I$604,5,0),"NOT BILLED")</f>
        <v>Feb</v>
      </c>
      <c r="J254" s="46" t="str">
        <f t="shared" si="7"/>
        <v>PASS</v>
      </c>
    </row>
    <row r="255" spans="2:10" x14ac:dyDescent="0.5">
      <c r="B255" s="46" t="s">
        <v>1254</v>
      </c>
      <c r="C255" s="46" t="s">
        <v>103</v>
      </c>
      <c r="D255" s="47">
        <v>1</v>
      </c>
      <c r="E255" s="48" t="s">
        <v>1482</v>
      </c>
      <c r="F255" s="30" t="str">
        <f t="shared" si="6"/>
        <v>Completed</v>
      </c>
      <c r="G255" s="46" t="s">
        <v>1324</v>
      </c>
      <c r="I255" s="46" t="str">
        <f>IFERROR(VLOOKUP(B255,'Test 1,2'!$E$4:$I$604,5,0),"NOT BILLED")</f>
        <v>Feb</v>
      </c>
      <c r="J255" s="46" t="str">
        <f t="shared" si="7"/>
        <v>PASS</v>
      </c>
    </row>
    <row r="256" spans="2:10" x14ac:dyDescent="0.5">
      <c r="B256" s="46" t="s">
        <v>591</v>
      </c>
      <c r="C256" s="46" t="s">
        <v>15</v>
      </c>
      <c r="D256" s="47">
        <v>1</v>
      </c>
      <c r="E256" s="48" t="s">
        <v>1481</v>
      </c>
      <c r="F256" s="30" t="str">
        <f t="shared" si="6"/>
        <v>Completed</v>
      </c>
      <c r="G256" s="46" t="s">
        <v>1324</v>
      </c>
      <c r="I256" s="46" t="str">
        <f>IFERROR(VLOOKUP(B256,'Test 1,2'!$E$4:$I$604,5,0),"NOT BILLED")</f>
        <v>Mar</v>
      </c>
      <c r="J256" s="46" t="str">
        <f t="shared" si="7"/>
        <v>PASS</v>
      </c>
    </row>
    <row r="257" spans="2:10" x14ac:dyDescent="0.5">
      <c r="B257" s="46" t="s">
        <v>849</v>
      </c>
      <c r="C257" s="46" t="s">
        <v>195</v>
      </c>
      <c r="D257" s="47">
        <v>1</v>
      </c>
      <c r="E257" s="48" t="s">
        <v>1482</v>
      </c>
      <c r="F257" s="30" t="str">
        <f t="shared" si="6"/>
        <v>Completed</v>
      </c>
      <c r="G257" s="46" t="s">
        <v>1324</v>
      </c>
      <c r="I257" s="46" t="str">
        <f>IFERROR(VLOOKUP(B257,'Test 1,2'!$E$4:$I$604,5,0),"NOT BILLED")</f>
        <v>Jul</v>
      </c>
      <c r="J257" s="46" t="str">
        <f t="shared" si="7"/>
        <v>PASS</v>
      </c>
    </row>
    <row r="258" spans="2:10" x14ac:dyDescent="0.5">
      <c r="B258" s="46" t="s">
        <v>530</v>
      </c>
      <c r="C258" s="46" t="s">
        <v>95</v>
      </c>
      <c r="D258" s="47">
        <v>1</v>
      </c>
      <c r="E258" s="48" t="s">
        <v>1481</v>
      </c>
      <c r="F258" s="30" t="str">
        <f t="shared" si="6"/>
        <v>Completed</v>
      </c>
      <c r="G258" s="46" t="s">
        <v>1324</v>
      </c>
      <c r="I258" s="46" t="str">
        <f>IFERROR(VLOOKUP(B258,'Test 1,2'!$E$4:$I$604,5,0),"NOT BILLED")</f>
        <v>Jan</v>
      </c>
      <c r="J258" s="46" t="str">
        <f t="shared" si="7"/>
        <v>PASS</v>
      </c>
    </row>
    <row r="259" spans="2:10" x14ac:dyDescent="0.5">
      <c r="B259" s="46" t="s">
        <v>953</v>
      </c>
      <c r="C259" s="46" t="s">
        <v>72</v>
      </c>
      <c r="D259" s="47">
        <v>1</v>
      </c>
      <c r="E259" s="48" t="s">
        <v>1481</v>
      </c>
      <c r="F259" s="30" t="str">
        <f t="shared" si="6"/>
        <v>Completed</v>
      </c>
      <c r="G259" s="46" t="s">
        <v>1324</v>
      </c>
      <c r="I259" s="46" t="str">
        <f>IFERROR(VLOOKUP(B259,'Test 1,2'!$E$4:$I$604,5,0),"NOT BILLED")</f>
        <v>Aug</v>
      </c>
      <c r="J259" s="46" t="str">
        <f t="shared" si="7"/>
        <v>PASS</v>
      </c>
    </row>
    <row r="260" spans="2:10" x14ac:dyDescent="0.5">
      <c r="B260" s="46" t="s">
        <v>857</v>
      </c>
      <c r="C260" s="46" t="s">
        <v>308</v>
      </c>
      <c r="D260" s="47">
        <v>1</v>
      </c>
      <c r="E260" s="48" t="s">
        <v>1482</v>
      </c>
      <c r="F260" s="30" t="str">
        <f t="shared" ref="F260:F323" si="8">IF(D260=100%,"Completed","Contract-In-Progress")</f>
        <v>Completed</v>
      </c>
      <c r="G260" s="46" t="s">
        <v>1324</v>
      </c>
      <c r="I260" s="46" t="str">
        <f>IFERROR(VLOOKUP(B260,'Test 1,2'!$E$4:$I$604,5,0),"NOT BILLED")</f>
        <v>Jul</v>
      </c>
      <c r="J260" s="46" t="str">
        <f t="shared" ref="J260:J323" si="9">IF(I260&lt;&gt;"NOT BILLED",IF(D260=100%,"PASS","FLAG"),IF(D260&lt;100%,"PASS","FLAG"))</f>
        <v>PASS</v>
      </c>
    </row>
    <row r="261" spans="2:10" x14ac:dyDescent="0.5">
      <c r="B261" s="46" t="s">
        <v>266</v>
      </c>
      <c r="C261" s="46" t="s">
        <v>175</v>
      </c>
      <c r="D261" s="47">
        <v>1</v>
      </c>
      <c r="E261" s="48" t="s">
        <v>1481</v>
      </c>
      <c r="F261" s="30" t="str">
        <f t="shared" si="8"/>
        <v>Completed</v>
      </c>
      <c r="G261" s="46" t="s">
        <v>1324</v>
      </c>
      <c r="I261" s="46" t="str">
        <f>IFERROR(VLOOKUP(B261,'Test 1,2'!$E$4:$I$604,5,0),"NOT BILLED")</f>
        <v>Jul</v>
      </c>
      <c r="J261" s="46" t="str">
        <f t="shared" si="9"/>
        <v>PASS</v>
      </c>
    </row>
    <row r="262" spans="2:10" x14ac:dyDescent="0.5">
      <c r="B262" s="46" t="s">
        <v>569</v>
      </c>
      <c r="C262" s="46" t="s">
        <v>57</v>
      </c>
      <c r="D262" s="47">
        <v>1</v>
      </c>
      <c r="E262" s="48" t="s">
        <v>1481</v>
      </c>
      <c r="F262" s="30" t="str">
        <f t="shared" si="8"/>
        <v>Completed</v>
      </c>
      <c r="G262" s="46" t="s">
        <v>1324</v>
      </c>
      <c r="I262" s="46" t="str">
        <f>IFERROR(VLOOKUP(B262,'Test 1,2'!$E$4:$I$604,5,0),"NOT BILLED")</f>
        <v>Feb</v>
      </c>
      <c r="J262" s="46" t="str">
        <f t="shared" si="9"/>
        <v>PASS</v>
      </c>
    </row>
    <row r="263" spans="2:10" x14ac:dyDescent="0.5">
      <c r="B263" s="46" t="s">
        <v>638</v>
      </c>
      <c r="C263" s="46" t="s">
        <v>577</v>
      </c>
      <c r="D263" s="47">
        <v>1</v>
      </c>
      <c r="E263" s="48" t="s">
        <v>1482</v>
      </c>
      <c r="F263" s="30" t="str">
        <f t="shared" si="8"/>
        <v>Completed</v>
      </c>
      <c r="G263" s="46" t="s">
        <v>1324</v>
      </c>
      <c r="I263" s="46" t="str">
        <f>IFERROR(VLOOKUP(B263,'Test 1,2'!$E$4:$I$604,5,0),"NOT BILLED")</f>
        <v>Apr</v>
      </c>
      <c r="J263" s="46" t="str">
        <f t="shared" si="9"/>
        <v>PASS</v>
      </c>
    </row>
    <row r="264" spans="2:10" x14ac:dyDescent="0.5">
      <c r="B264" s="46" t="s">
        <v>440</v>
      </c>
      <c r="C264" s="46" t="s">
        <v>122</v>
      </c>
      <c r="D264" s="47">
        <v>1</v>
      </c>
      <c r="E264" s="48" t="s">
        <v>1481</v>
      </c>
      <c r="F264" s="30" t="str">
        <f t="shared" si="8"/>
        <v>Completed</v>
      </c>
      <c r="G264" s="46" t="s">
        <v>1324</v>
      </c>
      <c r="I264" s="46" t="str">
        <f>IFERROR(VLOOKUP(B264,'Test 1,2'!$E$4:$I$604,5,0),"NOT BILLED")</f>
        <v>Nov</v>
      </c>
      <c r="J264" s="46" t="str">
        <f t="shared" si="9"/>
        <v>PASS</v>
      </c>
    </row>
    <row r="265" spans="2:10" x14ac:dyDescent="0.5">
      <c r="B265" s="46" t="s">
        <v>287</v>
      </c>
      <c r="C265" s="46" t="s">
        <v>111</v>
      </c>
      <c r="D265" s="47">
        <v>1</v>
      </c>
      <c r="E265" s="48" t="s">
        <v>1481</v>
      </c>
      <c r="F265" s="30" t="str">
        <f t="shared" si="8"/>
        <v>Completed</v>
      </c>
      <c r="G265" s="46" t="s">
        <v>1324</v>
      </c>
      <c r="I265" s="46" t="str">
        <f>IFERROR(VLOOKUP(B265,'Test 1,2'!$E$4:$I$604,5,0),"NOT BILLED")</f>
        <v>Aug</v>
      </c>
      <c r="J265" s="46" t="str">
        <f t="shared" si="9"/>
        <v>PASS</v>
      </c>
    </row>
    <row r="266" spans="2:10" x14ac:dyDescent="0.5">
      <c r="B266" s="46" t="s">
        <v>355</v>
      </c>
      <c r="C266" s="46" t="s">
        <v>125</v>
      </c>
      <c r="D266" s="47">
        <v>1</v>
      </c>
      <c r="E266" s="48" t="s">
        <v>1481</v>
      </c>
      <c r="F266" s="30" t="str">
        <f t="shared" si="8"/>
        <v>Completed</v>
      </c>
      <c r="G266" s="46" t="s">
        <v>1324</v>
      </c>
      <c r="I266" s="46" t="str">
        <f>IFERROR(VLOOKUP(B266,'Test 1,2'!$E$4:$I$604,5,0),"NOT BILLED")</f>
        <v>Sep</v>
      </c>
      <c r="J266" s="46" t="str">
        <f t="shared" si="9"/>
        <v>PASS</v>
      </c>
    </row>
    <row r="267" spans="2:10" x14ac:dyDescent="0.5">
      <c r="B267" s="46" t="s">
        <v>423</v>
      </c>
      <c r="C267" s="46" t="s">
        <v>190</v>
      </c>
      <c r="D267" s="47">
        <v>1</v>
      </c>
      <c r="E267" s="48" t="s">
        <v>1481</v>
      </c>
      <c r="F267" s="30" t="str">
        <f t="shared" si="8"/>
        <v>Completed</v>
      </c>
      <c r="G267" s="46" t="s">
        <v>1324</v>
      </c>
      <c r="I267" s="46" t="str">
        <f>IFERROR(VLOOKUP(B267,'Test 1,2'!$E$4:$I$604,5,0),"NOT BILLED")</f>
        <v>Oct</v>
      </c>
      <c r="J267" s="46" t="str">
        <f t="shared" si="9"/>
        <v>PASS</v>
      </c>
    </row>
    <row r="268" spans="2:10" x14ac:dyDescent="0.5">
      <c r="B268" s="46" t="s">
        <v>473</v>
      </c>
      <c r="C268" s="46" t="s">
        <v>156</v>
      </c>
      <c r="D268" s="47">
        <v>1</v>
      </c>
      <c r="E268" s="48" t="s">
        <v>1481</v>
      </c>
      <c r="F268" s="30" t="str">
        <f t="shared" si="8"/>
        <v>Completed</v>
      </c>
      <c r="G268" s="46" t="s">
        <v>1325</v>
      </c>
      <c r="I268" s="46" t="str">
        <f>IFERROR(VLOOKUP(B268,'Test 1,2'!$E$4:$I$604,5,0),"NOT BILLED")</f>
        <v>Dec</v>
      </c>
      <c r="J268" s="46" t="str">
        <f t="shared" si="9"/>
        <v>PASS</v>
      </c>
    </row>
    <row r="269" spans="2:10" x14ac:dyDescent="0.5">
      <c r="B269" s="46" t="s">
        <v>1192</v>
      </c>
      <c r="C269" s="46" t="s">
        <v>153</v>
      </c>
      <c r="D269" s="47">
        <v>1</v>
      </c>
      <c r="E269" s="48" t="s">
        <v>1482</v>
      </c>
      <c r="F269" s="30" t="str">
        <f t="shared" si="8"/>
        <v>Completed</v>
      </c>
      <c r="G269" s="46" t="s">
        <v>1324</v>
      </c>
      <c r="I269" s="46" t="str">
        <f>IFERROR(VLOOKUP(B269,'Test 1,2'!$E$4:$I$604,5,0),"NOT BILLED")</f>
        <v>Jan</v>
      </c>
      <c r="J269" s="46" t="str">
        <f t="shared" si="9"/>
        <v>PASS</v>
      </c>
    </row>
    <row r="270" spans="2:10" x14ac:dyDescent="0.5">
      <c r="B270" s="46" t="s">
        <v>1280</v>
      </c>
      <c r="C270" s="46" t="s">
        <v>40</v>
      </c>
      <c r="D270" s="47">
        <v>1</v>
      </c>
      <c r="E270" s="48" t="s">
        <v>1481</v>
      </c>
      <c r="F270" s="30" t="str">
        <f t="shared" si="8"/>
        <v>Completed</v>
      </c>
      <c r="G270" s="46" t="s">
        <v>1324</v>
      </c>
      <c r="I270" s="46" t="str">
        <f>IFERROR(VLOOKUP(B270,'Test 1,2'!$E$4:$I$604,5,0),"NOT BILLED")</f>
        <v>Mar</v>
      </c>
      <c r="J270" s="46" t="str">
        <f t="shared" si="9"/>
        <v>PASS</v>
      </c>
    </row>
    <row r="271" spans="2:10" x14ac:dyDescent="0.5">
      <c r="B271" s="46" t="s">
        <v>1268</v>
      </c>
      <c r="C271" s="46" t="s">
        <v>293</v>
      </c>
      <c r="D271" s="47">
        <v>1</v>
      </c>
      <c r="E271" s="48" t="s">
        <v>1482</v>
      </c>
      <c r="F271" s="30" t="str">
        <f t="shared" si="8"/>
        <v>Completed</v>
      </c>
      <c r="G271" s="46" t="s">
        <v>1324</v>
      </c>
      <c r="I271" s="46" t="str">
        <f>IFERROR(VLOOKUP(B271,'Test 1,2'!$E$4:$I$604,5,0),"NOT BILLED")</f>
        <v>Mar</v>
      </c>
      <c r="J271" s="46" t="str">
        <f t="shared" si="9"/>
        <v>PASS</v>
      </c>
    </row>
    <row r="272" spans="2:10" x14ac:dyDescent="0.5">
      <c r="B272" s="46" t="s">
        <v>1130</v>
      </c>
      <c r="C272" s="46" t="s">
        <v>269</v>
      </c>
      <c r="D272" s="47">
        <v>1</v>
      </c>
      <c r="E272" s="48" t="s">
        <v>1482</v>
      </c>
      <c r="F272" s="30" t="str">
        <f t="shared" si="8"/>
        <v>Completed</v>
      </c>
      <c r="G272" s="46" t="s">
        <v>1324</v>
      </c>
      <c r="I272" s="46" t="str">
        <f>IFERROR(VLOOKUP(B272,'Test 1,2'!$E$4:$I$604,5,0),"NOT BILLED")</f>
        <v>Dec</v>
      </c>
      <c r="J272" s="46" t="str">
        <f t="shared" si="9"/>
        <v>PASS</v>
      </c>
    </row>
    <row r="273" spans="2:10" x14ac:dyDescent="0.5">
      <c r="B273" s="46" t="s">
        <v>464</v>
      </c>
      <c r="C273" s="46" t="s">
        <v>22</v>
      </c>
      <c r="D273" s="47">
        <v>1</v>
      </c>
      <c r="E273" s="48" t="s">
        <v>1482</v>
      </c>
      <c r="F273" s="30" t="str">
        <f t="shared" si="8"/>
        <v>Completed</v>
      </c>
      <c r="G273" s="46" t="s">
        <v>1324</v>
      </c>
      <c r="I273" s="46" t="str">
        <f>IFERROR(VLOOKUP(B273,'Test 1,2'!$E$4:$I$604,5,0),"NOT BILLED")</f>
        <v>Oct</v>
      </c>
      <c r="J273" s="46" t="str">
        <f t="shared" si="9"/>
        <v>PASS</v>
      </c>
    </row>
    <row r="274" spans="2:10" x14ac:dyDescent="0.5">
      <c r="B274" s="46" t="s">
        <v>1142</v>
      </c>
      <c r="C274" s="46" t="s">
        <v>15</v>
      </c>
      <c r="D274" s="47">
        <v>1</v>
      </c>
      <c r="E274" s="48" t="s">
        <v>1481</v>
      </c>
      <c r="F274" s="30" t="str">
        <f t="shared" si="8"/>
        <v>Completed</v>
      </c>
      <c r="G274" s="46" t="s">
        <v>1324</v>
      </c>
      <c r="I274" s="46" t="str">
        <f>IFERROR(VLOOKUP(B274,'Test 1,2'!$E$4:$I$604,5,0),"NOT BILLED")</f>
        <v>Dec</v>
      </c>
      <c r="J274" s="46" t="str">
        <f t="shared" si="9"/>
        <v>PASS</v>
      </c>
    </row>
    <row r="275" spans="2:10" x14ac:dyDescent="0.5">
      <c r="B275" s="46" t="s">
        <v>825</v>
      </c>
      <c r="C275" s="46" t="s">
        <v>308</v>
      </c>
      <c r="D275" s="47">
        <v>1</v>
      </c>
      <c r="E275" s="48" t="s">
        <v>1481</v>
      </c>
      <c r="F275" s="30" t="str">
        <f t="shared" si="8"/>
        <v>Completed</v>
      </c>
      <c r="G275" s="46" t="s">
        <v>1324</v>
      </c>
      <c r="I275" s="46" t="str">
        <f>IFERROR(VLOOKUP(B275,'Test 1,2'!$E$4:$I$604,5,0),"NOT BILLED")</f>
        <v>Jul</v>
      </c>
      <c r="J275" s="46" t="str">
        <f t="shared" si="9"/>
        <v>PASS</v>
      </c>
    </row>
    <row r="276" spans="2:10" x14ac:dyDescent="0.5">
      <c r="B276" s="46" t="s">
        <v>501</v>
      </c>
      <c r="C276" s="46" t="s">
        <v>60</v>
      </c>
      <c r="D276" s="47">
        <v>1</v>
      </c>
      <c r="E276" s="48" t="s">
        <v>1482</v>
      </c>
      <c r="F276" s="30" t="str">
        <f t="shared" si="8"/>
        <v>Completed</v>
      </c>
      <c r="G276" s="46" t="s">
        <v>1324</v>
      </c>
      <c r="I276" s="46" t="str">
        <f>IFERROR(VLOOKUP(B276,'Test 1,2'!$E$4:$I$604,5,0),"NOT BILLED")</f>
        <v>Jan</v>
      </c>
      <c r="J276" s="46" t="str">
        <f t="shared" si="9"/>
        <v>PASS</v>
      </c>
    </row>
    <row r="277" spans="2:10" x14ac:dyDescent="0.5">
      <c r="B277" s="46" t="s">
        <v>1034</v>
      </c>
      <c r="C277" s="46" t="s">
        <v>577</v>
      </c>
      <c r="D277" s="47">
        <v>1</v>
      </c>
      <c r="E277" s="48" t="s">
        <v>1481</v>
      </c>
      <c r="F277" s="30" t="str">
        <f t="shared" si="8"/>
        <v>Completed</v>
      </c>
      <c r="G277" s="46" t="s">
        <v>1325</v>
      </c>
      <c r="I277" s="46" t="str">
        <f>IFERROR(VLOOKUP(B277,'Test 1,2'!$E$4:$I$604,5,0),"NOT BILLED")</f>
        <v>Nov</v>
      </c>
      <c r="J277" s="46" t="str">
        <f t="shared" si="9"/>
        <v>PASS</v>
      </c>
    </row>
    <row r="278" spans="2:10" x14ac:dyDescent="0.5">
      <c r="B278" s="46" t="s">
        <v>1228</v>
      </c>
      <c r="C278" s="46" t="s">
        <v>262</v>
      </c>
      <c r="D278" s="47">
        <v>1</v>
      </c>
      <c r="E278" s="48" t="s">
        <v>1482</v>
      </c>
      <c r="F278" s="30" t="str">
        <f t="shared" si="8"/>
        <v>Completed</v>
      </c>
      <c r="G278" s="46" t="s">
        <v>1324</v>
      </c>
      <c r="I278" s="46" t="str">
        <f>IFERROR(VLOOKUP(B278,'Test 1,2'!$E$4:$I$604,5,0),"NOT BILLED")</f>
        <v>Feb</v>
      </c>
      <c r="J278" s="46" t="str">
        <f t="shared" si="9"/>
        <v>PASS</v>
      </c>
    </row>
    <row r="279" spans="2:10" x14ac:dyDescent="0.5">
      <c r="B279" s="46" t="s">
        <v>493</v>
      </c>
      <c r="C279" s="46" t="s">
        <v>40</v>
      </c>
      <c r="D279" s="47">
        <v>1</v>
      </c>
      <c r="E279" s="48" t="s">
        <v>1482</v>
      </c>
      <c r="F279" s="30" t="str">
        <f t="shared" si="8"/>
        <v>Completed</v>
      </c>
      <c r="G279" s="46" t="s">
        <v>1324</v>
      </c>
      <c r="I279" s="46" t="str">
        <f>IFERROR(VLOOKUP(B279,'Test 1,2'!$E$4:$I$604,5,0),"NOT BILLED")</f>
        <v>Dec</v>
      </c>
      <c r="J279" s="46" t="str">
        <f t="shared" si="9"/>
        <v>PASS</v>
      </c>
    </row>
    <row r="280" spans="2:10" x14ac:dyDescent="0.5">
      <c r="B280" s="46" t="s">
        <v>607</v>
      </c>
      <c r="C280" s="46" t="s">
        <v>608</v>
      </c>
      <c r="D280" s="47">
        <v>1</v>
      </c>
      <c r="E280" s="48" t="s">
        <v>1481</v>
      </c>
      <c r="F280" s="30" t="str">
        <f t="shared" si="8"/>
        <v>Completed</v>
      </c>
      <c r="G280" s="46" t="s">
        <v>1324</v>
      </c>
      <c r="I280" s="46" t="str">
        <f>IFERROR(VLOOKUP(B280,'Test 1,2'!$E$4:$I$604,5,0),"NOT BILLED")</f>
        <v>Mar</v>
      </c>
      <c r="J280" s="46" t="str">
        <f t="shared" si="9"/>
        <v>PASS</v>
      </c>
    </row>
    <row r="281" spans="2:10" x14ac:dyDescent="0.5">
      <c r="B281" s="46" t="s">
        <v>1230</v>
      </c>
      <c r="C281" s="46" t="s">
        <v>143</v>
      </c>
      <c r="D281" s="47">
        <v>1</v>
      </c>
      <c r="E281" s="48" t="s">
        <v>1481</v>
      </c>
      <c r="F281" s="30" t="str">
        <f t="shared" si="8"/>
        <v>Completed</v>
      </c>
      <c r="G281" s="46" t="s">
        <v>1324</v>
      </c>
      <c r="I281" s="46" t="str">
        <f>IFERROR(VLOOKUP(B281,'Test 1,2'!$E$4:$I$604,5,0),"NOT BILLED")</f>
        <v>Feb</v>
      </c>
      <c r="J281" s="46" t="str">
        <f t="shared" si="9"/>
        <v>PASS</v>
      </c>
    </row>
    <row r="282" spans="2:10" x14ac:dyDescent="0.5">
      <c r="B282" s="46" t="s">
        <v>331</v>
      </c>
      <c r="C282" s="46" t="s">
        <v>332</v>
      </c>
      <c r="D282" s="47">
        <v>1</v>
      </c>
      <c r="E282" s="48" t="s">
        <v>1481</v>
      </c>
      <c r="F282" s="30" t="str">
        <f t="shared" si="8"/>
        <v>Completed</v>
      </c>
      <c r="G282" s="46" t="s">
        <v>1324</v>
      </c>
      <c r="I282" s="46" t="str">
        <f>IFERROR(VLOOKUP(B282,'Test 1,2'!$E$4:$I$604,5,0),"NOT BILLED")</f>
        <v>Sep</v>
      </c>
      <c r="J282" s="46" t="str">
        <f t="shared" si="9"/>
        <v>PASS</v>
      </c>
    </row>
    <row r="283" spans="2:10" x14ac:dyDescent="0.5">
      <c r="B283" s="46" t="s">
        <v>636</v>
      </c>
      <c r="C283" s="46" t="s">
        <v>229</v>
      </c>
      <c r="D283" s="47">
        <v>1</v>
      </c>
      <c r="E283" s="48" t="s">
        <v>1481</v>
      </c>
      <c r="F283" s="30" t="str">
        <f t="shared" si="8"/>
        <v>Completed</v>
      </c>
      <c r="G283" s="46" t="s">
        <v>1324</v>
      </c>
      <c r="I283" s="46" t="str">
        <f>IFERROR(VLOOKUP(B283,'Test 1,2'!$E$4:$I$604,5,0),"NOT BILLED")</f>
        <v>Apr</v>
      </c>
      <c r="J283" s="46" t="str">
        <f t="shared" si="9"/>
        <v>PASS</v>
      </c>
    </row>
    <row r="284" spans="2:10" x14ac:dyDescent="0.5">
      <c r="B284" s="46" t="s">
        <v>209</v>
      </c>
      <c r="C284" s="46" t="s">
        <v>195</v>
      </c>
      <c r="D284" s="47">
        <v>1</v>
      </c>
      <c r="E284" s="48" t="s">
        <v>1482</v>
      </c>
      <c r="F284" s="30" t="str">
        <f t="shared" si="8"/>
        <v>Completed</v>
      </c>
      <c r="G284" s="46" t="s">
        <v>1324</v>
      </c>
      <c r="I284" s="46" t="str">
        <f>IFERROR(VLOOKUP(B284,'Test 1,2'!$E$4:$I$604,5,0),"NOT BILLED")</f>
        <v>Jun</v>
      </c>
      <c r="J284" s="46" t="str">
        <f t="shared" si="9"/>
        <v>PASS</v>
      </c>
    </row>
    <row r="285" spans="2:10" x14ac:dyDescent="0.5">
      <c r="B285" s="46" t="s">
        <v>553</v>
      </c>
      <c r="C285" s="46" t="s">
        <v>293</v>
      </c>
      <c r="D285" s="47">
        <v>1</v>
      </c>
      <c r="E285" s="48" t="s">
        <v>1481</v>
      </c>
      <c r="F285" s="30" t="str">
        <f t="shared" si="8"/>
        <v>Completed</v>
      </c>
      <c r="G285" s="46" t="s">
        <v>1325</v>
      </c>
      <c r="I285" s="46" t="str">
        <f>IFERROR(VLOOKUP(B285,'Test 1,2'!$E$4:$I$604,5,0),"NOT BILLED")</f>
        <v>Feb</v>
      </c>
      <c r="J285" s="46" t="str">
        <f t="shared" si="9"/>
        <v>PASS</v>
      </c>
    </row>
    <row r="286" spans="2:10" x14ac:dyDescent="0.5">
      <c r="B286" s="46" t="s">
        <v>211</v>
      </c>
      <c r="C286" s="46" t="s">
        <v>203</v>
      </c>
      <c r="D286" s="47">
        <v>1</v>
      </c>
      <c r="E286" s="48" t="s">
        <v>1482</v>
      </c>
      <c r="F286" s="30" t="str">
        <f t="shared" si="8"/>
        <v>Completed</v>
      </c>
      <c r="G286" s="46" t="s">
        <v>1324</v>
      </c>
      <c r="I286" s="46" t="str">
        <f>IFERROR(VLOOKUP(B286,'Test 1,2'!$E$4:$I$604,5,0),"NOT BILLED")</f>
        <v>Jun</v>
      </c>
      <c r="J286" s="46" t="str">
        <f t="shared" si="9"/>
        <v>PASS</v>
      </c>
    </row>
    <row r="287" spans="2:10" x14ac:dyDescent="0.5">
      <c r="B287" s="46" t="s">
        <v>716</v>
      </c>
      <c r="C287" s="46" t="s">
        <v>57</v>
      </c>
      <c r="D287" s="47">
        <v>1</v>
      </c>
      <c r="E287" s="48" t="s">
        <v>1482</v>
      </c>
      <c r="F287" s="30" t="str">
        <f t="shared" si="8"/>
        <v>Completed</v>
      </c>
      <c r="G287" s="46" t="s">
        <v>1324</v>
      </c>
      <c r="I287" s="46" t="str">
        <f>IFERROR(VLOOKUP(B287,'Test 1,2'!$E$4:$I$604,5,0),"NOT BILLED")</f>
        <v>May</v>
      </c>
      <c r="J287" s="46" t="str">
        <f t="shared" si="9"/>
        <v>PASS</v>
      </c>
    </row>
    <row r="288" spans="2:10" x14ac:dyDescent="0.5">
      <c r="B288" s="46" t="s">
        <v>853</v>
      </c>
      <c r="C288" s="46" t="s">
        <v>103</v>
      </c>
      <c r="D288" s="47">
        <v>1</v>
      </c>
      <c r="E288" s="48" t="s">
        <v>1481</v>
      </c>
      <c r="F288" s="30" t="str">
        <f t="shared" si="8"/>
        <v>Completed</v>
      </c>
      <c r="G288" s="46" t="s">
        <v>1325</v>
      </c>
      <c r="I288" s="46" t="str">
        <f>IFERROR(VLOOKUP(B288,'Test 1,2'!$E$4:$I$604,5,0),"NOT BILLED")</f>
        <v>Jul</v>
      </c>
      <c r="J288" s="46" t="str">
        <f t="shared" si="9"/>
        <v>PASS</v>
      </c>
    </row>
    <row r="289" spans="2:10" x14ac:dyDescent="0.5">
      <c r="B289" s="46" t="s">
        <v>485</v>
      </c>
      <c r="C289" s="46" t="s">
        <v>308</v>
      </c>
      <c r="D289" s="47">
        <v>1</v>
      </c>
      <c r="E289" s="48" t="s">
        <v>1481</v>
      </c>
      <c r="F289" s="30" t="str">
        <f t="shared" si="8"/>
        <v>Completed</v>
      </c>
      <c r="G289" s="46" t="s">
        <v>1324</v>
      </c>
      <c r="I289" s="46" t="str">
        <f>IFERROR(VLOOKUP(B289,'Test 1,2'!$E$4:$I$604,5,0),"NOT BILLED")</f>
        <v>Dec</v>
      </c>
      <c r="J289" s="46" t="str">
        <f t="shared" si="9"/>
        <v>PASS</v>
      </c>
    </row>
    <row r="290" spans="2:10" x14ac:dyDescent="0.5">
      <c r="B290" s="46" t="s">
        <v>869</v>
      </c>
      <c r="C290" s="46" t="s">
        <v>35</v>
      </c>
      <c r="D290" s="47">
        <v>1</v>
      </c>
      <c r="E290" s="48" t="s">
        <v>1482</v>
      </c>
      <c r="F290" s="30" t="str">
        <f t="shared" si="8"/>
        <v>Completed</v>
      </c>
      <c r="G290" s="46" t="s">
        <v>1325</v>
      </c>
      <c r="I290" s="46" t="str">
        <f>IFERROR(VLOOKUP(B290,'Test 1,2'!$E$4:$I$604,5,0),"NOT BILLED")</f>
        <v>Jul</v>
      </c>
      <c r="J290" s="46" t="str">
        <f t="shared" si="9"/>
        <v>PASS</v>
      </c>
    </row>
    <row r="291" spans="2:10" x14ac:dyDescent="0.5">
      <c r="B291" s="46" t="s">
        <v>249</v>
      </c>
      <c r="C291" s="46" t="s">
        <v>131</v>
      </c>
      <c r="D291" s="47">
        <v>1</v>
      </c>
      <c r="E291" s="48" t="s">
        <v>1482</v>
      </c>
      <c r="F291" s="30" t="str">
        <f t="shared" si="8"/>
        <v>Completed</v>
      </c>
      <c r="G291" s="46" t="s">
        <v>1324</v>
      </c>
      <c r="I291" s="46" t="str">
        <f>IFERROR(VLOOKUP(B291,'Test 1,2'!$E$4:$I$604,5,0),"NOT BILLED")</f>
        <v>Jul</v>
      </c>
      <c r="J291" s="46" t="str">
        <f t="shared" si="9"/>
        <v>PASS</v>
      </c>
    </row>
    <row r="292" spans="2:10" x14ac:dyDescent="0.5">
      <c r="B292" s="46" t="s">
        <v>430</v>
      </c>
      <c r="C292" s="46" t="s">
        <v>269</v>
      </c>
      <c r="D292" s="47">
        <v>1</v>
      </c>
      <c r="E292" s="48" t="s">
        <v>1481</v>
      </c>
      <c r="F292" s="30" t="str">
        <f t="shared" si="8"/>
        <v>Completed</v>
      </c>
      <c r="G292" s="46" t="s">
        <v>1324</v>
      </c>
      <c r="I292" s="46" t="str">
        <f>IFERROR(VLOOKUP(B292,'Test 1,2'!$E$4:$I$604,5,0),"NOT BILLED")</f>
        <v>Nov</v>
      </c>
      <c r="J292" s="46" t="str">
        <f t="shared" si="9"/>
        <v>PASS</v>
      </c>
    </row>
    <row r="293" spans="2:10" x14ac:dyDescent="0.5">
      <c r="B293" s="46" t="s">
        <v>1188</v>
      </c>
      <c r="C293" s="46" t="s">
        <v>92</v>
      </c>
      <c r="D293" s="47">
        <v>1</v>
      </c>
      <c r="E293" s="48" t="s">
        <v>1481</v>
      </c>
      <c r="F293" s="30" t="str">
        <f t="shared" si="8"/>
        <v>Completed</v>
      </c>
      <c r="G293" s="46" t="s">
        <v>1324</v>
      </c>
      <c r="I293" s="46" t="str">
        <f>IFERROR(VLOOKUP(B293,'Test 1,2'!$E$4:$I$604,5,0),"NOT BILLED")</f>
        <v>Jan</v>
      </c>
      <c r="J293" s="46" t="str">
        <f t="shared" si="9"/>
        <v>PASS</v>
      </c>
    </row>
    <row r="294" spans="2:10" x14ac:dyDescent="0.5">
      <c r="B294" s="46" t="s">
        <v>561</v>
      </c>
      <c r="C294" s="46" t="s">
        <v>153</v>
      </c>
      <c r="D294" s="47">
        <v>1</v>
      </c>
      <c r="E294" s="48" t="s">
        <v>1481</v>
      </c>
      <c r="F294" s="30" t="str">
        <f t="shared" si="8"/>
        <v>Completed</v>
      </c>
      <c r="G294" s="46" t="s">
        <v>1324</v>
      </c>
      <c r="I294" s="46" t="str">
        <f>IFERROR(VLOOKUP(B294,'Test 1,2'!$E$4:$I$604,5,0),"NOT BILLED")</f>
        <v>Feb</v>
      </c>
      <c r="J294" s="46" t="str">
        <f t="shared" si="9"/>
        <v>PASS</v>
      </c>
    </row>
    <row r="295" spans="2:10" x14ac:dyDescent="0.5">
      <c r="B295" s="46" t="s">
        <v>904</v>
      </c>
      <c r="C295" s="46" t="s">
        <v>84</v>
      </c>
      <c r="D295" s="47">
        <v>1</v>
      </c>
      <c r="E295" s="48" t="s">
        <v>1482</v>
      </c>
      <c r="F295" s="30" t="str">
        <f t="shared" si="8"/>
        <v>Completed</v>
      </c>
      <c r="G295" s="46" t="s">
        <v>1324</v>
      </c>
      <c r="I295" s="46" t="str">
        <f>IFERROR(VLOOKUP(B295,'Test 1,2'!$E$4:$I$604,5,0),"NOT BILLED")</f>
        <v>Aug</v>
      </c>
      <c r="J295" s="46" t="str">
        <f t="shared" si="9"/>
        <v>PASS</v>
      </c>
    </row>
    <row r="296" spans="2:10" x14ac:dyDescent="0.5">
      <c r="B296" s="46" t="s">
        <v>1232</v>
      </c>
      <c r="C296" s="46" t="s">
        <v>577</v>
      </c>
      <c r="D296" s="47">
        <v>1</v>
      </c>
      <c r="E296" s="48" t="s">
        <v>1481</v>
      </c>
      <c r="F296" s="30" t="str">
        <f t="shared" si="8"/>
        <v>Completed</v>
      </c>
      <c r="G296" s="46" t="s">
        <v>1324</v>
      </c>
      <c r="I296" s="46" t="str">
        <f>IFERROR(VLOOKUP(B296,'Test 1,2'!$E$4:$I$604,5,0),"NOT BILLED")</f>
        <v>Feb</v>
      </c>
      <c r="J296" s="46" t="str">
        <f t="shared" si="9"/>
        <v>PASS</v>
      </c>
    </row>
    <row r="297" spans="2:10" x14ac:dyDescent="0.5">
      <c r="B297" s="46" t="s">
        <v>922</v>
      </c>
      <c r="C297" s="46" t="s">
        <v>45</v>
      </c>
      <c r="D297" s="47">
        <v>1</v>
      </c>
      <c r="E297" s="48" t="s">
        <v>1481</v>
      </c>
      <c r="F297" s="30" t="str">
        <f t="shared" si="8"/>
        <v>Completed</v>
      </c>
      <c r="G297" s="46" t="s">
        <v>1324</v>
      </c>
      <c r="I297" s="46" t="str">
        <f>IFERROR(VLOOKUP(B297,'Test 1,2'!$E$4:$I$604,5,0),"NOT BILLED")</f>
        <v>Aug</v>
      </c>
      <c r="J297" s="46" t="str">
        <f t="shared" si="9"/>
        <v>PASS</v>
      </c>
    </row>
    <row r="298" spans="2:10" x14ac:dyDescent="0.5">
      <c r="B298" s="46" t="s">
        <v>314</v>
      </c>
      <c r="C298" s="46" t="s">
        <v>103</v>
      </c>
      <c r="D298" s="47">
        <v>1</v>
      </c>
      <c r="E298" s="48" t="s">
        <v>1482</v>
      </c>
      <c r="F298" s="30" t="str">
        <f t="shared" si="8"/>
        <v>Completed</v>
      </c>
      <c r="G298" s="46" t="s">
        <v>1324</v>
      </c>
      <c r="I298" s="46" t="str">
        <f>IFERROR(VLOOKUP(B298,'Test 1,2'!$E$4:$I$604,5,0),"NOT BILLED")</f>
        <v>Aug</v>
      </c>
      <c r="J298" s="46" t="str">
        <f t="shared" si="9"/>
        <v>PASS</v>
      </c>
    </row>
    <row r="299" spans="2:10" x14ac:dyDescent="0.5">
      <c r="B299" s="46" t="s">
        <v>739</v>
      </c>
      <c r="C299" s="46" t="s">
        <v>308</v>
      </c>
      <c r="D299" s="47">
        <v>1</v>
      </c>
      <c r="E299" s="48" t="s">
        <v>1481</v>
      </c>
      <c r="F299" s="30" t="str">
        <f t="shared" si="8"/>
        <v>Completed</v>
      </c>
      <c r="G299" s="46" t="s">
        <v>1324</v>
      </c>
      <c r="I299" s="46" t="str">
        <f>IFERROR(VLOOKUP(B299,'Test 1,2'!$E$4:$I$604,5,0),"NOT BILLED")</f>
        <v>May</v>
      </c>
      <c r="J299" s="46" t="str">
        <f t="shared" si="9"/>
        <v>PASS</v>
      </c>
    </row>
    <row r="300" spans="2:10" x14ac:dyDescent="0.5">
      <c r="B300" s="46" t="s">
        <v>1176</v>
      </c>
      <c r="C300" s="46" t="s">
        <v>67</v>
      </c>
      <c r="D300" s="47">
        <v>1</v>
      </c>
      <c r="E300" s="48" t="s">
        <v>1482</v>
      </c>
      <c r="F300" s="30" t="str">
        <f t="shared" si="8"/>
        <v>Completed</v>
      </c>
      <c r="G300" s="46" t="s">
        <v>1324</v>
      </c>
      <c r="I300" s="46" t="str">
        <f>IFERROR(VLOOKUP(B300,'Test 1,2'!$E$4:$I$604,5,0),"NOT BILLED")</f>
        <v>Jan</v>
      </c>
      <c r="J300" s="46" t="str">
        <f t="shared" si="9"/>
        <v>PASS</v>
      </c>
    </row>
    <row r="301" spans="2:10" x14ac:dyDescent="0.5">
      <c r="B301" s="46" t="s">
        <v>1002</v>
      </c>
      <c r="C301" s="46" t="s">
        <v>67</v>
      </c>
      <c r="D301" s="47">
        <v>1</v>
      </c>
      <c r="E301" s="48" t="s">
        <v>1482</v>
      </c>
      <c r="F301" s="30" t="str">
        <f t="shared" si="8"/>
        <v>Completed</v>
      </c>
      <c r="G301" s="46" t="s">
        <v>1324</v>
      </c>
      <c r="I301" s="46" t="str">
        <f>IFERROR(VLOOKUP(B301,'Test 1,2'!$E$4:$I$604,5,0),"NOT BILLED")</f>
        <v>Oct</v>
      </c>
      <c r="J301" s="46" t="str">
        <f t="shared" si="9"/>
        <v>PASS</v>
      </c>
    </row>
    <row r="302" spans="2:10" x14ac:dyDescent="0.5">
      <c r="B302" s="46" t="s">
        <v>1272</v>
      </c>
      <c r="C302" s="46" t="s">
        <v>40</v>
      </c>
      <c r="D302" s="47">
        <v>1</v>
      </c>
      <c r="E302" s="48" t="s">
        <v>1482</v>
      </c>
      <c r="F302" s="30" t="str">
        <f t="shared" si="8"/>
        <v>Completed</v>
      </c>
      <c r="G302" s="46" t="s">
        <v>1324</v>
      </c>
      <c r="I302" s="46" t="str">
        <f>IFERROR(VLOOKUP(B302,'Test 1,2'!$E$4:$I$604,5,0),"NOT BILLED")</f>
        <v>Mar</v>
      </c>
      <c r="J302" s="46" t="str">
        <f t="shared" si="9"/>
        <v>PASS</v>
      </c>
    </row>
    <row r="303" spans="2:10" x14ac:dyDescent="0.5">
      <c r="B303" s="46" t="s">
        <v>417</v>
      </c>
      <c r="C303" s="46" t="s">
        <v>128</v>
      </c>
      <c r="D303" s="47">
        <v>1</v>
      </c>
      <c r="E303" s="48" t="s">
        <v>1482</v>
      </c>
      <c r="F303" s="30" t="str">
        <f t="shared" si="8"/>
        <v>Completed</v>
      </c>
      <c r="G303" s="46" t="s">
        <v>1324</v>
      </c>
      <c r="I303" s="46" t="str">
        <f>IFERROR(VLOOKUP(B303,'Test 1,2'!$E$4:$I$604,5,0),"NOT BILLED")</f>
        <v>Oct</v>
      </c>
      <c r="J303" s="46" t="str">
        <f t="shared" si="9"/>
        <v>PASS</v>
      </c>
    </row>
    <row r="304" spans="2:10" x14ac:dyDescent="0.5">
      <c r="B304" s="46" t="s">
        <v>1212</v>
      </c>
      <c r="C304" s="46" t="s">
        <v>125</v>
      </c>
      <c r="D304" s="47">
        <v>1</v>
      </c>
      <c r="E304" s="48" t="s">
        <v>1481</v>
      </c>
      <c r="F304" s="30" t="str">
        <f t="shared" si="8"/>
        <v>Completed</v>
      </c>
      <c r="G304" s="46" t="s">
        <v>1324</v>
      </c>
      <c r="I304" s="46" t="str">
        <f>IFERROR(VLOOKUP(B304,'Test 1,2'!$E$4:$I$604,5,0),"NOT BILLED")</f>
        <v>Feb</v>
      </c>
      <c r="J304" s="46" t="str">
        <f t="shared" si="9"/>
        <v>PASS</v>
      </c>
    </row>
    <row r="305" spans="2:10" x14ac:dyDescent="0.5">
      <c r="B305" s="46" t="s">
        <v>205</v>
      </c>
      <c r="C305" s="46" t="s">
        <v>50</v>
      </c>
      <c r="D305" s="47">
        <v>1</v>
      </c>
      <c r="E305" s="48" t="s">
        <v>1482</v>
      </c>
      <c r="F305" s="30" t="str">
        <f t="shared" si="8"/>
        <v>Completed</v>
      </c>
      <c r="G305" s="46" t="s">
        <v>1324</v>
      </c>
      <c r="I305" s="46" t="str">
        <f>IFERROR(VLOOKUP(B305,'Test 1,2'!$E$4:$I$604,5,0),"NOT BILLED")</f>
        <v>Jun</v>
      </c>
      <c r="J305" s="46" t="str">
        <f t="shared" si="9"/>
        <v>PASS</v>
      </c>
    </row>
    <row r="306" spans="2:10" x14ac:dyDescent="0.5">
      <c r="B306" s="46" t="s">
        <v>612</v>
      </c>
      <c r="C306" s="46" t="s">
        <v>143</v>
      </c>
      <c r="D306" s="47">
        <v>1</v>
      </c>
      <c r="E306" s="48" t="s">
        <v>1482</v>
      </c>
      <c r="F306" s="30" t="str">
        <f t="shared" si="8"/>
        <v>Completed</v>
      </c>
      <c r="G306" s="46" t="s">
        <v>1324</v>
      </c>
      <c r="I306" s="46" t="str">
        <f>IFERROR(VLOOKUP(B306,'Test 1,2'!$E$4:$I$604,5,0),"NOT BILLED")</f>
        <v>Mar</v>
      </c>
      <c r="J306" s="46" t="str">
        <f t="shared" si="9"/>
        <v>PASS</v>
      </c>
    </row>
    <row r="307" spans="2:10" x14ac:dyDescent="0.5">
      <c r="B307" s="46" t="s">
        <v>102</v>
      </c>
      <c r="C307" s="46" t="s">
        <v>103</v>
      </c>
      <c r="D307" s="47">
        <v>1</v>
      </c>
      <c r="E307" s="48" t="s">
        <v>1481</v>
      </c>
      <c r="F307" s="30" t="str">
        <f t="shared" si="8"/>
        <v>Completed</v>
      </c>
      <c r="G307" s="46" t="s">
        <v>1324</v>
      </c>
      <c r="I307" s="46" t="str">
        <f>IFERROR(VLOOKUP(B307,'Test 1,2'!$E$4:$I$604,5,0),"NOT BILLED")</f>
        <v>May</v>
      </c>
      <c r="J307" s="46" t="str">
        <f t="shared" si="9"/>
        <v>PASS</v>
      </c>
    </row>
    <row r="308" spans="2:10" x14ac:dyDescent="0.5">
      <c r="B308" s="46" t="s">
        <v>910</v>
      </c>
      <c r="C308" s="46" t="s">
        <v>143</v>
      </c>
      <c r="D308" s="47">
        <v>1</v>
      </c>
      <c r="E308" s="48" t="s">
        <v>1481</v>
      </c>
      <c r="F308" s="30" t="str">
        <f t="shared" si="8"/>
        <v>Completed</v>
      </c>
      <c r="G308" s="46" t="s">
        <v>1324</v>
      </c>
      <c r="I308" s="46" t="str">
        <f>IFERROR(VLOOKUP(B308,'Test 1,2'!$E$4:$I$604,5,0),"NOT BILLED")</f>
        <v>Jun</v>
      </c>
      <c r="J308" s="46" t="str">
        <f t="shared" si="9"/>
        <v>PASS</v>
      </c>
    </row>
    <row r="309" spans="2:10" x14ac:dyDescent="0.5">
      <c r="B309" s="46" t="s">
        <v>281</v>
      </c>
      <c r="C309" s="46" t="s">
        <v>87</v>
      </c>
      <c r="D309" s="47">
        <v>1</v>
      </c>
      <c r="E309" s="48" t="s">
        <v>1482</v>
      </c>
      <c r="F309" s="30" t="str">
        <f t="shared" si="8"/>
        <v>Completed</v>
      </c>
      <c r="G309" s="46" t="s">
        <v>1324</v>
      </c>
      <c r="I309" s="46" t="str">
        <f>IFERROR(VLOOKUP(B309,'Test 1,2'!$E$4:$I$604,5,0),"NOT BILLED")</f>
        <v>Aug</v>
      </c>
      <c r="J309" s="46" t="str">
        <f t="shared" si="9"/>
        <v>PASS</v>
      </c>
    </row>
    <row r="310" spans="2:10" x14ac:dyDescent="0.5">
      <c r="B310" s="46" t="s">
        <v>777</v>
      </c>
      <c r="C310" s="46" t="s">
        <v>67</v>
      </c>
      <c r="D310" s="47">
        <v>1</v>
      </c>
      <c r="E310" s="48" t="s">
        <v>1482</v>
      </c>
      <c r="F310" s="30" t="str">
        <f t="shared" si="8"/>
        <v>Completed</v>
      </c>
      <c r="G310" s="46" t="s">
        <v>1324</v>
      </c>
      <c r="I310" s="46" t="str">
        <f>IFERROR(VLOOKUP(B310,'Test 1,2'!$E$4:$I$604,5,0),"NOT BILLED")</f>
        <v>Jun</v>
      </c>
      <c r="J310" s="46" t="str">
        <f t="shared" si="9"/>
        <v>PASS</v>
      </c>
    </row>
    <row r="311" spans="2:10" x14ac:dyDescent="0.5">
      <c r="B311" s="46" t="s">
        <v>947</v>
      </c>
      <c r="C311" s="46" t="s">
        <v>229</v>
      </c>
      <c r="D311" s="47">
        <v>1</v>
      </c>
      <c r="E311" s="48" t="s">
        <v>1482</v>
      </c>
      <c r="F311" s="30" t="str">
        <f t="shared" si="8"/>
        <v>Completed</v>
      </c>
      <c r="G311" s="46" t="s">
        <v>1324</v>
      </c>
      <c r="I311" s="46" t="str">
        <f>IFERROR(VLOOKUP(B311,'Test 1,2'!$E$4:$I$604,5,0),"NOT BILLED")</f>
        <v>Aug</v>
      </c>
      <c r="J311" s="46" t="str">
        <f t="shared" si="9"/>
        <v>PASS</v>
      </c>
    </row>
    <row r="312" spans="2:10" x14ac:dyDescent="0.5">
      <c r="B312" s="46" t="s">
        <v>694</v>
      </c>
      <c r="C312" s="46" t="s">
        <v>119</v>
      </c>
      <c r="D312" s="47">
        <v>1</v>
      </c>
      <c r="E312" s="48" t="s">
        <v>1481</v>
      </c>
      <c r="F312" s="30" t="str">
        <f t="shared" si="8"/>
        <v>Completed</v>
      </c>
      <c r="G312" s="46" t="s">
        <v>1324</v>
      </c>
      <c r="I312" s="46" t="str">
        <f>IFERROR(VLOOKUP(B312,'Test 1,2'!$E$4:$I$604,5,0),"NOT BILLED")</f>
        <v>May</v>
      </c>
      <c r="J312" s="46" t="str">
        <f t="shared" si="9"/>
        <v>PASS</v>
      </c>
    </row>
    <row r="313" spans="2:10" x14ac:dyDescent="0.5">
      <c r="B313" s="46" t="s">
        <v>1276</v>
      </c>
      <c r="C313" s="46" t="s">
        <v>92</v>
      </c>
      <c r="D313" s="47">
        <v>1</v>
      </c>
      <c r="E313" s="48" t="s">
        <v>1481</v>
      </c>
      <c r="F313" s="30" t="str">
        <f t="shared" si="8"/>
        <v>Completed</v>
      </c>
      <c r="G313" s="46" t="s">
        <v>1324</v>
      </c>
      <c r="I313" s="46" t="str">
        <f>IFERROR(VLOOKUP(B313,'Test 1,2'!$E$4:$I$604,5,0),"NOT BILLED")</f>
        <v>Mar</v>
      </c>
      <c r="J313" s="46" t="str">
        <f t="shared" si="9"/>
        <v>PASS</v>
      </c>
    </row>
    <row r="314" spans="2:10" x14ac:dyDescent="0.5">
      <c r="B314" s="46" t="s">
        <v>1112</v>
      </c>
      <c r="C314" s="46" t="s">
        <v>57</v>
      </c>
      <c r="D314" s="47">
        <v>1</v>
      </c>
      <c r="E314" s="48" t="s">
        <v>1481</v>
      </c>
      <c r="F314" s="30" t="str">
        <f t="shared" si="8"/>
        <v>Completed</v>
      </c>
      <c r="G314" s="46" t="s">
        <v>1325</v>
      </c>
      <c r="I314" s="46" t="str">
        <f>IFERROR(VLOOKUP(B314,'Test 1,2'!$E$4:$I$604,5,0),"NOT BILLED")</f>
        <v>Dec</v>
      </c>
      <c r="J314" s="46" t="str">
        <f t="shared" si="9"/>
        <v>PASS</v>
      </c>
    </row>
    <row r="315" spans="2:10" x14ac:dyDescent="0.5">
      <c r="B315" s="46" t="s">
        <v>228</v>
      </c>
      <c r="C315" s="46" t="s">
        <v>229</v>
      </c>
      <c r="D315" s="47">
        <v>1</v>
      </c>
      <c r="E315" s="48" t="s">
        <v>1482</v>
      </c>
      <c r="F315" s="30" t="str">
        <f t="shared" si="8"/>
        <v>Completed</v>
      </c>
      <c r="G315" s="46" t="s">
        <v>1324</v>
      </c>
      <c r="I315" s="46" t="str">
        <f>IFERROR(VLOOKUP(B315,'Test 1,2'!$E$4:$I$604,5,0),"NOT BILLED")</f>
        <v>Jul</v>
      </c>
      <c r="J315" s="46" t="str">
        <f t="shared" si="9"/>
        <v>PASS</v>
      </c>
    </row>
    <row r="316" spans="2:10" x14ac:dyDescent="0.5">
      <c r="B316" s="46" t="s">
        <v>1077</v>
      </c>
      <c r="C316" s="46" t="s">
        <v>153</v>
      </c>
      <c r="D316" s="47">
        <v>1</v>
      </c>
      <c r="E316" s="48" t="s">
        <v>1481</v>
      </c>
      <c r="F316" s="30" t="str">
        <f t="shared" si="8"/>
        <v>Completed</v>
      </c>
      <c r="G316" s="46" t="s">
        <v>1324</v>
      </c>
      <c r="I316" s="46" t="str">
        <f>IFERROR(VLOOKUP(B316,'Test 1,2'!$E$4:$I$604,5,0),"NOT BILLED")</f>
        <v>Dec</v>
      </c>
      <c r="J316" s="46" t="str">
        <f t="shared" si="9"/>
        <v>PASS</v>
      </c>
    </row>
    <row r="317" spans="2:10" x14ac:dyDescent="0.5">
      <c r="B317" s="46" t="s">
        <v>1008</v>
      </c>
      <c r="C317" s="46" t="s">
        <v>95</v>
      </c>
      <c r="D317" s="47">
        <v>1</v>
      </c>
      <c r="E317" s="48" t="s">
        <v>1482</v>
      </c>
      <c r="F317" s="30" t="str">
        <f t="shared" si="8"/>
        <v>Completed</v>
      </c>
      <c r="G317" s="46" t="s">
        <v>1324</v>
      </c>
      <c r="I317" s="46" t="str">
        <f>IFERROR(VLOOKUP(B317,'Test 1,2'!$E$4:$I$604,5,0),"NOT BILLED")</f>
        <v>Oct</v>
      </c>
      <c r="J317" s="46" t="str">
        <f t="shared" si="9"/>
        <v>PASS</v>
      </c>
    </row>
    <row r="318" spans="2:10" x14ac:dyDescent="0.5">
      <c r="B318" s="46" t="s">
        <v>380</v>
      </c>
      <c r="C318" s="46" t="s">
        <v>87</v>
      </c>
      <c r="D318" s="47">
        <v>1</v>
      </c>
      <c r="E318" s="48" t="s">
        <v>1482</v>
      </c>
      <c r="F318" s="30" t="str">
        <f t="shared" si="8"/>
        <v>Completed</v>
      </c>
      <c r="G318" s="46" t="s">
        <v>1324</v>
      </c>
      <c r="I318" s="46" t="str">
        <f>IFERROR(VLOOKUP(B318,'Test 1,2'!$E$4:$I$604,5,0),"NOT BILLED")</f>
        <v>Sep</v>
      </c>
      <c r="J318" s="46" t="str">
        <f t="shared" si="9"/>
        <v>PASS</v>
      </c>
    </row>
    <row r="319" spans="2:10" x14ac:dyDescent="0.5">
      <c r="B319" s="46" t="s">
        <v>1018</v>
      </c>
      <c r="C319" s="46" t="s">
        <v>81</v>
      </c>
      <c r="D319" s="47">
        <v>1</v>
      </c>
      <c r="E319" s="48" t="s">
        <v>1482</v>
      </c>
      <c r="F319" s="30" t="str">
        <f t="shared" si="8"/>
        <v>Completed</v>
      </c>
      <c r="G319" s="46" t="s">
        <v>1324</v>
      </c>
      <c r="I319" s="46" t="str">
        <f>IFERROR(VLOOKUP(B319,'Test 1,2'!$E$4:$I$604,5,0),"NOT BILLED")</f>
        <v>Oct</v>
      </c>
      <c r="J319" s="46" t="str">
        <f t="shared" si="9"/>
        <v>PASS</v>
      </c>
    </row>
    <row r="320" spans="2:10" x14ac:dyDescent="0.5">
      <c r="B320" s="46" t="s">
        <v>589</v>
      </c>
      <c r="C320" s="46" t="s">
        <v>67</v>
      </c>
      <c r="D320" s="47">
        <v>1</v>
      </c>
      <c r="E320" s="48" t="s">
        <v>1482</v>
      </c>
      <c r="F320" s="30" t="str">
        <f t="shared" si="8"/>
        <v>Completed</v>
      </c>
      <c r="G320" s="46" t="s">
        <v>1324</v>
      </c>
      <c r="I320" s="46" t="str">
        <f>IFERROR(VLOOKUP(B320,'Test 1,2'!$E$4:$I$604,5,0),"NOT BILLED")</f>
        <v>Mar</v>
      </c>
      <c r="J320" s="46" t="str">
        <f t="shared" si="9"/>
        <v>PASS</v>
      </c>
    </row>
    <row r="321" spans="2:10" x14ac:dyDescent="0.5">
      <c r="B321" s="46" t="s">
        <v>644</v>
      </c>
      <c r="C321" s="46" t="s">
        <v>229</v>
      </c>
      <c r="D321" s="47">
        <v>1</v>
      </c>
      <c r="E321" s="48" t="s">
        <v>1482</v>
      </c>
      <c r="F321" s="30" t="str">
        <f t="shared" si="8"/>
        <v>Completed</v>
      </c>
      <c r="G321" s="46" t="s">
        <v>1324</v>
      </c>
      <c r="I321" s="46" t="str">
        <f>IFERROR(VLOOKUP(B321,'Test 1,2'!$E$4:$I$604,5,0),"NOT BILLED")</f>
        <v>Apr</v>
      </c>
      <c r="J321" s="46" t="str">
        <f t="shared" si="9"/>
        <v>PASS</v>
      </c>
    </row>
    <row r="322" spans="2:10" x14ac:dyDescent="0.5">
      <c r="B322" s="46" t="s">
        <v>483</v>
      </c>
      <c r="C322" s="46" t="s">
        <v>143</v>
      </c>
      <c r="D322" s="47">
        <v>1</v>
      </c>
      <c r="E322" s="48" t="s">
        <v>1482</v>
      </c>
      <c r="F322" s="30" t="str">
        <f t="shared" si="8"/>
        <v>Completed</v>
      </c>
      <c r="G322" s="46" t="s">
        <v>1324</v>
      </c>
      <c r="I322" s="46" t="str">
        <f>IFERROR(VLOOKUP(B322,'Test 1,2'!$E$4:$I$604,5,0),"NOT BILLED")</f>
        <v>Dec</v>
      </c>
      <c r="J322" s="46" t="str">
        <f t="shared" si="9"/>
        <v>PASS</v>
      </c>
    </row>
    <row r="323" spans="2:10" x14ac:dyDescent="0.5">
      <c r="B323" s="46" t="s">
        <v>955</v>
      </c>
      <c r="C323" s="46" t="s">
        <v>332</v>
      </c>
      <c r="D323" s="47">
        <v>1</v>
      </c>
      <c r="E323" s="48" t="s">
        <v>1481</v>
      </c>
      <c r="F323" s="30" t="str">
        <f t="shared" si="8"/>
        <v>Completed</v>
      </c>
      <c r="G323" s="46" t="s">
        <v>1324</v>
      </c>
      <c r="I323" s="46" t="str">
        <f>IFERROR(VLOOKUP(B323,'Test 1,2'!$E$4:$I$604,5,0),"NOT BILLED")</f>
        <v>Aug</v>
      </c>
      <c r="J323" s="46" t="str">
        <f t="shared" si="9"/>
        <v>PASS</v>
      </c>
    </row>
    <row r="324" spans="2:10" x14ac:dyDescent="0.5">
      <c r="B324" s="46" t="s">
        <v>192</v>
      </c>
      <c r="C324" s="46" t="s">
        <v>153</v>
      </c>
      <c r="D324" s="47">
        <v>1</v>
      </c>
      <c r="E324" s="48" t="s">
        <v>1482</v>
      </c>
      <c r="F324" s="30" t="str">
        <f t="shared" ref="F324:F387" si="10">IF(D324=100%,"Completed","Contract-In-Progress")</f>
        <v>Completed</v>
      </c>
      <c r="G324" s="46" t="s">
        <v>1324</v>
      </c>
      <c r="I324" s="46" t="str">
        <f>IFERROR(VLOOKUP(B324,'Test 1,2'!$E$4:$I$604,5,0),"NOT BILLED")</f>
        <v>May</v>
      </c>
      <c r="J324" s="46" t="str">
        <f t="shared" ref="J324:J387" si="11">IF(I324&lt;&gt;"NOT BILLED",IF(D324=100%,"PASS","FLAG"),IF(D324&lt;100%,"PASS","FLAG"))</f>
        <v>PASS</v>
      </c>
    </row>
    <row r="325" spans="2:10" x14ac:dyDescent="0.5">
      <c r="B325" s="46" t="s">
        <v>344</v>
      </c>
      <c r="C325" s="46" t="s">
        <v>262</v>
      </c>
      <c r="D325" s="47">
        <v>1</v>
      </c>
      <c r="E325" s="48" t="s">
        <v>1481</v>
      </c>
      <c r="F325" s="30" t="str">
        <f t="shared" si="10"/>
        <v>Completed</v>
      </c>
      <c r="G325" s="46" t="s">
        <v>1324</v>
      </c>
      <c r="I325" s="46" t="str">
        <f>IFERROR(VLOOKUP(B325,'Test 1,2'!$E$4:$I$604,5,0),"NOT BILLED")</f>
        <v>Sep</v>
      </c>
      <c r="J325" s="46" t="str">
        <f t="shared" si="11"/>
        <v>PASS</v>
      </c>
    </row>
    <row r="326" spans="2:10" x14ac:dyDescent="0.5">
      <c r="B326" s="46" t="s">
        <v>843</v>
      </c>
      <c r="C326" s="46" t="s">
        <v>203</v>
      </c>
      <c r="D326" s="47">
        <v>1</v>
      </c>
      <c r="E326" s="48" t="s">
        <v>1481</v>
      </c>
      <c r="F326" s="30" t="str">
        <f t="shared" si="10"/>
        <v>Completed</v>
      </c>
      <c r="G326" s="46" t="s">
        <v>1324</v>
      </c>
      <c r="I326" s="46" t="str">
        <f>IFERROR(VLOOKUP(B326,'Test 1,2'!$E$4:$I$604,5,0),"NOT BILLED")</f>
        <v>Jul</v>
      </c>
      <c r="J326" s="46" t="str">
        <f t="shared" si="11"/>
        <v>PASS</v>
      </c>
    </row>
    <row r="327" spans="2:10" x14ac:dyDescent="0.5">
      <c r="B327" s="46" t="s">
        <v>283</v>
      </c>
      <c r="C327" s="46" t="s">
        <v>269</v>
      </c>
      <c r="D327" s="47">
        <v>1</v>
      </c>
      <c r="E327" s="48" t="s">
        <v>1481</v>
      </c>
      <c r="F327" s="30" t="str">
        <f t="shared" si="10"/>
        <v>Completed</v>
      </c>
      <c r="G327" s="46" t="s">
        <v>1324</v>
      </c>
      <c r="I327" s="46" t="str">
        <f>IFERROR(VLOOKUP(B327,'Test 1,2'!$E$4:$I$604,5,0),"NOT BILLED")</f>
        <v>Aug</v>
      </c>
      <c r="J327" s="46" t="str">
        <f t="shared" si="11"/>
        <v>PASS</v>
      </c>
    </row>
    <row r="328" spans="2:10" x14ac:dyDescent="0.5">
      <c r="B328" s="46" t="s">
        <v>755</v>
      </c>
      <c r="C328" s="46" t="s">
        <v>577</v>
      </c>
      <c r="D328" s="47">
        <v>1</v>
      </c>
      <c r="E328" s="48" t="s">
        <v>1481</v>
      </c>
      <c r="F328" s="30" t="str">
        <f t="shared" si="10"/>
        <v>Completed</v>
      </c>
      <c r="G328" s="46" t="s">
        <v>1325</v>
      </c>
      <c r="I328" s="46" t="str">
        <f>IFERROR(VLOOKUP(B328,'Test 1,2'!$E$4:$I$604,5,0),"NOT BILLED")</f>
        <v>May</v>
      </c>
      <c r="J328" s="46" t="str">
        <f t="shared" si="11"/>
        <v>PASS</v>
      </c>
    </row>
    <row r="329" spans="2:10" x14ac:dyDescent="0.5">
      <c r="B329" s="46" t="s">
        <v>235</v>
      </c>
      <c r="C329" s="46" t="s">
        <v>22</v>
      </c>
      <c r="D329" s="47">
        <v>1</v>
      </c>
      <c r="E329" s="48" t="s">
        <v>1482</v>
      </c>
      <c r="F329" s="30" t="str">
        <f t="shared" si="10"/>
        <v>Completed</v>
      </c>
      <c r="G329" s="46" t="s">
        <v>1324</v>
      </c>
      <c r="I329" s="46" t="str">
        <f>IFERROR(VLOOKUP(B329,'Test 1,2'!$E$4:$I$604,5,0),"NOT BILLED")</f>
        <v>Jul</v>
      </c>
      <c r="J329" s="46" t="str">
        <f t="shared" si="11"/>
        <v>PASS</v>
      </c>
    </row>
    <row r="330" spans="2:10" x14ac:dyDescent="0.5">
      <c r="B330" s="46" t="s">
        <v>167</v>
      </c>
      <c r="C330" s="46" t="s">
        <v>15</v>
      </c>
      <c r="D330" s="47">
        <v>1</v>
      </c>
      <c r="E330" s="48" t="s">
        <v>1482</v>
      </c>
      <c r="F330" s="30" t="str">
        <f t="shared" si="10"/>
        <v>Completed</v>
      </c>
      <c r="G330" s="46" t="s">
        <v>1324</v>
      </c>
      <c r="I330" s="46" t="str">
        <f>IFERROR(VLOOKUP(B330,'Test 1,2'!$E$4:$I$604,5,0),"NOT BILLED")</f>
        <v>May</v>
      </c>
      <c r="J330" s="46" t="str">
        <f t="shared" si="11"/>
        <v>PASS</v>
      </c>
    </row>
    <row r="331" spans="2:10" x14ac:dyDescent="0.5">
      <c r="B331" s="46" t="s">
        <v>1055</v>
      </c>
      <c r="C331" s="46" t="s">
        <v>45</v>
      </c>
      <c r="D331" s="47">
        <v>1</v>
      </c>
      <c r="E331" s="48" t="s">
        <v>1481</v>
      </c>
      <c r="F331" s="30" t="str">
        <f t="shared" si="10"/>
        <v>Completed</v>
      </c>
      <c r="G331" s="46" t="s">
        <v>1324</v>
      </c>
      <c r="I331" s="46" t="str">
        <f>IFERROR(VLOOKUP(B331,'Test 1,2'!$E$4:$I$604,5,0),"NOT BILLED")</f>
        <v>Nov</v>
      </c>
      <c r="J331" s="46" t="str">
        <f t="shared" si="11"/>
        <v>PASS</v>
      </c>
    </row>
    <row r="332" spans="2:10" x14ac:dyDescent="0.5">
      <c r="B332" s="46" t="s">
        <v>1250</v>
      </c>
      <c r="C332" s="46" t="s">
        <v>119</v>
      </c>
      <c r="D332" s="47">
        <v>1</v>
      </c>
      <c r="E332" s="48" t="s">
        <v>1482</v>
      </c>
      <c r="F332" s="30" t="str">
        <f t="shared" si="10"/>
        <v>Completed</v>
      </c>
      <c r="G332" s="46" t="s">
        <v>1324</v>
      </c>
      <c r="I332" s="46" t="str">
        <f>IFERROR(VLOOKUP(B332,'Test 1,2'!$E$4:$I$604,5,0),"NOT BILLED")</f>
        <v>Feb</v>
      </c>
      <c r="J332" s="46" t="str">
        <f t="shared" si="11"/>
        <v>PASS</v>
      </c>
    </row>
    <row r="333" spans="2:10" x14ac:dyDescent="0.5">
      <c r="B333" s="46" t="s">
        <v>803</v>
      </c>
      <c r="C333" s="46" t="s">
        <v>156</v>
      </c>
      <c r="D333" s="47">
        <v>1</v>
      </c>
      <c r="E333" s="48" t="s">
        <v>1482</v>
      </c>
      <c r="F333" s="30" t="str">
        <f t="shared" si="10"/>
        <v>Completed</v>
      </c>
      <c r="G333" s="46" t="s">
        <v>1324</v>
      </c>
      <c r="I333" s="46" t="str">
        <f>IFERROR(VLOOKUP(B333,'Test 1,2'!$E$4:$I$604,5,0),"NOT BILLED")</f>
        <v>Jun</v>
      </c>
      <c r="J333" s="46" t="str">
        <f t="shared" si="11"/>
        <v>PASS</v>
      </c>
    </row>
    <row r="334" spans="2:10" x14ac:dyDescent="0.5">
      <c r="B334" s="46" t="s">
        <v>890</v>
      </c>
      <c r="C334" s="46" t="s">
        <v>143</v>
      </c>
      <c r="D334" s="47">
        <v>1</v>
      </c>
      <c r="E334" s="48" t="s">
        <v>1482</v>
      </c>
      <c r="F334" s="30" t="str">
        <f t="shared" si="10"/>
        <v>Completed</v>
      </c>
      <c r="G334" s="46" t="s">
        <v>1324</v>
      </c>
      <c r="I334" s="46" t="str">
        <f>IFERROR(VLOOKUP(B334,'Test 1,2'!$E$4:$I$604,5,0),"NOT BILLED")</f>
        <v>Aug</v>
      </c>
      <c r="J334" s="46" t="str">
        <f t="shared" si="11"/>
        <v>PASS</v>
      </c>
    </row>
    <row r="335" spans="2:10" x14ac:dyDescent="0.5">
      <c r="B335" s="46" t="s">
        <v>1118</v>
      </c>
      <c r="C335" s="46" t="s">
        <v>92</v>
      </c>
      <c r="D335" s="47">
        <v>1</v>
      </c>
      <c r="E335" s="48" t="s">
        <v>1481</v>
      </c>
      <c r="F335" s="30" t="str">
        <f t="shared" si="10"/>
        <v>Completed</v>
      </c>
      <c r="G335" s="46" t="s">
        <v>1324</v>
      </c>
      <c r="I335" s="46" t="str">
        <f>IFERROR(VLOOKUP(B335,'Test 1,2'!$E$4:$I$604,5,0),"NOT BILLED")</f>
        <v>Dec</v>
      </c>
      <c r="J335" s="46" t="str">
        <f t="shared" si="11"/>
        <v>PASS</v>
      </c>
    </row>
    <row r="336" spans="2:10" x14ac:dyDescent="0.5">
      <c r="B336" s="46" t="s">
        <v>747</v>
      </c>
      <c r="C336" s="46" t="s">
        <v>67</v>
      </c>
      <c r="D336" s="47">
        <v>1</v>
      </c>
      <c r="E336" s="48" t="s">
        <v>1481</v>
      </c>
      <c r="F336" s="30" t="str">
        <f t="shared" si="10"/>
        <v>Completed</v>
      </c>
      <c r="G336" s="46" t="s">
        <v>1324</v>
      </c>
      <c r="I336" s="46" t="str">
        <f>IFERROR(VLOOKUP(B336,'Test 1,2'!$E$4:$I$604,5,0),"NOT BILLED")</f>
        <v>May</v>
      </c>
      <c r="J336" s="46" t="str">
        <f t="shared" si="11"/>
        <v>PASS</v>
      </c>
    </row>
    <row r="337" spans="2:10" x14ac:dyDescent="0.5">
      <c r="B337" s="46" t="s">
        <v>487</v>
      </c>
      <c r="C337" s="46" t="s">
        <v>72</v>
      </c>
      <c r="D337" s="47">
        <v>1</v>
      </c>
      <c r="E337" s="48" t="s">
        <v>1481</v>
      </c>
      <c r="F337" s="30" t="str">
        <f t="shared" si="10"/>
        <v>Completed</v>
      </c>
      <c r="G337" s="46" t="s">
        <v>1324</v>
      </c>
      <c r="I337" s="46" t="str">
        <f>IFERROR(VLOOKUP(B337,'Test 1,2'!$E$4:$I$604,5,0),"NOT BILLED")</f>
        <v>Dec</v>
      </c>
      <c r="J337" s="46" t="str">
        <f t="shared" si="11"/>
        <v>PASS</v>
      </c>
    </row>
    <row r="338" spans="2:10" x14ac:dyDescent="0.5">
      <c r="B338" s="46" t="s">
        <v>395</v>
      </c>
      <c r="C338" s="46" t="s">
        <v>60</v>
      </c>
      <c r="D338" s="47">
        <v>1</v>
      </c>
      <c r="E338" s="48" t="s">
        <v>1481</v>
      </c>
      <c r="F338" s="30" t="str">
        <f t="shared" si="10"/>
        <v>Completed</v>
      </c>
      <c r="G338" s="46" t="s">
        <v>1324</v>
      </c>
      <c r="I338" s="46" t="str">
        <f>IFERROR(VLOOKUP(B338,'Test 1,2'!$E$4:$I$604,5,0),"NOT BILLED")</f>
        <v>Oct</v>
      </c>
      <c r="J338" s="46" t="str">
        <f t="shared" si="11"/>
        <v>PASS</v>
      </c>
    </row>
    <row r="339" spans="2:10" x14ac:dyDescent="0.5">
      <c r="B339" s="46" t="s">
        <v>1284</v>
      </c>
      <c r="C339" s="46" t="s">
        <v>187</v>
      </c>
      <c r="D339" s="47">
        <v>1</v>
      </c>
      <c r="E339" s="48" t="s">
        <v>1482</v>
      </c>
      <c r="F339" s="30" t="str">
        <f t="shared" si="10"/>
        <v>Completed</v>
      </c>
      <c r="G339" s="46" t="s">
        <v>1324</v>
      </c>
      <c r="I339" s="46" t="str">
        <f>IFERROR(VLOOKUP(B339,'Test 1,2'!$E$4:$I$604,5,0),"NOT BILLED")</f>
        <v>Mar</v>
      </c>
      <c r="J339" s="46" t="str">
        <f t="shared" si="11"/>
        <v>PASS</v>
      </c>
    </row>
    <row r="340" spans="2:10" x14ac:dyDescent="0.5">
      <c r="B340" s="46" t="s">
        <v>1124</v>
      </c>
      <c r="C340" s="46" t="s">
        <v>84</v>
      </c>
      <c r="D340" s="47">
        <v>1</v>
      </c>
      <c r="E340" s="48" t="s">
        <v>1482</v>
      </c>
      <c r="F340" s="30" t="str">
        <f t="shared" si="10"/>
        <v>Completed</v>
      </c>
      <c r="G340" s="46" t="s">
        <v>1324</v>
      </c>
      <c r="I340" s="46" t="str">
        <f>IFERROR(VLOOKUP(B340,'Test 1,2'!$E$4:$I$604,5,0),"NOT BILLED")</f>
        <v>Dec</v>
      </c>
      <c r="J340" s="46" t="str">
        <f t="shared" si="11"/>
        <v>PASS</v>
      </c>
    </row>
    <row r="341" spans="2:10" x14ac:dyDescent="0.5">
      <c r="B341" s="46" t="s">
        <v>237</v>
      </c>
      <c r="C341" s="46" t="s">
        <v>238</v>
      </c>
      <c r="D341" s="47">
        <v>1</v>
      </c>
      <c r="E341" s="48" t="s">
        <v>1482</v>
      </c>
      <c r="F341" s="30" t="str">
        <f t="shared" si="10"/>
        <v>Completed</v>
      </c>
      <c r="G341" s="46" t="s">
        <v>1324</v>
      </c>
      <c r="I341" s="46" t="str">
        <f>IFERROR(VLOOKUP(B341,'Test 1,2'!$E$4:$I$604,5,0),"NOT BILLED")</f>
        <v>Jul</v>
      </c>
      <c r="J341" s="46" t="str">
        <f t="shared" si="11"/>
        <v>PASS</v>
      </c>
    </row>
    <row r="342" spans="2:10" x14ac:dyDescent="0.5">
      <c r="B342" s="46" t="s">
        <v>361</v>
      </c>
      <c r="C342" s="46" t="s">
        <v>293</v>
      </c>
      <c r="D342" s="47">
        <v>1</v>
      </c>
      <c r="E342" s="48" t="s">
        <v>1482</v>
      </c>
      <c r="F342" s="30" t="str">
        <f t="shared" si="10"/>
        <v>Completed</v>
      </c>
      <c r="G342" s="46" t="s">
        <v>1324</v>
      </c>
      <c r="I342" s="46" t="str">
        <f>IFERROR(VLOOKUP(B342,'Test 1,2'!$E$4:$I$604,5,0),"NOT BILLED")</f>
        <v>Sep</v>
      </c>
      <c r="J342" s="46" t="str">
        <f t="shared" si="11"/>
        <v>PASS</v>
      </c>
    </row>
    <row r="343" spans="2:10" x14ac:dyDescent="0.5">
      <c r="B343" s="46" t="s">
        <v>1082</v>
      </c>
      <c r="C343" s="46" t="s">
        <v>241</v>
      </c>
      <c r="D343" s="47">
        <v>1</v>
      </c>
      <c r="E343" s="48" t="s">
        <v>1481</v>
      </c>
      <c r="F343" s="30" t="str">
        <f t="shared" si="10"/>
        <v>Completed</v>
      </c>
      <c r="G343" s="46" t="s">
        <v>1324</v>
      </c>
      <c r="I343" s="46" t="str">
        <f>IFERROR(VLOOKUP(B343,'Test 1,2'!$E$4:$I$604,5,0),"NOT BILLED")</f>
        <v>Dec</v>
      </c>
      <c r="J343" s="46" t="str">
        <f t="shared" si="11"/>
        <v>PASS</v>
      </c>
    </row>
    <row r="344" spans="2:10" x14ac:dyDescent="0.5">
      <c r="B344" s="46" t="s">
        <v>397</v>
      </c>
      <c r="C344" s="46" t="s">
        <v>184</v>
      </c>
      <c r="D344" s="47">
        <v>1</v>
      </c>
      <c r="E344" s="48" t="s">
        <v>1482</v>
      </c>
      <c r="F344" s="30" t="str">
        <f t="shared" si="10"/>
        <v>Completed</v>
      </c>
      <c r="G344" s="46" t="s">
        <v>1325</v>
      </c>
      <c r="I344" s="46" t="str">
        <f>IFERROR(VLOOKUP(B344,'Test 1,2'!$E$4:$I$604,5,0),"NOT BILLED")</f>
        <v>Oct</v>
      </c>
      <c r="J344" s="46" t="str">
        <f t="shared" si="11"/>
        <v>PASS</v>
      </c>
    </row>
    <row r="345" spans="2:10" x14ac:dyDescent="0.5">
      <c r="B345" s="46" t="s">
        <v>142</v>
      </c>
      <c r="C345" s="46" t="s">
        <v>143</v>
      </c>
      <c r="D345" s="47">
        <v>1</v>
      </c>
      <c r="E345" s="48" t="s">
        <v>1481</v>
      </c>
      <c r="F345" s="30" t="str">
        <f t="shared" si="10"/>
        <v>Completed</v>
      </c>
      <c r="G345" s="46" t="s">
        <v>1325</v>
      </c>
      <c r="I345" s="46" t="str">
        <f>IFERROR(VLOOKUP(B345,'Test 1,2'!$E$4:$I$604,5,0),"NOT BILLED")</f>
        <v>May</v>
      </c>
      <c r="J345" s="46" t="str">
        <f t="shared" si="11"/>
        <v>PASS</v>
      </c>
    </row>
    <row r="346" spans="2:10" x14ac:dyDescent="0.5">
      <c r="B346" s="46" t="s">
        <v>89</v>
      </c>
      <c r="C346" s="46" t="s">
        <v>57</v>
      </c>
      <c r="D346" s="47">
        <v>1</v>
      </c>
      <c r="E346" s="48" t="s">
        <v>1482</v>
      </c>
      <c r="F346" s="30" t="str">
        <f t="shared" si="10"/>
        <v>Completed</v>
      </c>
      <c r="G346" s="46" t="s">
        <v>1324</v>
      </c>
      <c r="I346" s="46" t="str">
        <f>IFERROR(VLOOKUP(B346,'Test 1,2'!$E$4:$I$604,5,0),"NOT BILLED")</f>
        <v>Apr</v>
      </c>
      <c r="J346" s="46" t="str">
        <f t="shared" si="11"/>
        <v>PASS</v>
      </c>
    </row>
    <row r="347" spans="2:10" x14ac:dyDescent="0.5">
      <c r="B347" s="46" t="s">
        <v>155</v>
      </c>
      <c r="C347" s="46" t="s">
        <v>156</v>
      </c>
      <c r="D347" s="47">
        <v>1</v>
      </c>
      <c r="E347" s="48" t="s">
        <v>1481</v>
      </c>
      <c r="F347" s="30" t="str">
        <f t="shared" si="10"/>
        <v>Completed</v>
      </c>
      <c r="G347" s="46" t="s">
        <v>1324</v>
      </c>
      <c r="I347" s="46" t="str">
        <f>IFERROR(VLOOKUP(B347,'Test 1,2'!$E$4:$I$604,5,0),"NOT BILLED")</f>
        <v>May</v>
      </c>
      <c r="J347" s="46" t="str">
        <f t="shared" si="11"/>
        <v>PASS</v>
      </c>
    </row>
    <row r="348" spans="2:10" x14ac:dyDescent="0.5">
      <c r="B348" s="46" t="s">
        <v>34</v>
      </c>
      <c r="C348" s="46" t="s">
        <v>35</v>
      </c>
      <c r="D348" s="47">
        <v>1</v>
      </c>
      <c r="E348" s="48" t="s">
        <v>1482</v>
      </c>
      <c r="F348" s="30" t="str">
        <f t="shared" si="10"/>
        <v>Completed</v>
      </c>
      <c r="G348" s="46" t="s">
        <v>1324</v>
      </c>
      <c r="I348" s="46" t="str">
        <f>IFERROR(VLOOKUP(B348,'Test 1,2'!$E$4:$I$604,5,0),"NOT BILLED")</f>
        <v>Apr</v>
      </c>
      <c r="J348" s="46" t="str">
        <f t="shared" si="11"/>
        <v>PASS</v>
      </c>
    </row>
    <row r="349" spans="2:10" x14ac:dyDescent="0.5">
      <c r="B349" s="46" t="s">
        <v>255</v>
      </c>
      <c r="C349" s="46" t="s">
        <v>50</v>
      </c>
      <c r="D349" s="47">
        <v>1</v>
      </c>
      <c r="E349" s="48" t="s">
        <v>1482</v>
      </c>
      <c r="F349" s="30" t="str">
        <f t="shared" si="10"/>
        <v>Completed</v>
      </c>
      <c r="G349" s="46" t="s">
        <v>1324</v>
      </c>
      <c r="I349" s="46" t="str">
        <f>IFERROR(VLOOKUP(B349,'Test 1,2'!$E$4:$I$604,5,0),"NOT BILLED")</f>
        <v>Jul</v>
      </c>
      <c r="J349" s="46" t="str">
        <f t="shared" si="11"/>
        <v>PASS</v>
      </c>
    </row>
    <row r="350" spans="2:10" x14ac:dyDescent="0.5">
      <c r="B350" s="46" t="s">
        <v>497</v>
      </c>
      <c r="C350" s="46" t="s">
        <v>72</v>
      </c>
      <c r="D350" s="47">
        <v>1</v>
      </c>
      <c r="E350" s="48" t="s">
        <v>1482</v>
      </c>
      <c r="F350" s="30" t="str">
        <f t="shared" si="10"/>
        <v>Completed</v>
      </c>
      <c r="G350" s="46" t="s">
        <v>1324</v>
      </c>
      <c r="I350" s="46" t="str">
        <f>IFERROR(VLOOKUP(B350,'Test 1,2'!$E$4:$I$604,5,0),"NOT BILLED")</f>
        <v>Dec</v>
      </c>
      <c r="J350" s="46" t="str">
        <f t="shared" si="11"/>
        <v>PASS</v>
      </c>
    </row>
    <row r="351" spans="2:10" x14ac:dyDescent="0.5">
      <c r="B351" s="46" t="s">
        <v>189</v>
      </c>
      <c r="C351" s="46" t="s">
        <v>190</v>
      </c>
      <c r="D351" s="47">
        <v>1</v>
      </c>
      <c r="E351" s="48" t="s">
        <v>1482</v>
      </c>
      <c r="F351" s="30" t="str">
        <f t="shared" si="10"/>
        <v>Completed</v>
      </c>
      <c r="G351" s="46" t="s">
        <v>1324</v>
      </c>
      <c r="I351" s="46" t="str">
        <f>IFERROR(VLOOKUP(B351,'Test 1,2'!$E$4:$I$604,5,0),"NOT BILLED")</f>
        <v>May</v>
      </c>
      <c r="J351" s="46" t="str">
        <f t="shared" si="11"/>
        <v>PASS</v>
      </c>
    </row>
    <row r="352" spans="2:10" x14ac:dyDescent="0.5">
      <c r="B352" s="46" t="s">
        <v>957</v>
      </c>
      <c r="C352" s="46" t="s">
        <v>15</v>
      </c>
      <c r="D352" s="47">
        <v>1</v>
      </c>
      <c r="E352" s="48" t="s">
        <v>1482</v>
      </c>
      <c r="F352" s="30" t="str">
        <f t="shared" si="10"/>
        <v>Completed</v>
      </c>
      <c r="G352" s="46" t="s">
        <v>1324</v>
      </c>
      <c r="I352" s="46" t="str">
        <f>IFERROR(VLOOKUP(B352,'Test 1,2'!$E$4:$I$604,5,0),"NOT BILLED")</f>
        <v>Sep</v>
      </c>
      <c r="J352" s="46" t="str">
        <f t="shared" si="11"/>
        <v>PASS</v>
      </c>
    </row>
    <row r="353" spans="2:10" x14ac:dyDescent="0.5">
      <c r="B353" s="46" t="s">
        <v>1298</v>
      </c>
      <c r="C353" s="46" t="s">
        <v>190</v>
      </c>
      <c r="D353" s="47">
        <v>1</v>
      </c>
      <c r="E353" s="48" t="s">
        <v>1481</v>
      </c>
      <c r="F353" s="30" t="str">
        <f t="shared" si="10"/>
        <v>Completed</v>
      </c>
      <c r="G353" s="46" t="s">
        <v>1324</v>
      </c>
      <c r="I353" s="46" t="str">
        <f>IFERROR(VLOOKUP(B353,'Test 1,2'!$E$4:$I$604,5,0),"NOT BILLED")</f>
        <v>Mar</v>
      </c>
      <c r="J353" s="46" t="str">
        <f t="shared" si="11"/>
        <v>PASS</v>
      </c>
    </row>
    <row r="354" spans="2:10" x14ac:dyDescent="0.5">
      <c r="B354" s="46" t="s">
        <v>220</v>
      </c>
      <c r="C354" s="46" t="s">
        <v>57</v>
      </c>
      <c r="D354" s="47">
        <v>1</v>
      </c>
      <c r="E354" s="48" t="s">
        <v>1481</v>
      </c>
      <c r="F354" s="30" t="str">
        <f t="shared" si="10"/>
        <v>Completed</v>
      </c>
      <c r="G354" s="46" t="s">
        <v>1324</v>
      </c>
      <c r="I354" s="46" t="str">
        <f>IFERROR(VLOOKUP(B354,'Test 1,2'!$E$4:$I$604,5,0),"NOT BILLED")</f>
        <v>Jul</v>
      </c>
      <c r="J354" s="46" t="str">
        <f t="shared" si="11"/>
        <v>PASS</v>
      </c>
    </row>
    <row r="355" spans="2:10" x14ac:dyDescent="0.5">
      <c r="B355" s="46" t="s">
        <v>992</v>
      </c>
      <c r="C355" s="46" t="s">
        <v>269</v>
      </c>
      <c r="D355" s="47">
        <v>1</v>
      </c>
      <c r="E355" s="48" t="s">
        <v>1482</v>
      </c>
      <c r="F355" s="30" t="str">
        <f t="shared" si="10"/>
        <v>Completed</v>
      </c>
      <c r="G355" s="46" t="s">
        <v>1324</v>
      </c>
      <c r="I355" s="46" t="str">
        <f>IFERROR(VLOOKUP(B355,'Test 1,2'!$E$4:$I$604,5,0),"NOT BILLED")</f>
        <v>Oct</v>
      </c>
      <c r="J355" s="46" t="str">
        <f t="shared" si="11"/>
        <v>PASS</v>
      </c>
    </row>
    <row r="356" spans="2:10" x14ac:dyDescent="0.5">
      <c r="B356" s="46" t="s">
        <v>1198</v>
      </c>
      <c r="C356" s="46" t="s">
        <v>35</v>
      </c>
      <c r="D356" s="47">
        <v>1</v>
      </c>
      <c r="E356" s="48" t="s">
        <v>1481</v>
      </c>
      <c r="F356" s="30" t="str">
        <f t="shared" si="10"/>
        <v>Completed</v>
      </c>
      <c r="G356" s="46" t="s">
        <v>1324</v>
      </c>
      <c r="I356" s="46" t="str">
        <f>IFERROR(VLOOKUP(B356,'Test 1,2'!$E$4:$I$604,5,0),"NOT BILLED")</f>
        <v>Jan</v>
      </c>
      <c r="J356" s="46" t="str">
        <f t="shared" si="11"/>
        <v>PASS</v>
      </c>
    </row>
    <row r="357" spans="2:10" x14ac:dyDescent="0.5">
      <c r="B357" s="46" t="s">
        <v>323</v>
      </c>
      <c r="C357" s="46" t="s">
        <v>190</v>
      </c>
      <c r="D357" s="47">
        <v>1</v>
      </c>
      <c r="E357" s="48" t="s">
        <v>1481</v>
      </c>
      <c r="F357" s="30" t="str">
        <f t="shared" si="10"/>
        <v>Completed</v>
      </c>
      <c r="G357" s="46" t="s">
        <v>1324</v>
      </c>
      <c r="I357" s="46" t="str">
        <f>IFERROR(VLOOKUP(B357,'Test 1,2'!$E$4:$I$604,5,0),"NOT BILLED")</f>
        <v>Sep</v>
      </c>
      <c r="J357" s="46" t="str">
        <f t="shared" si="11"/>
        <v>PASS</v>
      </c>
    </row>
    <row r="358" spans="2:10" x14ac:dyDescent="0.5">
      <c r="B358" s="46" t="s">
        <v>1071</v>
      </c>
      <c r="C358" s="46" t="s">
        <v>156</v>
      </c>
      <c r="D358" s="47">
        <v>1</v>
      </c>
      <c r="E358" s="48" t="s">
        <v>1482</v>
      </c>
      <c r="F358" s="30" t="str">
        <f t="shared" si="10"/>
        <v>Completed</v>
      </c>
      <c r="G358" s="46" t="s">
        <v>1324</v>
      </c>
      <c r="I358" s="46" t="str">
        <f>IFERROR(VLOOKUP(B358,'Test 1,2'!$E$4:$I$604,5,0),"NOT BILLED")</f>
        <v>Oct</v>
      </c>
      <c r="J358" s="46" t="str">
        <f t="shared" si="11"/>
        <v>PASS</v>
      </c>
    </row>
    <row r="359" spans="2:10" x14ac:dyDescent="0.5">
      <c r="B359" s="46" t="s">
        <v>243</v>
      </c>
      <c r="C359" s="46" t="s">
        <v>119</v>
      </c>
      <c r="D359" s="47">
        <v>1</v>
      </c>
      <c r="E359" s="48" t="s">
        <v>1481</v>
      </c>
      <c r="F359" s="30" t="str">
        <f t="shared" si="10"/>
        <v>Completed</v>
      </c>
      <c r="G359" s="46" t="s">
        <v>1324</v>
      </c>
      <c r="I359" s="46" t="str">
        <f>IFERROR(VLOOKUP(B359,'Test 1,2'!$E$4:$I$604,5,0),"NOT BILLED")</f>
        <v>Jul</v>
      </c>
      <c r="J359" s="46" t="str">
        <f t="shared" si="11"/>
        <v>PASS</v>
      </c>
    </row>
    <row r="360" spans="2:10" x14ac:dyDescent="0.5">
      <c r="B360" s="46" t="s">
        <v>138</v>
      </c>
      <c r="C360" s="46" t="s">
        <v>54</v>
      </c>
      <c r="D360" s="47">
        <v>1</v>
      </c>
      <c r="E360" s="48" t="s">
        <v>1481</v>
      </c>
      <c r="F360" s="30" t="str">
        <f t="shared" si="10"/>
        <v>Completed</v>
      </c>
      <c r="G360" s="46" t="s">
        <v>1324</v>
      </c>
      <c r="I360" s="46" t="str">
        <f>IFERROR(VLOOKUP(B360,'Test 1,2'!$E$4:$I$604,5,0),"NOT BILLED")</f>
        <v>May</v>
      </c>
      <c r="J360" s="46" t="str">
        <f t="shared" si="11"/>
        <v>PASS</v>
      </c>
    </row>
    <row r="361" spans="2:10" x14ac:dyDescent="0.5">
      <c r="B361" s="46" t="s">
        <v>863</v>
      </c>
      <c r="C361" s="46" t="s">
        <v>114</v>
      </c>
      <c r="D361" s="47">
        <v>1</v>
      </c>
      <c r="E361" s="48" t="s">
        <v>1481</v>
      </c>
      <c r="F361" s="30" t="str">
        <f t="shared" si="10"/>
        <v>Completed</v>
      </c>
      <c r="G361" s="46" t="s">
        <v>1324</v>
      </c>
      <c r="I361" s="46" t="str">
        <f>IFERROR(VLOOKUP(B361,'Test 1,2'!$E$4:$I$604,5,0),"NOT BILLED")</f>
        <v>Jul</v>
      </c>
      <c r="J361" s="46" t="str">
        <f t="shared" si="11"/>
        <v>PASS</v>
      </c>
    </row>
    <row r="362" spans="2:10" x14ac:dyDescent="0.5">
      <c r="B362" s="46" t="s">
        <v>650</v>
      </c>
      <c r="C362" s="46" t="s">
        <v>332</v>
      </c>
      <c r="D362" s="47">
        <v>1</v>
      </c>
      <c r="E362" s="48" t="s">
        <v>1481</v>
      </c>
      <c r="F362" s="30" t="str">
        <f t="shared" si="10"/>
        <v>Completed</v>
      </c>
      <c r="G362" s="46" t="s">
        <v>1324</v>
      </c>
      <c r="I362" s="46" t="str">
        <f>IFERROR(VLOOKUP(B362,'Test 1,2'!$E$4:$I$604,5,0),"NOT BILLED")</f>
        <v>Apr</v>
      </c>
      <c r="J362" s="46" t="str">
        <f t="shared" si="11"/>
        <v>PASS</v>
      </c>
    </row>
    <row r="363" spans="2:10" x14ac:dyDescent="0.5">
      <c r="B363" s="46" t="s">
        <v>783</v>
      </c>
      <c r="C363" s="46" t="s">
        <v>238</v>
      </c>
      <c r="D363" s="47">
        <v>1</v>
      </c>
      <c r="E363" s="48" t="s">
        <v>1481</v>
      </c>
      <c r="F363" s="30" t="str">
        <f t="shared" si="10"/>
        <v>Completed</v>
      </c>
      <c r="G363" s="46" t="s">
        <v>1324</v>
      </c>
      <c r="I363" s="46" t="str">
        <f>IFERROR(VLOOKUP(B363,'Test 1,2'!$E$4:$I$604,5,0),"NOT BILLED")</f>
        <v>Jun</v>
      </c>
      <c r="J363" s="46" t="str">
        <f t="shared" si="11"/>
        <v>PASS</v>
      </c>
    </row>
    <row r="364" spans="2:10" x14ac:dyDescent="0.5">
      <c r="B364" s="46" t="s">
        <v>329</v>
      </c>
      <c r="C364" s="46" t="s">
        <v>87</v>
      </c>
      <c r="D364" s="47">
        <v>1</v>
      </c>
      <c r="E364" s="48" t="s">
        <v>1482</v>
      </c>
      <c r="F364" s="30" t="str">
        <f t="shared" si="10"/>
        <v>Completed</v>
      </c>
      <c r="G364" s="46" t="s">
        <v>1324</v>
      </c>
      <c r="I364" s="46" t="str">
        <f>IFERROR(VLOOKUP(B364,'Test 1,2'!$E$4:$I$604,5,0),"NOT BILLED")</f>
        <v>Sep</v>
      </c>
      <c r="J364" s="46" t="str">
        <f t="shared" si="11"/>
        <v>PASS</v>
      </c>
    </row>
    <row r="365" spans="2:10" x14ac:dyDescent="0.5">
      <c r="B365" s="46" t="s">
        <v>545</v>
      </c>
      <c r="C365" s="46" t="s">
        <v>72</v>
      </c>
      <c r="D365" s="47">
        <v>1</v>
      </c>
      <c r="E365" s="48" t="s">
        <v>1481</v>
      </c>
      <c r="F365" s="30" t="str">
        <f t="shared" si="10"/>
        <v>Completed</v>
      </c>
      <c r="G365" s="46" t="s">
        <v>1324</v>
      </c>
      <c r="I365" s="46" t="str">
        <f>IFERROR(VLOOKUP(B365,'Test 1,2'!$E$4:$I$604,5,0),"NOT BILLED")</f>
        <v>Jan</v>
      </c>
      <c r="J365" s="46" t="str">
        <f t="shared" si="11"/>
        <v>PASS</v>
      </c>
    </row>
    <row r="366" spans="2:10" x14ac:dyDescent="0.5">
      <c r="B366" s="46" t="s">
        <v>876</v>
      </c>
      <c r="C366" s="46" t="s">
        <v>143</v>
      </c>
      <c r="D366" s="47">
        <v>1</v>
      </c>
      <c r="E366" s="48" t="s">
        <v>1481</v>
      </c>
      <c r="F366" s="30" t="str">
        <f t="shared" si="10"/>
        <v>Completed</v>
      </c>
      <c r="G366" s="46" t="s">
        <v>1324</v>
      </c>
      <c r="I366" s="46" t="str">
        <f>IFERROR(VLOOKUP(B366,'Test 1,2'!$E$4:$I$604,5,0),"NOT BILLED")</f>
        <v>Aug</v>
      </c>
      <c r="J366" s="46" t="str">
        <f t="shared" si="11"/>
        <v>PASS</v>
      </c>
    </row>
    <row r="367" spans="2:10" x14ac:dyDescent="0.5">
      <c r="B367" s="46" t="s">
        <v>1178</v>
      </c>
      <c r="C367" s="46" t="s">
        <v>111</v>
      </c>
      <c r="D367" s="47">
        <v>1</v>
      </c>
      <c r="E367" s="48" t="s">
        <v>1481</v>
      </c>
      <c r="F367" s="30" t="str">
        <f t="shared" si="10"/>
        <v>Completed</v>
      </c>
      <c r="G367" s="46" t="s">
        <v>1325</v>
      </c>
      <c r="I367" s="46" t="str">
        <f>IFERROR(VLOOKUP(B367,'Test 1,2'!$E$4:$I$604,5,0),"NOT BILLED")</f>
        <v>Jan</v>
      </c>
      <c r="J367" s="46" t="str">
        <f t="shared" si="11"/>
        <v>PASS</v>
      </c>
    </row>
    <row r="368" spans="2:10" x14ac:dyDescent="0.5">
      <c r="B368" s="46" t="s">
        <v>382</v>
      </c>
      <c r="C368" s="46" t="s">
        <v>119</v>
      </c>
      <c r="D368" s="47">
        <v>1</v>
      </c>
      <c r="E368" s="48" t="s">
        <v>1482</v>
      </c>
      <c r="F368" s="30" t="str">
        <f t="shared" si="10"/>
        <v>Completed</v>
      </c>
      <c r="G368" s="46" t="s">
        <v>1324</v>
      </c>
      <c r="I368" s="46" t="str">
        <f>IFERROR(VLOOKUP(B368,'Test 1,2'!$E$4:$I$604,5,0),"NOT BILLED")</f>
        <v>Oct</v>
      </c>
      <c r="J368" s="46" t="str">
        <f t="shared" si="11"/>
        <v>PASS</v>
      </c>
    </row>
    <row r="369" spans="2:10" x14ac:dyDescent="0.5">
      <c r="B369" s="46" t="s">
        <v>491</v>
      </c>
      <c r="C369" s="46" t="s">
        <v>175</v>
      </c>
      <c r="D369" s="47">
        <v>1</v>
      </c>
      <c r="E369" s="48" t="s">
        <v>1482</v>
      </c>
      <c r="F369" s="30" t="str">
        <f t="shared" si="10"/>
        <v>Completed</v>
      </c>
      <c r="G369" s="46" t="s">
        <v>1324</v>
      </c>
      <c r="I369" s="46" t="str">
        <f>IFERROR(VLOOKUP(B369,'Test 1,2'!$E$4:$I$604,5,0),"NOT BILLED")</f>
        <v>Dec</v>
      </c>
      <c r="J369" s="46" t="str">
        <f t="shared" si="11"/>
        <v>PASS</v>
      </c>
    </row>
    <row r="370" spans="2:10" x14ac:dyDescent="0.5">
      <c r="B370" s="46" t="s">
        <v>399</v>
      </c>
      <c r="C370" s="46" t="s">
        <v>153</v>
      </c>
      <c r="D370" s="47">
        <v>1</v>
      </c>
      <c r="E370" s="48" t="s">
        <v>1482</v>
      </c>
      <c r="F370" s="30" t="str">
        <f t="shared" si="10"/>
        <v>Completed</v>
      </c>
      <c r="G370" s="46" t="s">
        <v>1324</v>
      </c>
      <c r="I370" s="46" t="str">
        <f>IFERROR(VLOOKUP(B370,'Test 1,2'!$E$4:$I$604,5,0),"NOT BILLED")</f>
        <v>Oct</v>
      </c>
      <c r="J370" s="46" t="str">
        <f t="shared" si="11"/>
        <v>PASS</v>
      </c>
    </row>
    <row r="371" spans="2:10" x14ac:dyDescent="0.5">
      <c r="B371" s="46" t="s">
        <v>1067</v>
      </c>
      <c r="C371" s="46" t="s">
        <v>27</v>
      </c>
      <c r="D371" s="47">
        <v>1</v>
      </c>
      <c r="E371" s="48" t="s">
        <v>1481</v>
      </c>
      <c r="F371" s="30" t="str">
        <f t="shared" si="10"/>
        <v>Completed</v>
      </c>
      <c r="G371" s="46" t="s">
        <v>1324</v>
      </c>
      <c r="I371" s="46" t="str">
        <f>IFERROR(VLOOKUP(B371,'Test 1,2'!$E$4:$I$604,5,0),"NOT BILLED")</f>
        <v>Nov</v>
      </c>
      <c r="J371" s="46" t="str">
        <f t="shared" si="11"/>
        <v>PASS</v>
      </c>
    </row>
    <row r="372" spans="2:10" x14ac:dyDescent="0.5">
      <c r="B372" s="46" t="s">
        <v>320</v>
      </c>
      <c r="C372" s="46" t="s">
        <v>128</v>
      </c>
      <c r="D372" s="47">
        <v>1</v>
      </c>
      <c r="E372" s="48" t="s">
        <v>1481</v>
      </c>
      <c r="F372" s="30" t="str">
        <f t="shared" si="10"/>
        <v>Completed</v>
      </c>
      <c r="G372" s="46" t="s">
        <v>1324</v>
      </c>
      <c r="I372" s="46" t="str">
        <f>IFERROR(VLOOKUP(B372,'Test 1,2'!$E$4:$I$604,5,0),"NOT BILLED")</f>
        <v>Sep</v>
      </c>
      <c r="J372" s="46" t="str">
        <f t="shared" si="11"/>
        <v>PASS</v>
      </c>
    </row>
    <row r="373" spans="2:10" x14ac:dyDescent="0.5">
      <c r="B373" s="46" t="s">
        <v>587</v>
      </c>
      <c r="C373" s="46" t="s">
        <v>143</v>
      </c>
      <c r="D373" s="47">
        <v>1</v>
      </c>
      <c r="E373" s="48" t="s">
        <v>1482</v>
      </c>
      <c r="F373" s="30" t="str">
        <f t="shared" si="10"/>
        <v>Completed</v>
      </c>
      <c r="G373" s="46" t="s">
        <v>1324</v>
      </c>
      <c r="I373" s="46" t="str">
        <f>IFERROR(VLOOKUP(B373,'Test 1,2'!$E$4:$I$604,5,0),"NOT BILLED")</f>
        <v>Mar</v>
      </c>
      <c r="J373" s="46" t="str">
        <f t="shared" si="11"/>
        <v>PASS</v>
      </c>
    </row>
    <row r="374" spans="2:10" x14ac:dyDescent="0.5">
      <c r="B374" s="46" t="s">
        <v>918</v>
      </c>
      <c r="C374" s="46" t="s">
        <v>269</v>
      </c>
      <c r="D374" s="47">
        <v>1</v>
      </c>
      <c r="E374" s="48" t="s">
        <v>1482</v>
      </c>
      <c r="F374" s="30" t="str">
        <f t="shared" si="10"/>
        <v>Completed</v>
      </c>
      <c r="G374" s="46" t="s">
        <v>1324</v>
      </c>
      <c r="I374" s="46" t="str">
        <f>IFERROR(VLOOKUP(B374,'Test 1,2'!$E$4:$I$604,5,0),"NOT BILLED")</f>
        <v>Aug</v>
      </c>
      <c r="J374" s="46" t="str">
        <f t="shared" si="11"/>
        <v>PASS</v>
      </c>
    </row>
    <row r="375" spans="2:10" x14ac:dyDescent="0.5">
      <c r="B375" s="46" t="s">
        <v>1073</v>
      </c>
      <c r="C375" s="46" t="s">
        <v>84</v>
      </c>
      <c r="D375" s="47">
        <v>1</v>
      </c>
      <c r="E375" s="48" t="s">
        <v>1482</v>
      </c>
      <c r="F375" s="30" t="str">
        <f t="shared" si="10"/>
        <v>Completed</v>
      </c>
      <c r="G375" s="46" t="s">
        <v>1324</v>
      </c>
      <c r="I375" s="46" t="str">
        <f>IFERROR(VLOOKUP(B375,'Test 1,2'!$E$4:$I$604,5,0),"NOT BILLED")</f>
        <v>Nov</v>
      </c>
      <c r="J375" s="46" t="str">
        <f t="shared" si="11"/>
        <v>PASS</v>
      </c>
    </row>
    <row r="376" spans="2:10" x14ac:dyDescent="0.5">
      <c r="B376" s="46" t="s">
        <v>878</v>
      </c>
      <c r="C376" s="46" t="s">
        <v>22</v>
      </c>
      <c r="D376" s="47">
        <v>1</v>
      </c>
      <c r="E376" s="48" t="s">
        <v>1481</v>
      </c>
      <c r="F376" s="30" t="str">
        <f t="shared" si="10"/>
        <v>Completed</v>
      </c>
      <c r="G376" s="46" t="s">
        <v>1324</v>
      </c>
      <c r="I376" s="46" t="str">
        <f>IFERROR(VLOOKUP(B376,'Test 1,2'!$E$4:$I$604,5,0),"NOT BILLED")</f>
        <v>Aug</v>
      </c>
      <c r="J376" s="46" t="str">
        <f t="shared" si="11"/>
        <v>PASS</v>
      </c>
    </row>
    <row r="377" spans="2:10" x14ac:dyDescent="0.5">
      <c r="B377" s="46" t="s">
        <v>815</v>
      </c>
      <c r="C377" s="46" t="s">
        <v>81</v>
      </c>
      <c r="D377" s="47">
        <v>1</v>
      </c>
      <c r="E377" s="48" t="s">
        <v>1482</v>
      </c>
      <c r="F377" s="30" t="str">
        <f t="shared" si="10"/>
        <v>Completed</v>
      </c>
      <c r="G377" s="46" t="s">
        <v>1324</v>
      </c>
      <c r="I377" s="46" t="str">
        <f>IFERROR(VLOOKUP(B377,'Test 1,2'!$E$4:$I$604,5,0),"NOT BILLED")</f>
        <v>Jul</v>
      </c>
      <c r="J377" s="46" t="str">
        <f t="shared" si="11"/>
        <v>PASS</v>
      </c>
    </row>
    <row r="378" spans="2:10" x14ac:dyDescent="0.5">
      <c r="B378" s="46" t="s">
        <v>348</v>
      </c>
      <c r="C378" s="46" t="s">
        <v>95</v>
      </c>
      <c r="D378" s="47">
        <v>1</v>
      </c>
      <c r="E378" s="48" t="s">
        <v>1482</v>
      </c>
      <c r="F378" s="30" t="str">
        <f t="shared" si="10"/>
        <v>Completed</v>
      </c>
      <c r="G378" s="46" t="s">
        <v>1324</v>
      </c>
      <c r="I378" s="46" t="str">
        <f>IFERROR(VLOOKUP(B378,'Test 1,2'!$E$4:$I$604,5,0),"NOT BILLED")</f>
        <v>Sep</v>
      </c>
      <c r="J378" s="46" t="str">
        <f t="shared" si="11"/>
        <v>PASS</v>
      </c>
    </row>
    <row r="379" spans="2:10" x14ac:dyDescent="0.5">
      <c r="B379" s="46" t="s">
        <v>365</v>
      </c>
      <c r="C379" s="46" t="s">
        <v>40</v>
      </c>
      <c r="D379" s="47">
        <v>1</v>
      </c>
      <c r="E379" s="48" t="s">
        <v>1481</v>
      </c>
      <c r="F379" s="30" t="str">
        <f t="shared" si="10"/>
        <v>Completed</v>
      </c>
      <c r="G379" s="46" t="s">
        <v>1324</v>
      </c>
      <c r="I379" s="46" t="str">
        <f>IFERROR(VLOOKUP(B379,'Test 1,2'!$E$4:$I$604,5,0),"NOT BILLED")</f>
        <v>Sep</v>
      </c>
      <c r="J379" s="46" t="str">
        <f t="shared" si="11"/>
        <v>PASS</v>
      </c>
    </row>
    <row r="380" spans="2:10" x14ac:dyDescent="0.5">
      <c r="B380" s="46" t="s">
        <v>712</v>
      </c>
      <c r="C380" s="46" t="s">
        <v>608</v>
      </c>
      <c r="D380" s="47">
        <v>1</v>
      </c>
      <c r="E380" s="48" t="s">
        <v>1482</v>
      </c>
      <c r="F380" s="30" t="str">
        <f t="shared" si="10"/>
        <v>Completed</v>
      </c>
      <c r="G380" s="46" t="s">
        <v>1324</v>
      </c>
      <c r="I380" s="46" t="str">
        <f>IFERROR(VLOOKUP(B380,'Test 1,2'!$E$4:$I$604,5,0),"NOT BILLED")</f>
        <v>May</v>
      </c>
      <c r="J380" s="46" t="str">
        <f t="shared" si="11"/>
        <v>PASS</v>
      </c>
    </row>
    <row r="381" spans="2:10" x14ac:dyDescent="0.5">
      <c r="B381" s="46" t="s">
        <v>427</v>
      </c>
      <c r="C381" s="46" t="s">
        <v>143</v>
      </c>
      <c r="D381" s="47">
        <v>1</v>
      </c>
      <c r="E381" s="48" t="s">
        <v>1482</v>
      </c>
      <c r="F381" s="30" t="str">
        <f t="shared" si="10"/>
        <v>Completed</v>
      </c>
      <c r="G381" s="46" t="s">
        <v>1324</v>
      </c>
      <c r="I381" s="46" t="str">
        <f>IFERROR(VLOOKUP(B381,'Test 1,2'!$E$4:$I$604,5,0),"NOT BILLED")</f>
        <v>Nov</v>
      </c>
      <c r="J381" s="46" t="str">
        <f t="shared" si="11"/>
        <v>PASS</v>
      </c>
    </row>
    <row r="382" spans="2:10" x14ac:dyDescent="0.5">
      <c r="B382" s="46" t="s">
        <v>927</v>
      </c>
      <c r="C382" s="46" t="s">
        <v>143</v>
      </c>
      <c r="D382" s="47">
        <v>1</v>
      </c>
      <c r="E382" s="48" t="s">
        <v>1482</v>
      </c>
      <c r="F382" s="30" t="str">
        <f t="shared" si="10"/>
        <v>Completed</v>
      </c>
      <c r="G382" s="46" t="s">
        <v>1325</v>
      </c>
      <c r="I382" s="46" t="str">
        <f>IFERROR(VLOOKUP(B382,'Test 1,2'!$E$4:$I$604,5,0),"NOT BILLED")</f>
        <v>Aug</v>
      </c>
      <c r="J382" s="46" t="str">
        <f t="shared" si="11"/>
        <v>PASS</v>
      </c>
    </row>
    <row r="383" spans="2:10" x14ac:dyDescent="0.5">
      <c r="B383" s="46" t="s">
        <v>1170</v>
      </c>
      <c r="C383" s="46" t="s">
        <v>272</v>
      </c>
      <c r="D383" s="47">
        <v>1</v>
      </c>
      <c r="E383" s="48" t="s">
        <v>1482</v>
      </c>
      <c r="F383" s="30" t="str">
        <f t="shared" si="10"/>
        <v>Completed</v>
      </c>
      <c r="G383" s="46" t="s">
        <v>1324</v>
      </c>
      <c r="I383" s="46" t="str">
        <f>IFERROR(VLOOKUP(B383,'Test 1,2'!$E$4:$I$604,5,0),"NOT BILLED")</f>
        <v>Jan</v>
      </c>
      <c r="J383" s="46" t="str">
        <f t="shared" si="11"/>
        <v>PASS</v>
      </c>
    </row>
    <row r="384" spans="2:10" x14ac:dyDescent="0.5">
      <c r="B384" s="46" t="s">
        <v>1075</v>
      </c>
      <c r="C384" s="46" t="s">
        <v>95</v>
      </c>
      <c r="D384" s="47">
        <v>1</v>
      </c>
      <c r="E384" s="48" t="s">
        <v>1481</v>
      </c>
      <c r="F384" s="30" t="str">
        <f t="shared" si="10"/>
        <v>Completed</v>
      </c>
      <c r="G384" s="46" t="s">
        <v>1324</v>
      </c>
      <c r="I384" s="46" t="str">
        <f>IFERROR(VLOOKUP(B384,'Test 1,2'!$E$4:$I$604,5,0),"NOT BILLED")</f>
        <v>Nov</v>
      </c>
      <c r="J384" s="46" t="str">
        <f t="shared" si="11"/>
        <v>PASS</v>
      </c>
    </row>
    <row r="385" spans="2:10" x14ac:dyDescent="0.5">
      <c r="B385" s="46" t="s">
        <v>432</v>
      </c>
      <c r="C385" s="46" t="s">
        <v>184</v>
      </c>
      <c r="D385" s="47">
        <v>1</v>
      </c>
      <c r="E385" s="48" t="s">
        <v>1482</v>
      </c>
      <c r="F385" s="30" t="str">
        <f t="shared" si="10"/>
        <v>Completed</v>
      </c>
      <c r="G385" s="46" t="s">
        <v>1324</v>
      </c>
      <c r="I385" s="46" t="str">
        <f>IFERROR(VLOOKUP(B385,'Test 1,2'!$E$4:$I$604,5,0),"NOT BILLED")</f>
        <v>Nov</v>
      </c>
      <c r="J385" s="46" t="str">
        <f t="shared" si="11"/>
        <v>PASS</v>
      </c>
    </row>
    <row r="386" spans="2:10" x14ac:dyDescent="0.5">
      <c r="B386" s="46" t="s">
        <v>867</v>
      </c>
      <c r="C386" s="46" t="s">
        <v>332</v>
      </c>
      <c r="D386" s="47">
        <v>1</v>
      </c>
      <c r="E386" s="48" t="s">
        <v>1481</v>
      </c>
      <c r="F386" s="30" t="str">
        <f t="shared" si="10"/>
        <v>Completed</v>
      </c>
      <c r="G386" s="46" t="s">
        <v>1324</v>
      </c>
      <c r="I386" s="46" t="str">
        <f>IFERROR(VLOOKUP(B386,'Test 1,2'!$E$4:$I$604,5,0),"NOT BILLED")</f>
        <v>Jul</v>
      </c>
      <c r="J386" s="46" t="str">
        <f t="shared" si="11"/>
        <v>PASS</v>
      </c>
    </row>
    <row r="387" spans="2:10" x14ac:dyDescent="0.5">
      <c r="B387" s="46" t="s">
        <v>763</v>
      </c>
      <c r="C387" s="46" t="s">
        <v>125</v>
      </c>
      <c r="D387" s="47">
        <v>1</v>
      </c>
      <c r="E387" s="48" t="s">
        <v>1482</v>
      </c>
      <c r="F387" s="30" t="str">
        <f t="shared" si="10"/>
        <v>Completed</v>
      </c>
      <c r="G387" s="46" t="s">
        <v>1324</v>
      </c>
      <c r="I387" s="46" t="str">
        <f>IFERROR(VLOOKUP(B387,'Test 1,2'!$E$4:$I$604,5,0),"NOT BILLED")</f>
        <v>Jun</v>
      </c>
      <c r="J387" s="46" t="str">
        <f t="shared" si="11"/>
        <v>PASS</v>
      </c>
    </row>
    <row r="388" spans="2:10" x14ac:dyDescent="0.5">
      <c r="B388" s="46" t="s">
        <v>215</v>
      </c>
      <c r="C388" s="46" t="s">
        <v>84</v>
      </c>
      <c r="D388" s="47">
        <v>1</v>
      </c>
      <c r="E388" s="48" t="s">
        <v>1481</v>
      </c>
      <c r="F388" s="30" t="str">
        <f t="shared" ref="F388:F451" si="12">IF(D388=100%,"Completed","Contract-In-Progress")</f>
        <v>Completed</v>
      </c>
      <c r="G388" s="46" t="s">
        <v>1324</v>
      </c>
      <c r="I388" s="46" t="str">
        <f>IFERROR(VLOOKUP(B388,'Test 1,2'!$E$4:$I$604,5,0),"NOT BILLED")</f>
        <v>Jul</v>
      </c>
      <c r="J388" s="46" t="str">
        <f t="shared" ref="J388:J451" si="13">IF(I388&lt;&gt;"NOT BILLED",IF(D388=100%,"PASS","FLAG"),IF(D388&lt;100%,"PASS","FLAG"))</f>
        <v>PASS</v>
      </c>
    </row>
    <row r="389" spans="2:10" x14ac:dyDescent="0.5">
      <c r="B389" s="46" t="s">
        <v>401</v>
      </c>
      <c r="C389" s="46" t="s">
        <v>50</v>
      </c>
      <c r="D389" s="47">
        <v>1</v>
      </c>
      <c r="E389" s="48" t="s">
        <v>1482</v>
      </c>
      <c r="F389" s="30" t="str">
        <f t="shared" si="12"/>
        <v>Completed</v>
      </c>
      <c r="G389" s="46" t="s">
        <v>1324</v>
      </c>
      <c r="I389" s="46" t="str">
        <f>IFERROR(VLOOKUP(B389,'Test 1,2'!$E$4:$I$604,5,0),"NOT BILLED")</f>
        <v>Oct</v>
      </c>
      <c r="J389" s="46" t="str">
        <f t="shared" si="13"/>
        <v>PASS</v>
      </c>
    </row>
    <row r="390" spans="2:10" x14ac:dyDescent="0.5">
      <c r="B390" s="46" t="s">
        <v>1065</v>
      </c>
      <c r="C390" s="46" t="s">
        <v>272</v>
      </c>
      <c r="D390" s="47">
        <v>1</v>
      </c>
      <c r="E390" s="48" t="s">
        <v>1481</v>
      </c>
      <c r="F390" s="30" t="str">
        <f t="shared" si="12"/>
        <v>Completed</v>
      </c>
      <c r="G390" s="46" t="s">
        <v>1324</v>
      </c>
      <c r="I390" s="46" t="str">
        <f>IFERROR(VLOOKUP(B390,'Test 1,2'!$E$4:$I$604,5,0),"NOT BILLED")</f>
        <v>Nov</v>
      </c>
      <c r="J390" s="46" t="str">
        <f t="shared" si="13"/>
        <v>PASS</v>
      </c>
    </row>
    <row r="391" spans="2:10" x14ac:dyDescent="0.5">
      <c r="B391" s="46" t="s">
        <v>1030</v>
      </c>
      <c r="C391" s="46" t="s">
        <v>293</v>
      </c>
      <c r="D391" s="47">
        <v>1</v>
      </c>
      <c r="E391" s="48" t="s">
        <v>1482</v>
      </c>
      <c r="F391" s="30" t="str">
        <f t="shared" si="12"/>
        <v>Completed</v>
      </c>
      <c r="G391" s="46" t="s">
        <v>1324</v>
      </c>
      <c r="I391" s="46" t="str">
        <f>IFERROR(VLOOKUP(B391,'Test 1,2'!$E$4:$I$604,5,0),"NOT BILLED")</f>
        <v>Nov</v>
      </c>
      <c r="J391" s="46" t="str">
        <f t="shared" si="13"/>
        <v>PASS</v>
      </c>
    </row>
    <row r="392" spans="2:10" x14ac:dyDescent="0.5">
      <c r="B392" s="46" t="s">
        <v>837</v>
      </c>
      <c r="C392" s="46" t="s">
        <v>81</v>
      </c>
      <c r="D392" s="47">
        <v>1</v>
      </c>
      <c r="E392" s="48" t="s">
        <v>1482</v>
      </c>
      <c r="F392" s="30" t="str">
        <f t="shared" si="12"/>
        <v>Completed</v>
      </c>
      <c r="G392" s="46" t="s">
        <v>1324</v>
      </c>
      <c r="I392" s="46" t="str">
        <f>IFERROR(VLOOKUP(B392,'Test 1,2'!$E$4:$I$604,5,0),"NOT BILLED")</f>
        <v>Jul</v>
      </c>
      <c r="J392" s="46" t="str">
        <f t="shared" si="13"/>
        <v>PASS</v>
      </c>
    </row>
    <row r="393" spans="2:10" x14ac:dyDescent="0.5">
      <c r="B393" s="46" t="s">
        <v>510</v>
      </c>
      <c r="C393" s="46" t="s">
        <v>128</v>
      </c>
      <c r="D393" s="47">
        <v>1</v>
      </c>
      <c r="E393" s="48" t="s">
        <v>1481</v>
      </c>
      <c r="F393" s="30" t="str">
        <f t="shared" si="12"/>
        <v>Completed</v>
      </c>
      <c r="G393" s="46" t="s">
        <v>1324</v>
      </c>
      <c r="I393" s="46" t="str">
        <f>IFERROR(VLOOKUP(B393,'Test 1,2'!$E$4:$I$604,5,0),"NOT BILLED")</f>
        <v>Jan</v>
      </c>
      <c r="J393" s="46" t="str">
        <f t="shared" si="13"/>
        <v>PASS</v>
      </c>
    </row>
    <row r="394" spans="2:10" x14ac:dyDescent="0.5">
      <c r="B394" s="46" t="s">
        <v>199</v>
      </c>
      <c r="C394" s="46" t="s">
        <v>27</v>
      </c>
      <c r="D394" s="47">
        <v>1</v>
      </c>
      <c r="E394" s="48" t="s">
        <v>1482</v>
      </c>
      <c r="F394" s="30" t="str">
        <f t="shared" si="12"/>
        <v>Completed</v>
      </c>
      <c r="G394" s="46" t="s">
        <v>1324</v>
      </c>
      <c r="I394" s="46" t="str">
        <f>IFERROR(VLOOKUP(B394,'Test 1,2'!$E$4:$I$604,5,0),"NOT BILLED")</f>
        <v>Jun</v>
      </c>
      <c r="J394" s="46" t="str">
        <f t="shared" si="13"/>
        <v>PASS</v>
      </c>
    </row>
    <row r="395" spans="2:10" x14ac:dyDescent="0.5">
      <c r="B395" s="46" t="s">
        <v>767</v>
      </c>
      <c r="C395" s="46" t="s">
        <v>15</v>
      </c>
      <c r="D395" s="47">
        <v>1</v>
      </c>
      <c r="E395" s="48" t="s">
        <v>1481</v>
      </c>
      <c r="F395" s="30" t="str">
        <f t="shared" si="12"/>
        <v>Completed</v>
      </c>
      <c r="G395" s="46" t="s">
        <v>1324</v>
      </c>
      <c r="I395" s="46" t="str">
        <f>IFERROR(VLOOKUP(B395,'Test 1,2'!$E$4:$I$604,5,0),"NOT BILLED")</f>
        <v>Jun</v>
      </c>
      <c r="J395" s="46" t="str">
        <f t="shared" si="13"/>
        <v>PASS</v>
      </c>
    </row>
    <row r="396" spans="2:10" x14ac:dyDescent="0.5">
      <c r="B396" s="46" t="s">
        <v>516</v>
      </c>
      <c r="C396" s="46" t="s">
        <v>203</v>
      </c>
      <c r="D396" s="47">
        <v>1</v>
      </c>
      <c r="E396" s="48" t="s">
        <v>1481</v>
      </c>
      <c r="F396" s="30" t="str">
        <f t="shared" si="12"/>
        <v>Completed</v>
      </c>
      <c r="G396" s="46" t="s">
        <v>1324</v>
      </c>
      <c r="I396" s="46" t="str">
        <f>IFERROR(VLOOKUP(B396,'Test 1,2'!$E$4:$I$604,5,0),"NOT BILLED")</f>
        <v>Jan</v>
      </c>
      <c r="J396" s="46" t="str">
        <f t="shared" si="13"/>
        <v>PASS</v>
      </c>
    </row>
    <row r="397" spans="2:10" x14ac:dyDescent="0.5">
      <c r="B397" s="46" t="s">
        <v>573</v>
      </c>
      <c r="C397" s="46" t="s">
        <v>64</v>
      </c>
      <c r="D397" s="47">
        <v>1</v>
      </c>
      <c r="E397" s="48" t="s">
        <v>1482</v>
      </c>
      <c r="F397" s="30" t="str">
        <f t="shared" si="12"/>
        <v>Completed</v>
      </c>
      <c r="G397" s="46" t="s">
        <v>1324</v>
      </c>
      <c r="I397" s="46" t="str">
        <f>IFERROR(VLOOKUP(B397,'Test 1,2'!$E$4:$I$604,5,0),"NOT BILLED")</f>
        <v>Mar</v>
      </c>
      <c r="J397" s="46" t="str">
        <f t="shared" si="13"/>
        <v>PASS</v>
      </c>
    </row>
    <row r="398" spans="2:10" x14ac:dyDescent="0.5">
      <c r="B398" s="46" t="s">
        <v>706</v>
      </c>
      <c r="C398" s="46" t="s">
        <v>195</v>
      </c>
      <c r="D398" s="47">
        <v>1</v>
      </c>
      <c r="E398" s="48" t="s">
        <v>1482</v>
      </c>
      <c r="F398" s="30" t="str">
        <f t="shared" si="12"/>
        <v>Completed</v>
      </c>
      <c r="G398" s="46" t="s">
        <v>1324</v>
      </c>
      <c r="I398" s="46" t="str">
        <f>IFERROR(VLOOKUP(B398,'Test 1,2'!$E$4:$I$604,5,0),"NOT BILLED")</f>
        <v>May</v>
      </c>
      <c r="J398" s="46" t="str">
        <f t="shared" si="13"/>
        <v>PASS</v>
      </c>
    </row>
    <row r="399" spans="2:10" x14ac:dyDescent="0.5">
      <c r="B399" s="46" t="s">
        <v>700</v>
      </c>
      <c r="C399" s="46" t="s">
        <v>111</v>
      </c>
      <c r="D399" s="47">
        <v>1</v>
      </c>
      <c r="E399" s="48" t="s">
        <v>1482</v>
      </c>
      <c r="F399" s="30" t="str">
        <f t="shared" si="12"/>
        <v>Completed</v>
      </c>
      <c r="G399" s="46" t="s">
        <v>1324</v>
      </c>
      <c r="I399" s="46" t="str">
        <f>IFERROR(VLOOKUP(B399,'Test 1,2'!$E$4:$I$604,5,0),"NOT BILLED")</f>
        <v>May</v>
      </c>
      <c r="J399" s="46" t="str">
        <f t="shared" si="13"/>
        <v>PASS</v>
      </c>
    </row>
    <row r="400" spans="2:10" x14ac:dyDescent="0.5">
      <c r="B400" s="46" t="s">
        <v>658</v>
      </c>
      <c r="C400" s="46" t="s">
        <v>187</v>
      </c>
      <c r="D400" s="47">
        <v>1</v>
      </c>
      <c r="E400" s="48" t="s">
        <v>1481</v>
      </c>
      <c r="F400" s="30" t="str">
        <f t="shared" si="12"/>
        <v>Completed</v>
      </c>
      <c r="G400" s="46" t="s">
        <v>1324</v>
      </c>
      <c r="I400" s="46" t="str">
        <f>IFERROR(VLOOKUP(B400,'Test 1,2'!$E$4:$I$604,5,0),"NOT BILLED")</f>
        <v>Apr</v>
      </c>
      <c r="J400" s="46" t="str">
        <f t="shared" si="13"/>
        <v>PASS</v>
      </c>
    </row>
    <row r="401" spans="2:10" x14ac:dyDescent="0.5">
      <c r="B401" s="46" t="s">
        <v>1214</v>
      </c>
      <c r="C401" s="46" t="s">
        <v>203</v>
      </c>
      <c r="D401" s="47">
        <v>1</v>
      </c>
      <c r="E401" s="48" t="s">
        <v>1482</v>
      </c>
      <c r="F401" s="30" t="str">
        <f t="shared" si="12"/>
        <v>Completed</v>
      </c>
      <c r="G401" s="46" t="s">
        <v>1324</v>
      </c>
      <c r="I401" s="46" t="str">
        <f>IFERROR(VLOOKUP(B401,'Test 1,2'!$E$4:$I$604,5,0),"NOT BILLED")</f>
        <v>Feb</v>
      </c>
      <c r="J401" s="46" t="str">
        <f t="shared" si="13"/>
        <v>PASS</v>
      </c>
    </row>
    <row r="402" spans="2:10" x14ac:dyDescent="0.5">
      <c r="B402" s="46" t="s">
        <v>1274</v>
      </c>
      <c r="C402" s="46" t="s">
        <v>103</v>
      </c>
      <c r="D402" s="47">
        <v>1</v>
      </c>
      <c r="E402" s="48" t="s">
        <v>1482</v>
      </c>
      <c r="F402" s="30" t="str">
        <f t="shared" si="12"/>
        <v>Completed</v>
      </c>
      <c r="G402" s="46" t="s">
        <v>1324</v>
      </c>
      <c r="I402" s="46" t="str">
        <f>IFERROR(VLOOKUP(B402,'Test 1,2'!$E$4:$I$604,5,0),"NOT BILLED")</f>
        <v>Mar</v>
      </c>
      <c r="J402" s="46" t="str">
        <f t="shared" si="13"/>
        <v>PASS</v>
      </c>
    </row>
    <row r="403" spans="2:10" x14ac:dyDescent="0.5">
      <c r="B403" s="46" t="s">
        <v>369</v>
      </c>
      <c r="C403" s="46" t="s">
        <v>203</v>
      </c>
      <c r="D403" s="47">
        <v>1</v>
      </c>
      <c r="E403" s="48" t="s">
        <v>1481</v>
      </c>
      <c r="F403" s="30" t="str">
        <f t="shared" si="12"/>
        <v>Completed</v>
      </c>
      <c r="G403" s="46" t="s">
        <v>1324</v>
      </c>
      <c r="I403" s="46" t="str">
        <f>IFERROR(VLOOKUP(B403,'Test 1,2'!$E$4:$I$604,5,0),"NOT BILLED")</f>
        <v>Sep</v>
      </c>
      <c r="J403" s="46" t="str">
        <f t="shared" si="13"/>
        <v>PASS</v>
      </c>
    </row>
    <row r="404" spans="2:10" x14ac:dyDescent="0.5">
      <c r="B404" s="46" t="s">
        <v>674</v>
      </c>
      <c r="C404" s="46" t="s">
        <v>122</v>
      </c>
      <c r="D404" s="47">
        <v>1</v>
      </c>
      <c r="E404" s="48" t="s">
        <v>1481</v>
      </c>
      <c r="F404" s="30" t="str">
        <f t="shared" si="12"/>
        <v>Completed</v>
      </c>
      <c r="G404" s="46" t="s">
        <v>1324</v>
      </c>
      <c r="I404" s="46" t="str">
        <f>IFERROR(VLOOKUP(B404,'Test 1,2'!$E$4:$I$604,5,0),"NOT BILLED")</f>
        <v>Apr</v>
      </c>
      <c r="J404" s="46" t="str">
        <f t="shared" si="13"/>
        <v>PASS</v>
      </c>
    </row>
    <row r="405" spans="2:10" x14ac:dyDescent="0.5">
      <c r="B405" s="46" t="s">
        <v>898</v>
      </c>
      <c r="C405" s="46" t="s">
        <v>156</v>
      </c>
      <c r="D405" s="47">
        <v>1</v>
      </c>
      <c r="E405" s="48" t="s">
        <v>1481</v>
      </c>
      <c r="F405" s="30" t="str">
        <f t="shared" si="12"/>
        <v>Completed</v>
      </c>
      <c r="G405" s="46" t="s">
        <v>1324</v>
      </c>
      <c r="I405" s="46" t="str">
        <f>IFERROR(VLOOKUP(B405,'Test 1,2'!$E$4:$I$604,5,0),"NOT BILLED")</f>
        <v>Aug</v>
      </c>
      <c r="J405" s="46" t="str">
        <f t="shared" si="13"/>
        <v>PASS</v>
      </c>
    </row>
    <row r="406" spans="2:10" x14ac:dyDescent="0.5">
      <c r="B406" s="46" t="s">
        <v>526</v>
      </c>
      <c r="C406" s="46" t="s">
        <v>84</v>
      </c>
      <c r="D406" s="47">
        <v>1</v>
      </c>
      <c r="E406" s="48" t="s">
        <v>1481</v>
      </c>
      <c r="F406" s="30" t="str">
        <f t="shared" si="12"/>
        <v>Completed</v>
      </c>
      <c r="G406" s="46" t="s">
        <v>1324</v>
      </c>
      <c r="I406" s="46" t="str">
        <f>IFERROR(VLOOKUP(B406,'Test 1,2'!$E$4:$I$604,5,0),"NOT BILLED")</f>
        <v>Jan</v>
      </c>
      <c r="J406" s="46" t="str">
        <f t="shared" si="13"/>
        <v>PASS</v>
      </c>
    </row>
    <row r="407" spans="2:10" x14ac:dyDescent="0.5">
      <c r="B407" s="46" t="s">
        <v>757</v>
      </c>
      <c r="C407" s="46" t="s">
        <v>114</v>
      </c>
      <c r="D407" s="47">
        <v>1</v>
      </c>
      <c r="E407" s="48" t="s">
        <v>1482</v>
      </c>
      <c r="F407" s="30" t="str">
        <f t="shared" si="12"/>
        <v>Completed</v>
      </c>
      <c r="G407" s="46" t="s">
        <v>1324</v>
      </c>
      <c r="I407" s="46" t="str">
        <f>IFERROR(VLOOKUP(B407,'Test 1,2'!$E$4:$I$604,5,0),"NOT BILLED")</f>
        <v>May</v>
      </c>
      <c r="J407" s="46" t="str">
        <f t="shared" si="13"/>
        <v>PASS</v>
      </c>
    </row>
    <row r="408" spans="2:10" x14ac:dyDescent="0.5">
      <c r="B408" s="46" t="s">
        <v>1294</v>
      </c>
      <c r="C408" s="46" t="s">
        <v>378</v>
      </c>
      <c r="D408" s="47">
        <v>1</v>
      </c>
      <c r="E408" s="48" t="s">
        <v>1481</v>
      </c>
      <c r="F408" s="30" t="str">
        <f t="shared" si="12"/>
        <v>Completed</v>
      </c>
      <c r="G408" s="46" t="s">
        <v>1324</v>
      </c>
      <c r="I408" s="46" t="str">
        <f>IFERROR(VLOOKUP(B408,'Test 1,2'!$E$4:$I$604,5,0),"NOT BILLED")</f>
        <v>Mar</v>
      </c>
      <c r="J408" s="46" t="str">
        <f t="shared" si="13"/>
        <v>PASS</v>
      </c>
    </row>
    <row r="409" spans="2:10" x14ac:dyDescent="0.5">
      <c r="B409" s="46" t="s">
        <v>821</v>
      </c>
      <c r="C409" s="46" t="s">
        <v>92</v>
      </c>
      <c r="D409" s="47">
        <v>1</v>
      </c>
      <c r="E409" s="48" t="s">
        <v>1482</v>
      </c>
      <c r="F409" s="30" t="str">
        <f t="shared" si="12"/>
        <v>Completed</v>
      </c>
      <c r="G409" s="46" t="s">
        <v>1325</v>
      </c>
      <c r="I409" s="46" t="str">
        <f>IFERROR(VLOOKUP(B409,'Test 1,2'!$E$4:$I$604,5,0),"NOT BILLED")</f>
        <v>Jul</v>
      </c>
      <c r="J409" s="46" t="str">
        <f t="shared" si="13"/>
        <v>PASS</v>
      </c>
    </row>
    <row r="410" spans="2:10" x14ac:dyDescent="0.5">
      <c r="B410" s="46" t="s">
        <v>567</v>
      </c>
      <c r="C410" s="46" t="s">
        <v>184</v>
      </c>
      <c r="D410" s="47">
        <v>1</v>
      </c>
      <c r="E410" s="48" t="s">
        <v>1481</v>
      </c>
      <c r="F410" s="30" t="str">
        <f t="shared" si="12"/>
        <v>Completed</v>
      </c>
      <c r="G410" s="46" t="s">
        <v>1324</v>
      </c>
      <c r="I410" s="46" t="str">
        <f>IFERROR(VLOOKUP(B410,'Test 1,2'!$E$4:$I$604,5,0),"NOT BILLED")</f>
        <v>Feb</v>
      </c>
      <c r="J410" s="46" t="str">
        <f t="shared" si="13"/>
        <v>PASS</v>
      </c>
    </row>
    <row r="411" spans="2:10" x14ac:dyDescent="0.5">
      <c r="B411" s="46" t="s">
        <v>1180</v>
      </c>
      <c r="C411" s="46" t="s">
        <v>67</v>
      </c>
      <c r="D411" s="47">
        <v>1</v>
      </c>
      <c r="E411" s="48" t="s">
        <v>1482</v>
      </c>
      <c r="F411" s="30" t="str">
        <f t="shared" si="12"/>
        <v>Completed</v>
      </c>
      <c r="G411" s="46" t="s">
        <v>1324</v>
      </c>
      <c r="I411" s="46" t="str">
        <f>IFERROR(VLOOKUP(B411,'Test 1,2'!$E$4:$I$604,5,0),"NOT BILLED")</f>
        <v>Jan</v>
      </c>
      <c r="J411" s="46" t="str">
        <f t="shared" si="13"/>
        <v>PASS</v>
      </c>
    </row>
    <row r="412" spans="2:10" x14ac:dyDescent="0.5">
      <c r="B412" s="46" t="s">
        <v>110</v>
      </c>
      <c r="C412" s="46" t="s">
        <v>111</v>
      </c>
      <c r="D412" s="47">
        <v>1</v>
      </c>
      <c r="E412" s="48" t="s">
        <v>1482</v>
      </c>
      <c r="F412" s="30" t="str">
        <f t="shared" si="12"/>
        <v>Completed</v>
      </c>
      <c r="G412" s="46" t="s">
        <v>1325</v>
      </c>
      <c r="I412" s="46" t="str">
        <f>IFERROR(VLOOKUP(B412,'Test 1,2'!$E$4:$I$604,5,0),"NOT BILLED")</f>
        <v>May</v>
      </c>
      <c r="J412" s="46" t="str">
        <f t="shared" si="13"/>
        <v>PASS</v>
      </c>
    </row>
    <row r="413" spans="2:10" x14ac:dyDescent="0.5">
      <c r="B413" s="46" t="s">
        <v>1084</v>
      </c>
      <c r="C413" s="46" t="s">
        <v>229</v>
      </c>
      <c r="D413" s="47">
        <v>1</v>
      </c>
      <c r="E413" s="48" t="s">
        <v>1481</v>
      </c>
      <c r="F413" s="30" t="str">
        <f t="shared" si="12"/>
        <v>Completed</v>
      </c>
      <c r="G413" s="46" t="s">
        <v>1324</v>
      </c>
      <c r="I413" s="46" t="str">
        <f>IFERROR(VLOOKUP(B413,'Test 1,2'!$E$4:$I$604,5,0),"NOT BILLED")</f>
        <v>Dec</v>
      </c>
      <c r="J413" s="46" t="str">
        <f t="shared" si="13"/>
        <v>PASS</v>
      </c>
    </row>
    <row r="414" spans="2:10" x14ac:dyDescent="0.5">
      <c r="B414" s="46" t="s">
        <v>532</v>
      </c>
      <c r="C414" s="46" t="s">
        <v>60</v>
      </c>
      <c r="D414" s="47">
        <v>1</v>
      </c>
      <c r="E414" s="48" t="s">
        <v>1481</v>
      </c>
      <c r="F414" s="30" t="str">
        <f t="shared" si="12"/>
        <v>Completed</v>
      </c>
      <c r="G414" s="46" t="s">
        <v>1324</v>
      </c>
      <c r="I414" s="46" t="str">
        <f>IFERROR(VLOOKUP(B414,'Test 1,2'!$E$4:$I$604,5,0),"NOT BILLED")</f>
        <v>Jan</v>
      </c>
      <c r="J414" s="46" t="str">
        <f t="shared" si="13"/>
        <v>PASS</v>
      </c>
    </row>
    <row r="415" spans="2:10" x14ac:dyDescent="0.5">
      <c r="B415" s="46" t="s">
        <v>865</v>
      </c>
      <c r="C415" s="46" t="s">
        <v>87</v>
      </c>
      <c r="D415" s="47">
        <v>1</v>
      </c>
      <c r="E415" s="48" t="s">
        <v>1481</v>
      </c>
      <c r="F415" s="30" t="str">
        <f t="shared" si="12"/>
        <v>Completed</v>
      </c>
      <c r="G415" s="46" t="s">
        <v>1324</v>
      </c>
      <c r="I415" s="46" t="str">
        <f>IFERROR(VLOOKUP(B415,'Test 1,2'!$E$4:$I$604,5,0),"NOT BILLED")</f>
        <v>Jul</v>
      </c>
      <c r="J415" s="46" t="str">
        <f t="shared" si="13"/>
        <v>PASS</v>
      </c>
    </row>
    <row r="416" spans="2:10" x14ac:dyDescent="0.5">
      <c r="B416" s="46" t="s">
        <v>888</v>
      </c>
      <c r="C416" s="46" t="s">
        <v>77</v>
      </c>
      <c r="D416" s="47">
        <v>1</v>
      </c>
      <c r="E416" s="48" t="s">
        <v>1482</v>
      </c>
      <c r="F416" s="30" t="str">
        <f t="shared" si="12"/>
        <v>Completed</v>
      </c>
      <c r="G416" s="46" t="s">
        <v>1324</v>
      </c>
      <c r="I416" s="46" t="str">
        <f>IFERROR(VLOOKUP(B416,'Test 1,2'!$E$4:$I$604,5,0),"NOT BILLED")</f>
        <v>Aug</v>
      </c>
      <c r="J416" s="46" t="str">
        <f t="shared" si="13"/>
        <v>PASS</v>
      </c>
    </row>
    <row r="417" spans="2:10" x14ac:dyDescent="0.5">
      <c r="B417" s="46" t="s">
        <v>576</v>
      </c>
      <c r="C417" s="46" t="s">
        <v>577</v>
      </c>
      <c r="D417" s="47">
        <v>1</v>
      </c>
      <c r="E417" s="48" t="s">
        <v>1482</v>
      </c>
      <c r="F417" s="30" t="str">
        <f t="shared" si="12"/>
        <v>Completed</v>
      </c>
      <c r="G417" s="46" t="s">
        <v>1324</v>
      </c>
      <c r="I417" s="46" t="str">
        <f>IFERROR(VLOOKUP(B417,'Test 1,2'!$E$4:$I$604,5,0),"NOT BILLED")</f>
        <v>Mar</v>
      </c>
      <c r="J417" s="46" t="str">
        <f t="shared" si="13"/>
        <v>PASS</v>
      </c>
    </row>
    <row r="418" spans="2:10" x14ac:dyDescent="0.5">
      <c r="B418" s="46" t="s">
        <v>1094</v>
      </c>
      <c r="C418" s="46" t="s">
        <v>87</v>
      </c>
      <c r="D418" s="47">
        <v>1</v>
      </c>
      <c r="E418" s="48" t="s">
        <v>1481</v>
      </c>
      <c r="F418" s="30" t="str">
        <f t="shared" si="12"/>
        <v>Completed</v>
      </c>
      <c r="G418" s="46" t="s">
        <v>1324</v>
      </c>
      <c r="I418" s="46" t="str">
        <f>IFERROR(VLOOKUP(B418,'Test 1,2'!$E$4:$I$604,5,0),"NOT BILLED")</f>
        <v>Dec</v>
      </c>
      <c r="J418" s="46" t="str">
        <f t="shared" si="13"/>
        <v>PASS</v>
      </c>
    </row>
    <row r="419" spans="2:10" x14ac:dyDescent="0.5">
      <c r="B419" s="46" t="s">
        <v>680</v>
      </c>
      <c r="C419" s="46" t="s">
        <v>40</v>
      </c>
      <c r="D419" s="47">
        <v>1</v>
      </c>
      <c r="E419" s="48" t="s">
        <v>1481</v>
      </c>
      <c r="F419" s="30" t="str">
        <f t="shared" si="12"/>
        <v>Completed</v>
      </c>
      <c r="G419" s="46" t="s">
        <v>1324</v>
      </c>
      <c r="I419" s="46" t="str">
        <f>IFERROR(VLOOKUP(B419,'Test 1,2'!$E$4:$I$604,5,0),"NOT BILLED")</f>
        <v>Apr</v>
      </c>
      <c r="J419" s="46" t="str">
        <f t="shared" si="13"/>
        <v>PASS</v>
      </c>
    </row>
    <row r="420" spans="2:10" x14ac:dyDescent="0.5">
      <c r="B420" s="46" t="s">
        <v>466</v>
      </c>
      <c r="C420" s="46" t="s">
        <v>128</v>
      </c>
      <c r="D420" s="47">
        <v>1</v>
      </c>
      <c r="E420" s="48" t="s">
        <v>1482</v>
      </c>
      <c r="F420" s="30" t="str">
        <f t="shared" si="12"/>
        <v>Completed</v>
      </c>
      <c r="G420" s="46" t="s">
        <v>1324</v>
      </c>
      <c r="I420" s="46" t="str">
        <f>IFERROR(VLOOKUP(B420,'Test 1,2'!$E$4:$I$604,5,0),"NOT BILLED")</f>
        <v>Nov</v>
      </c>
      <c r="J420" s="46" t="str">
        <f t="shared" si="13"/>
        <v>PASS</v>
      </c>
    </row>
    <row r="421" spans="2:10" x14ac:dyDescent="0.5">
      <c r="B421" s="46" t="s">
        <v>1162</v>
      </c>
      <c r="C421" s="46" t="s">
        <v>40</v>
      </c>
      <c r="D421" s="47">
        <v>1</v>
      </c>
      <c r="E421" s="48" t="s">
        <v>1481</v>
      </c>
      <c r="F421" s="30" t="str">
        <f t="shared" si="12"/>
        <v>Completed</v>
      </c>
      <c r="G421" s="46" t="s">
        <v>1324</v>
      </c>
      <c r="I421" s="46" t="str">
        <f>IFERROR(VLOOKUP(B421,'Test 1,2'!$E$4:$I$604,5,0),"NOT BILLED")</f>
        <v>Jan</v>
      </c>
      <c r="J421" s="46" t="str">
        <f t="shared" si="13"/>
        <v>PASS</v>
      </c>
    </row>
    <row r="422" spans="2:10" x14ac:dyDescent="0.5">
      <c r="B422" s="46" t="s">
        <v>26</v>
      </c>
      <c r="C422" s="46" t="s">
        <v>27</v>
      </c>
      <c r="D422" s="47">
        <v>1</v>
      </c>
      <c r="E422" s="48" t="s">
        <v>1482</v>
      </c>
      <c r="F422" s="30" t="str">
        <f t="shared" si="12"/>
        <v>Completed</v>
      </c>
      <c r="G422" s="46" t="s">
        <v>1324</v>
      </c>
      <c r="I422" s="46" t="str">
        <f>IFERROR(VLOOKUP(B422,'Test 1,2'!$E$4:$I$604,5,0),"NOT BILLED")</f>
        <v>Apr</v>
      </c>
      <c r="J422" s="46" t="str">
        <f t="shared" si="13"/>
        <v>PASS</v>
      </c>
    </row>
    <row r="423" spans="2:10" x14ac:dyDescent="0.5">
      <c r="B423" s="46" t="s">
        <v>682</v>
      </c>
      <c r="C423" s="46" t="s">
        <v>84</v>
      </c>
      <c r="D423" s="47">
        <v>1</v>
      </c>
      <c r="E423" s="48" t="s">
        <v>1481</v>
      </c>
      <c r="F423" s="30" t="str">
        <f t="shared" si="12"/>
        <v>Completed</v>
      </c>
      <c r="G423" s="46" t="s">
        <v>1324</v>
      </c>
      <c r="I423" s="46" t="str">
        <f>IFERROR(VLOOKUP(B423,'Test 1,2'!$E$4:$I$604,5,0),"NOT BILLED")</f>
        <v>Apr</v>
      </c>
      <c r="J423" s="46" t="str">
        <f t="shared" si="13"/>
        <v>PASS</v>
      </c>
    </row>
    <row r="424" spans="2:10" x14ac:dyDescent="0.5">
      <c r="B424" s="46" t="s">
        <v>789</v>
      </c>
      <c r="C424" s="46" t="s">
        <v>238</v>
      </c>
      <c r="D424" s="47">
        <v>1</v>
      </c>
      <c r="E424" s="48" t="s">
        <v>1482</v>
      </c>
      <c r="F424" s="30" t="str">
        <f t="shared" si="12"/>
        <v>Completed</v>
      </c>
      <c r="G424" s="46" t="s">
        <v>1324</v>
      </c>
      <c r="I424" s="46" t="str">
        <f>IFERROR(VLOOKUP(B424,'Test 1,2'!$E$4:$I$604,5,0),"NOT BILLED")</f>
        <v>Jun</v>
      </c>
      <c r="J424" s="46" t="str">
        <f t="shared" si="13"/>
        <v>PASS</v>
      </c>
    </row>
    <row r="425" spans="2:10" x14ac:dyDescent="0.5">
      <c r="B425" s="46" t="s">
        <v>385</v>
      </c>
      <c r="C425" s="46" t="s">
        <v>67</v>
      </c>
      <c r="D425" s="47">
        <v>1</v>
      </c>
      <c r="E425" s="48" t="s">
        <v>1481</v>
      </c>
      <c r="F425" s="30" t="str">
        <f t="shared" si="12"/>
        <v>Completed</v>
      </c>
      <c r="G425" s="46" t="s">
        <v>1324</v>
      </c>
      <c r="I425" s="46" t="str">
        <f>IFERROR(VLOOKUP(B425,'Test 1,2'!$E$4:$I$604,5,0),"NOT BILLED")</f>
        <v>Sep</v>
      </c>
      <c r="J425" s="46" t="str">
        <f t="shared" si="13"/>
        <v>PASS</v>
      </c>
    </row>
    <row r="426" spans="2:10" x14ac:dyDescent="0.5">
      <c r="B426" s="46" t="s">
        <v>105</v>
      </c>
      <c r="C426" s="46" t="s">
        <v>87</v>
      </c>
      <c r="D426" s="47">
        <v>1</v>
      </c>
      <c r="E426" s="48" t="s">
        <v>1482</v>
      </c>
      <c r="F426" s="30" t="str">
        <f t="shared" si="12"/>
        <v>Completed</v>
      </c>
      <c r="G426" s="46" t="s">
        <v>1324</v>
      </c>
      <c r="I426" s="46" t="str">
        <f>IFERROR(VLOOKUP(B426,'Test 1,2'!$E$4:$I$604,5,0),"NOT BILLED")</f>
        <v>May</v>
      </c>
      <c r="J426" s="46" t="str">
        <f t="shared" si="13"/>
        <v>PASS</v>
      </c>
    </row>
    <row r="427" spans="2:10" x14ac:dyDescent="0.5">
      <c r="B427" s="46" t="s">
        <v>1150</v>
      </c>
      <c r="C427" s="46" t="s">
        <v>64</v>
      </c>
      <c r="D427" s="47">
        <v>1</v>
      </c>
      <c r="E427" s="48" t="s">
        <v>1481</v>
      </c>
      <c r="F427" s="30" t="str">
        <f t="shared" si="12"/>
        <v>Completed</v>
      </c>
      <c r="G427" s="46" t="s">
        <v>1324</v>
      </c>
      <c r="I427" s="46" t="str">
        <f>IFERROR(VLOOKUP(B427,'Test 1,2'!$E$4:$I$604,5,0),"NOT BILLED")</f>
        <v>Jan</v>
      </c>
      <c r="J427" s="46" t="str">
        <f t="shared" si="13"/>
        <v>PASS</v>
      </c>
    </row>
    <row r="428" spans="2:10" x14ac:dyDescent="0.5">
      <c r="B428" s="46" t="s">
        <v>91</v>
      </c>
      <c r="C428" s="46" t="s">
        <v>92</v>
      </c>
      <c r="D428" s="47">
        <v>1</v>
      </c>
      <c r="E428" s="48" t="s">
        <v>1482</v>
      </c>
      <c r="F428" s="30" t="str">
        <f t="shared" si="12"/>
        <v>Completed</v>
      </c>
      <c r="G428" s="46" t="s">
        <v>1324</v>
      </c>
      <c r="I428" s="46" t="str">
        <f>IFERROR(VLOOKUP(B428,'Test 1,2'!$E$4:$I$604,5,0),"NOT BILLED")</f>
        <v>Apr</v>
      </c>
      <c r="J428" s="46" t="str">
        <f t="shared" si="13"/>
        <v>PASS</v>
      </c>
    </row>
    <row r="429" spans="2:10" x14ac:dyDescent="0.5">
      <c r="B429" s="46" t="s">
        <v>624</v>
      </c>
      <c r="C429" s="46" t="s">
        <v>241</v>
      </c>
      <c r="D429" s="47">
        <v>1</v>
      </c>
      <c r="E429" s="48" t="s">
        <v>1482</v>
      </c>
      <c r="F429" s="30" t="str">
        <f t="shared" si="12"/>
        <v>Completed</v>
      </c>
      <c r="G429" s="46" t="s">
        <v>1324</v>
      </c>
      <c r="I429" s="46" t="str">
        <f>IFERROR(VLOOKUP(B429,'Test 1,2'!$E$4:$I$604,5,0),"NOT BILLED")</f>
        <v>Apr</v>
      </c>
      <c r="J429" s="46" t="str">
        <f t="shared" si="13"/>
        <v>PASS</v>
      </c>
    </row>
    <row r="430" spans="2:10" x14ac:dyDescent="0.5">
      <c r="B430" s="46" t="s">
        <v>71</v>
      </c>
      <c r="C430" s="46" t="s">
        <v>72</v>
      </c>
      <c r="D430" s="47">
        <v>1</v>
      </c>
      <c r="E430" s="48" t="s">
        <v>1481</v>
      </c>
      <c r="F430" s="30" t="str">
        <f t="shared" si="12"/>
        <v>Completed</v>
      </c>
      <c r="G430" s="46" t="s">
        <v>1324</v>
      </c>
      <c r="I430" s="46" t="str">
        <f>IFERROR(VLOOKUP(B430,'Test 1,2'!$E$4:$I$604,5,0),"NOT BILLED")</f>
        <v>Apr</v>
      </c>
      <c r="J430" s="46" t="str">
        <f t="shared" si="13"/>
        <v>PASS</v>
      </c>
    </row>
    <row r="431" spans="2:10" x14ac:dyDescent="0.5">
      <c r="B431" s="46" t="s">
        <v>686</v>
      </c>
      <c r="C431" s="46" t="s">
        <v>22</v>
      </c>
      <c r="D431" s="47">
        <v>1</v>
      </c>
      <c r="E431" s="48" t="s">
        <v>1482</v>
      </c>
      <c r="F431" s="30" t="str">
        <f t="shared" si="12"/>
        <v>Completed</v>
      </c>
      <c r="G431" s="46" t="s">
        <v>1324</v>
      </c>
      <c r="I431" s="46" t="str">
        <f>IFERROR(VLOOKUP(B431,'Test 1,2'!$E$4:$I$604,5,0),"NOT BILLED")</f>
        <v>May</v>
      </c>
      <c r="J431" s="46" t="str">
        <f t="shared" si="13"/>
        <v>PASS</v>
      </c>
    </row>
    <row r="432" spans="2:10" x14ac:dyDescent="0.5">
      <c r="B432" s="46" t="s">
        <v>973</v>
      </c>
      <c r="C432" s="46" t="s">
        <v>22</v>
      </c>
      <c r="D432" s="47">
        <v>1</v>
      </c>
      <c r="E432" s="48" t="s">
        <v>1482</v>
      </c>
      <c r="F432" s="30" t="str">
        <f t="shared" si="12"/>
        <v>Completed</v>
      </c>
      <c r="G432" s="46" t="s">
        <v>1324</v>
      </c>
      <c r="I432" s="46" t="str">
        <f>IFERROR(VLOOKUP(B432,'Test 1,2'!$E$4:$I$604,5,0),"NOT BILLED")</f>
        <v>Sep</v>
      </c>
      <c r="J432" s="46" t="str">
        <f t="shared" si="13"/>
        <v>PASS</v>
      </c>
    </row>
    <row r="433" spans="2:10" x14ac:dyDescent="0.5">
      <c r="B433" s="46" t="s">
        <v>654</v>
      </c>
      <c r="C433" s="46" t="s">
        <v>84</v>
      </c>
      <c r="D433" s="47">
        <v>1</v>
      </c>
      <c r="E433" s="48" t="s">
        <v>1482</v>
      </c>
      <c r="F433" s="30" t="str">
        <f t="shared" si="12"/>
        <v>Completed</v>
      </c>
      <c r="G433" s="46" t="s">
        <v>1324</v>
      </c>
      <c r="I433" s="46" t="str">
        <f>IFERROR(VLOOKUP(B433,'Test 1,2'!$E$4:$I$604,5,0),"NOT BILLED")</f>
        <v>Apr</v>
      </c>
      <c r="J433" s="46" t="str">
        <f t="shared" si="13"/>
        <v>PASS</v>
      </c>
    </row>
    <row r="434" spans="2:10" x14ac:dyDescent="0.5">
      <c r="B434" s="46" t="s">
        <v>508</v>
      </c>
      <c r="C434" s="46" t="s">
        <v>103</v>
      </c>
      <c r="D434" s="47">
        <v>1</v>
      </c>
      <c r="E434" s="48" t="s">
        <v>1482</v>
      </c>
      <c r="F434" s="30" t="str">
        <f t="shared" si="12"/>
        <v>Completed</v>
      </c>
      <c r="G434" s="46" t="s">
        <v>1324</v>
      </c>
      <c r="I434" s="46" t="str">
        <f>IFERROR(VLOOKUP(B434,'Test 1,2'!$E$4:$I$604,5,0),"NOT BILLED")</f>
        <v>Jan</v>
      </c>
      <c r="J434" s="46" t="str">
        <f t="shared" si="13"/>
        <v>PASS</v>
      </c>
    </row>
    <row r="435" spans="2:10" x14ac:dyDescent="0.5">
      <c r="B435" s="46" t="s">
        <v>628</v>
      </c>
      <c r="C435" s="46" t="s">
        <v>77</v>
      </c>
      <c r="D435" s="47">
        <v>1</v>
      </c>
      <c r="E435" s="48" t="s">
        <v>1482</v>
      </c>
      <c r="F435" s="30" t="str">
        <f t="shared" si="12"/>
        <v>Completed</v>
      </c>
      <c r="G435" s="46" t="s">
        <v>1324</v>
      </c>
      <c r="I435" s="46" t="str">
        <f>IFERROR(VLOOKUP(B435,'Test 1,2'!$E$4:$I$604,5,0),"NOT BILLED")</f>
        <v>Apr</v>
      </c>
      <c r="J435" s="46" t="str">
        <f t="shared" si="13"/>
        <v>PASS</v>
      </c>
    </row>
    <row r="436" spans="2:10" x14ac:dyDescent="0.5">
      <c r="B436" s="46" t="s">
        <v>301</v>
      </c>
      <c r="C436" s="46" t="s">
        <v>143</v>
      </c>
      <c r="D436" s="47">
        <v>1</v>
      </c>
      <c r="E436" s="48" t="s">
        <v>1482</v>
      </c>
      <c r="F436" s="30" t="str">
        <f t="shared" si="12"/>
        <v>Completed</v>
      </c>
      <c r="G436" s="46" t="s">
        <v>1325</v>
      </c>
      <c r="I436" s="46" t="str">
        <f>IFERROR(VLOOKUP(B436,'Test 1,2'!$E$4:$I$604,5,0),"NOT BILLED")</f>
        <v>Aug</v>
      </c>
      <c r="J436" s="46" t="str">
        <f t="shared" si="13"/>
        <v>PASS</v>
      </c>
    </row>
    <row r="437" spans="2:10" x14ac:dyDescent="0.5">
      <c r="B437" s="46" t="s">
        <v>845</v>
      </c>
      <c r="C437" s="46" t="s">
        <v>119</v>
      </c>
      <c r="D437" s="47">
        <v>1</v>
      </c>
      <c r="E437" s="48" t="s">
        <v>1481</v>
      </c>
      <c r="F437" s="30" t="str">
        <f t="shared" si="12"/>
        <v>Completed</v>
      </c>
      <c r="G437" s="46" t="s">
        <v>1324</v>
      </c>
      <c r="I437" s="46" t="str">
        <f>IFERROR(VLOOKUP(B437,'Test 1,2'!$E$4:$I$604,5,0),"NOT BILLED")</f>
        <v>Jul</v>
      </c>
      <c r="J437" s="46" t="str">
        <f t="shared" si="13"/>
        <v>PASS</v>
      </c>
    </row>
    <row r="438" spans="2:10" x14ac:dyDescent="0.5">
      <c r="B438" s="46" t="s">
        <v>140</v>
      </c>
      <c r="C438" s="46" t="s">
        <v>64</v>
      </c>
      <c r="D438" s="47">
        <v>1</v>
      </c>
      <c r="E438" s="48" t="s">
        <v>1482</v>
      </c>
      <c r="F438" s="30" t="str">
        <f t="shared" si="12"/>
        <v>Completed</v>
      </c>
      <c r="G438" s="46" t="s">
        <v>1324</v>
      </c>
      <c r="I438" s="46" t="str">
        <f>IFERROR(VLOOKUP(B438,'Test 1,2'!$E$4:$I$604,5,0),"NOT BILLED")</f>
        <v>Apr</v>
      </c>
      <c r="J438" s="46" t="str">
        <f t="shared" si="13"/>
        <v>PASS</v>
      </c>
    </row>
    <row r="439" spans="2:10" x14ac:dyDescent="0.5">
      <c r="B439" s="46" t="s">
        <v>797</v>
      </c>
      <c r="C439" s="46" t="s">
        <v>308</v>
      </c>
      <c r="D439" s="47">
        <v>1</v>
      </c>
      <c r="E439" s="48" t="s">
        <v>1482</v>
      </c>
      <c r="F439" s="30" t="str">
        <f t="shared" si="12"/>
        <v>Completed</v>
      </c>
      <c r="G439" s="46" t="s">
        <v>1324</v>
      </c>
      <c r="I439" s="46" t="str">
        <f>IFERROR(VLOOKUP(B439,'Test 1,2'!$E$4:$I$604,5,0),"NOT BILLED")</f>
        <v>Jun</v>
      </c>
      <c r="J439" s="46" t="str">
        <f t="shared" si="13"/>
        <v>PASS</v>
      </c>
    </row>
    <row r="440" spans="2:10" x14ac:dyDescent="0.5">
      <c r="B440" s="46" t="s">
        <v>977</v>
      </c>
      <c r="C440" s="46" t="s">
        <v>77</v>
      </c>
      <c r="D440" s="47">
        <v>1</v>
      </c>
      <c r="E440" s="48" t="s">
        <v>1481</v>
      </c>
      <c r="F440" s="30" t="str">
        <f t="shared" si="12"/>
        <v>Completed</v>
      </c>
      <c r="G440" s="46" t="s">
        <v>1324</v>
      </c>
      <c r="I440" s="46" t="str">
        <f>IFERROR(VLOOKUP(B440,'Test 1,2'!$E$4:$I$604,5,0),"NOT BILLED")</f>
        <v>Sep</v>
      </c>
      <c r="J440" s="46" t="str">
        <f t="shared" si="13"/>
        <v>PASS</v>
      </c>
    </row>
    <row r="441" spans="2:10" x14ac:dyDescent="0.5">
      <c r="B441" s="46" t="s">
        <v>807</v>
      </c>
      <c r="C441" s="46" t="s">
        <v>608</v>
      </c>
      <c r="D441" s="47">
        <v>1</v>
      </c>
      <c r="E441" s="48" t="s">
        <v>1482</v>
      </c>
      <c r="F441" s="30" t="str">
        <f t="shared" si="12"/>
        <v>Completed</v>
      </c>
      <c r="G441" s="46" t="s">
        <v>1324</v>
      </c>
      <c r="I441" s="46" t="str">
        <f>IFERROR(VLOOKUP(B441,'Test 1,2'!$E$4:$I$604,5,0),"NOT BILLED")</f>
        <v>Jul</v>
      </c>
      <c r="J441" s="46" t="str">
        <f t="shared" si="13"/>
        <v>PASS</v>
      </c>
    </row>
    <row r="442" spans="2:10" x14ac:dyDescent="0.5">
      <c r="B442" s="46" t="s">
        <v>1126</v>
      </c>
      <c r="C442" s="46" t="s">
        <v>241</v>
      </c>
      <c r="D442" s="47">
        <v>1</v>
      </c>
      <c r="E442" s="48" t="s">
        <v>1482</v>
      </c>
      <c r="F442" s="30" t="str">
        <f t="shared" si="12"/>
        <v>Completed</v>
      </c>
      <c r="G442" s="46" t="s">
        <v>1325</v>
      </c>
      <c r="I442" s="46" t="str">
        <f>IFERROR(VLOOKUP(B442,'Test 1,2'!$E$4:$I$604,5,0),"NOT BILLED")</f>
        <v>Dec</v>
      </c>
      <c r="J442" s="46" t="str">
        <f t="shared" si="13"/>
        <v>PASS</v>
      </c>
    </row>
    <row r="443" spans="2:10" x14ac:dyDescent="0.5">
      <c r="B443" s="46" t="s">
        <v>1102</v>
      </c>
      <c r="C443" s="46" t="s">
        <v>184</v>
      </c>
      <c r="D443" s="47">
        <v>1</v>
      </c>
      <c r="E443" s="48" t="s">
        <v>1481</v>
      </c>
      <c r="F443" s="30" t="str">
        <f t="shared" si="12"/>
        <v>Completed</v>
      </c>
      <c r="G443" s="46" t="s">
        <v>1324</v>
      </c>
      <c r="I443" s="46" t="str">
        <f>IFERROR(VLOOKUP(B443,'Test 1,2'!$E$4:$I$604,5,0),"NOT BILLED")</f>
        <v>Dec</v>
      </c>
      <c r="J443" s="46" t="str">
        <f t="shared" si="13"/>
        <v>PASS</v>
      </c>
    </row>
    <row r="444" spans="2:10" x14ac:dyDescent="0.5">
      <c r="B444" s="46" t="s">
        <v>583</v>
      </c>
      <c r="C444" s="46" t="s">
        <v>95</v>
      </c>
      <c r="D444" s="47">
        <v>1</v>
      </c>
      <c r="E444" s="48" t="s">
        <v>1481</v>
      </c>
      <c r="F444" s="30" t="str">
        <f t="shared" si="12"/>
        <v>Completed</v>
      </c>
      <c r="G444" s="46" t="s">
        <v>1324</v>
      </c>
      <c r="I444" s="46" t="str">
        <f>IFERROR(VLOOKUP(B444,'Test 1,2'!$E$4:$I$604,5,0),"NOT BILLED")</f>
        <v>Mar</v>
      </c>
      <c r="J444" s="46" t="str">
        <f t="shared" si="13"/>
        <v>PASS</v>
      </c>
    </row>
    <row r="445" spans="2:10" x14ac:dyDescent="0.5">
      <c r="B445" s="46" t="s">
        <v>80</v>
      </c>
      <c r="C445" s="46" t="s">
        <v>81</v>
      </c>
      <c r="D445" s="47">
        <v>1</v>
      </c>
      <c r="E445" s="48" t="s">
        <v>1482</v>
      </c>
      <c r="F445" s="30" t="str">
        <f t="shared" si="12"/>
        <v>Completed</v>
      </c>
      <c r="G445" s="46" t="s">
        <v>1324</v>
      </c>
      <c r="I445" s="46" t="str">
        <f>IFERROR(VLOOKUP(B445,'Test 1,2'!$E$4:$I$604,5,0),"NOT BILLED")</f>
        <v>Apr</v>
      </c>
      <c r="J445" s="46" t="str">
        <f t="shared" si="13"/>
        <v>PASS</v>
      </c>
    </row>
    <row r="446" spans="2:10" x14ac:dyDescent="0.5">
      <c r="B446" s="46" t="s">
        <v>985</v>
      </c>
      <c r="C446" s="46" t="s">
        <v>131</v>
      </c>
      <c r="D446" s="47">
        <v>1</v>
      </c>
      <c r="E446" s="48" t="s">
        <v>1482</v>
      </c>
      <c r="F446" s="30" t="str">
        <f t="shared" si="12"/>
        <v>Completed</v>
      </c>
      <c r="G446" s="46" t="s">
        <v>1324</v>
      </c>
      <c r="I446" s="46" t="str">
        <f>IFERROR(VLOOKUP(B446,'Test 1,2'!$E$4:$I$604,5,0),"NOT BILLED")</f>
        <v>Oct</v>
      </c>
      <c r="J446" s="46" t="str">
        <f t="shared" si="13"/>
        <v>PASS</v>
      </c>
    </row>
    <row r="447" spans="2:10" x14ac:dyDescent="0.5">
      <c r="B447" s="46" t="s">
        <v>108</v>
      </c>
      <c r="C447" s="46" t="s">
        <v>45</v>
      </c>
      <c r="D447" s="47">
        <v>1</v>
      </c>
      <c r="E447" s="48" t="s">
        <v>1481</v>
      </c>
      <c r="F447" s="30" t="str">
        <f t="shared" si="12"/>
        <v>Completed</v>
      </c>
      <c r="G447" s="46" t="s">
        <v>1324</v>
      </c>
      <c r="I447" s="46" t="str">
        <f>IFERROR(VLOOKUP(B447,'Test 1,2'!$E$4:$I$604,5,0),"NOT BILLED")</f>
        <v>May</v>
      </c>
      <c r="J447" s="46" t="str">
        <f t="shared" si="13"/>
        <v>PASS</v>
      </c>
    </row>
    <row r="448" spans="2:10" x14ac:dyDescent="0.5">
      <c r="B448" s="46" t="s">
        <v>1028</v>
      </c>
      <c r="C448" s="46" t="s">
        <v>27</v>
      </c>
      <c r="D448" s="47">
        <v>1</v>
      </c>
      <c r="E448" s="48" t="s">
        <v>1481</v>
      </c>
      <c r="F448" s="30" t="str">
        <f t="shared" si="12"/>
        <v>Completed</v>
      </c>
      <c r="G448" s="46" t="s">
        <v>1324</v>
      </c>
      <c r="I448" s="46" t="str">
        <f>IFERROR(VLOOKUP(B448,'Test 1,2'!$E$4:$I$604,5,0),"NOT BILLED")</f>
        <v>Oct</v>
      </c>
      <c r="J448" s="46" t="str">
        <f t="shared" si="13"/>
        <v>PASS</v>
      </c>
    </row>
    <row r="449" spans="2:10" x14ac:dyDescent="0.5">
      <c r="B449" s="46" t="s">
        <v>261</v>
      </c>
      <c r="C449" s="46" t="s">
        <v>262</v>
      </c>
      <c r="D449" s="47">
        <v>1</v>
      </c>
      <c r="E449" s="48" t="s">
        <v>1481</v>
      </c>
      <c r="F449" s="30" t="str">
        <f t="shared" si="12"/>
        <v>Completed</v>
      </c>
      <c r="G449" s="46" t="s">
        <v>1324</v>
      </c>
      <c r="I449" s="46" t="str">
        <f>IFERROR(VLOOKUP(B449,'Test 1,2'!$E$4:$I$604,5,0),"NOT BILLED")</f>
        <v>Jul</v>
      </c>
      <c r="J449" s="46" t="str">
        <f t="shared" si="13"/>
        <v>PASS</v>
      </c>
    </row>
    <row r="450" spans="2:10" x14ac:dyDescent="0.5">
      <c r="B450" s="46" t="s">
        <v>835</v>
      </c>
      <c r="C450" s="46" t="s">
        <v>122</v>
      </c>
      <c r="D450" s="47">
        <v>1</v>
      </c>
      <c r="E450" s="48" t="s">
        <v>1482</v>
      </c>
      <c r="F450" s="30" t="str">
        <f t="shared" si="12"/>
        <v>Completed</v>
      </c>
      <c r="G450" s="46" t="s">
        <v>1324</v>
      </c>
      <c r="I450" s="46" t="str">
        <f>IFERROR(VLOOKUP(B450,'Test 1,2'!$E$4:$I$604,5,0),"NOT BILLED")</f>
        <v>Jun</v>
      </c>
      <c r="J450" s="46" t="str">
        <f t="shared" si="13"/>
        <v>PASS</v>
      </c>
    </row>
    <row r="451" spans="2:10" x14ac:dyDescent="0.5">
      <c r="B451" s="46" t="s">
        <v>847</v>
      </c>
      <c r="C451" s="46" t="s">
        <v>81</v>
      </c>
      <c r="D451" s="47">
        <v>1</v>
      </c>
      <c r="E451" s="48" t="s">
        <v>1482</v>
      </c>
      <c r="F451" s="30" t="str">
        <f t="shared" si="12"/>
        <v>Completed</v>
      </c>
      <c r="G451" s="46" t="s">
        <v>1324</v>
      </c>
      <c r="I451" s="46" t="str">
        <f>IFERROR(VLOOKUP(B451,'Test 1,2'!$E$4:$I$604,5,0),"NOT BILLED")</f>
        <v>Jul</v>
      </c>
      <c r="J451" s="46" t="str">
        <f t="shared" si="13"/>
        <v>PASS</v>
      </c>
    </row>
    <row r="452" spans="2:10" x14ac:dyDescent="0.5">
      <c r="B452" s="46" t="s">
        <v>403</v>
      </c>
      <c r="C452" s="46" t="s">
        <v>195</v>
      </c>
      <c r="D452" s="47">
        <v>1</v>
      </c>
      <c r="E452" s="48" t="s">
        <v>1482</v>
      </c>
      <c r="F452" s="30" t="str">
        <f t="shared" ref="F452:F515" si="14">IF(D452=100%,"Completed","Contract-In-Progress")</f>
        <v>Completed</v>
      </c>
      <c r="G452" s="46" t="s">
        <v>1324</v>
      </c>
      <c r="I452" s="46" t="str">
        <f>IFERROR(VLOOKUP(B452,'Test 1,2'!$E$4:$I$604,5,0),"NOT BILLED")</f>
        <v>Oct</v>
      </c>
      <c r="J452" s="46" t="str">
        <f t="shared" ref="J452:J515" si="15">IF(I452&lt;&gt;"NOT BILLED",IF(D452=100%,"PASS","FLAG"),IF(D452&lt;100%,"PASS","FLAG"))</f>
        <v>PASS</v>
      </c>
    </row>
    <row r="453" spans="2:10" x14ac:dyDescent="0.5">
      <c r="B453" s="46" t="s">
        <v>703</v>
      </c>
      <c r="C453" s="46" t="s">
        <v>87</v>
      </c>
      <c r="D453" s="47">
        <v>1</v>
      </c>
      <c r="E453" s="48" t="s">
        <v>1481</v>
      </c>
      <c r="F453" s="30" t="str">
        <f t="shared" si="14"/>
        <v>Completed</v>
      </c>
      <c r="G453" s="46" t="s">
        <v>1324</v>
      </c>
      <c r="I453" s="46" t="str">
        <f>IFERROR(VLOOKUP(B453,'Test 1,2'!$E$4:$I$604,5,0),"NOT BILLED")</f>
        <v>May</v>
      </c>
      <c r="J453" s="46" t="str">
        <f t="shared" si="15"/>
        <v>PASS</v>
      </c>
    </row>
    <row r="454" spans="2:10" x14ac:dyDescent="0.5">
      <c r="B454" s="46" t="s">
        <v>551</v>
      </c>
      <c r="C454" s="46" t="s">
        <v>27</v>
      </c>
      <c r="D454" s="47">
        <v>1</v>
      </c>
      <c r="E454" s="48" t="s">
        <v>1482</v>
      </c>
      <c r="F454" s="30" t="str">
        <f t="shared" si="14"/>
        <v>Completed</v>
      </c>
      <c r="G454" s="46" t="s">
        <v>1324</v>
      </c>
      <c r="I454" s="46" t="str">
        <f>IFERROR(VLOOKUP(B454,'Test 1,2'!$E$4:$I$604,5,0),"NOT BILLED")</f>
        <v>Feb</v>
      </c>
      <c r="J454" s="46" t="str">
        <f t="shared" si="15"/>
        <v>PASS</v>
      </c>
    </row>
    <row r="455" spans="2:10" x14ac:dyDescent="0.5">
      <c r="B455" s="46" t="s">
        <v>528</v>
      </c>
      <c r="C455" s="46" t="s">
        <v>50</v>
      </c>
      <c r="D455" s="47">
        <v>1</v>
      </c>
      <c r="E455" s="48" t="s">
        <v>1481</v>
      </c>
      <c r="F455" s="30" t="str">
        <f t="shared" si="14"/>
        <v>Completed</v>
      </c>
      <c r="G455" s="46" t="s">
        <v>1324</v>
      </c>
      <c r="I455" s="46" t="str">
        <f>IFERROR(VLOOKUP(B455,'Test 1,2'!$E$4:$I$604,5,0),"NOT BILLED")</f>
        <v>Jan</v>
      </c>
      <c r="J455" s="46" t="str">
        <f t="shared" si="15"/>
        <v>PASS</v>
      </c>
    </row>
    <row r="456" spans="2:10" x14ac:dyDescent="0.5">
      <c r="B456" s="46" t="s">
        <v>684</v>
      </c>
      <c r="C456" s="46" t="s">
        <v>175</v>
      </c>
      <c r="D456" s="47">
        <v>1</v>
      </c>
      <c r="E456" s="48" t="s">
        <v>1482</v>
      </c>
      <c r="F456" s="30" t="str">
        <f t="shared" si="14"/>
        <v>Completed</v>
      </c>
      <c r="G456" s="46" t="s">
        <v>1324</v>
      </c>
      <c r="I456" s="46" t="str">
        <f>IFERROR(VLOOKUP(B456,'Test 1,2'!$E$4:$I$604,5,0),"NOT BILLED")</f>
        <v>May</v>
      </c>
      <c r="J456" s="46" t="str">
        <f t="shared" si="15"/>
        <v>PASS</v>
      </c>
    </row>
    <row r="457" spans="2:10" x14ac:dyDescent="0.5">
      <c r="B457" s="46" t="s">
        <v>563</v>
      </c>
      <c r="C457" s="46" t="s">
        <v>57</v>
      </c>
      <c r="D457" s="47">
        <v>1</v>
      </c>
      <c r="E457" s="48" t="s">
        <v>1481</v>
      </c>
      <c r="F457" s="30" t="str">
        <f t="shared" si="14"/>
        <v>Completed</v>
      </c>
      <c r="G457" s="46" t="s">
        <v>1324</v>
      </c>
      <c r="I457" s="46" t="str">
        <f>IFERROR(VLOOKUP(B457,'Test 1,2'!$E$4:$I$604,5,0),"NOT BILLED")</f>
        <v>Feb</v>
      </c>
      <c r="J457" s="46" t="str">
        <f t="shared" si="15"/>
        <v>PASS</v>
      </c>
    </row>
    <row r="458" spans="2:10" x14ac:dyDescent="0.5">
      <c r="B458" s="46" t="s">
        <v>334</v>
      </c>
      <c r="C458" s="46" t="s">
        <v>195</v>
      </c>
      <c r="D458" s="47">
        <v>1</v>
      </c>
      <c r="E458" s="48" t="s">
        <v>1482</v>
      </c>
      <c r="F458" s="30" t="str">
        <f t="shared" si="14"/>
        <v>Completed</v>
      </c>
      <c r="G458" s="46" t="s">
        <v>1324</v>
      </c>
      <c r="I458" s="46" t="str">
        <f>IFERROR(VLOOKUP(B458,'Test 1,2'!$E$4:$I$604,5,0),"NOT BILLED")</f>
        <v>Aug</v>
      </c>
      <c r="J458" s="46" t="str">
        <f t="shared" si="15"/>
        <v>PASS</v>
      </c>
    </row>
    <row r="459" spans="2:10" x14ac:dyDescent="0.5">
      <c r="B459" s="46" t="s">
        <v>753</v>
      </c>
      <c r="C459" s="46" t="s">
        <v>229</v>
      </c>
      <c r="D459" s="47">
        <v>1</v>
      </c>
      <c r="E459" s="48" t="s">
        <v>1482</v>
      </c>
      <c r="F459" s="30" t="str">
        <f t="shared" si="14"/>
        <v>Completed</v>
      </c>
      <c r="G459" s="46" t="s">
        <v>1324</v>
      </c>
      <c r="I459" s="46" t="str">
        <f>IFERROR(VLOOKUP(B459,'Test 1,2'!$E$4:$I$604,5,0),"NOT BILLED")</f>
        <v>May</v>
      </c>
      <c r="J459" s="46" t="str">
        <f t="shared" si="15"/>
        <v>PASS</v>
      </c>
    </row>
    <row r="460" spans="2:10" x14ac:dyDescent="0.5">
      <c r="B460" s="46" t="s">
        <v>1172</v>
      </c>
      <c r="C460" s="46" t="s">
        <v>50</v>
      </c>
      <c r="D460" s="47">
        <v>1</v>
      </c>
      <c r="E460" s="48" t="s">
        <v>1482</v>
      </c>
      <c r="F460" s="30" t="str">
        <f t="shared" si="14"/>
        <v>Completed</v>
      </c>
      <c r="G460" s="46" t="s">
        <v>1324</v>
      </c>
      <c r="I460" s="46" t="str">
        <f>IFERROR(VLOOKUP(B460,'Test 1,2'!$E$4:$I$604,5,0),"NOT BILLED")</f>
        <v>Jan</v>
      </c>
      <c r="J460" s="46" t="str">
        <f t="shared" si="15"/>
        <v>PASS</v>
      </c>
    </row>
    <row r="461" spans="2:10" x14ac:dyDescent="0.5">
      <c r="B461" s="46" t="s">
        <v>289</v>
      </c>
      <c r="C461" s="46" t="s">
        <v>290</v>
      </c>
      <c r="D461" s="47">
        <v>1</v>
      </c>
      <c r="E461" s="48" t="s">
        <v>1482</v>
      </c>
      <c r="F461" s="30" t="str">
        <f t="shared" si="14"/>
        <v>Completed</v>
      </c>
      <c r="G461" s="46" t="s">
        <v>1324</v>
      </c>
      <c r="I461" s="46" t="str">
        <f>IFERROR(VLOOKUP(B461,'Test 1,2'!$E$4:$I$604,5,0),"NOT BILLED")</f>
        <v>Aug</v>
      </c>
      <c r="J461" s="46" t="str">
        <f t="shared" si="15"/>
        <v>PASS</v>
      </c>
    </row>
    <row r="462" spans="2:10" x14ac:dyDescent="0.5">
      <c r="B462" s="46" t="s">
        <v>124</v>
      </c>
      <c r="C462" s="46" t="s">
        <v>125</v>
      </c>
      <c r="D462" s="47">
        <v>1</v>
      </c>
      <c r="E462" s="48" t="s">
        <v>1482</v>
      </c>
      <c r="F462" s="30" t="str">
        <f t="shared" si="14"/>
        <v>Completed</v>
      </c>
      <c r="G462" s="46" t="s">
        <v>1324</v>
      </c>
      <c r="I462" s="46" t="str">
        <f>IFERROR(VLOOKUP(B462,'Test 1,2'!$E$4:$I$604,5,0),"NOT BILLED")</f>
        <v>May</v>
      </c>
      <c r="J462" s="46" t="str">
        <f t="shared" si="15"/>
        <v>PASS</v>
      </c>
    </row>
    <row r="463" spans="2:10" x14ac:dyDescent="0.5">
      <c r="B463" s="46" t="s">
        <v>30</v>
      </c>
      <c r="C463" s="46" t="s">
        <v>27</v>
      </c>
      <c r="D463" s="47">
        <v>1</v>
      </c>
      <c r="E463" s="48" t="s">
        <v>1482</v>
      </c>
      <c r="F463" s="30" t="str">
        <f t="shared" si="14"/>
        <v>Completed</v>
      </c>
      <c r="G463" s="46" t="s">
        <v>1324</v>
      </c>
      <c r="I463" s="46" t="str">
        <f>IFERROR(VLOOKUP(B463,'Test 1,2'!$E$4:$I$604,5,0),"NOT BILLED")</f>
        <v>Apr</v>
      </c>
      <c r="J463" s="46" t="str">
        <f t="shared" si="15"/>
        <v>PASS</v>
      </c>
    </row>
    <row r="464" spans="2:10" x14ac:dyDescent="0.5">
      <c r="B464" s="46" t="s">
        <v>113</v>
      </c>
      <c r="C464" s="46" t="s">
        <v>114</v>
      </c>
      <c r="D464" s="47">
        <v>1</v>
      </c>
      <c r="E464" s="48" t="s">
        <v>1482</v>
      </c>
      <c r="F464" s="30" t="str">
        <f t="shared" si="14"/>
        <v>Completed</v>
      </c>
      <c r="G464" s="46" t="s">
        <v>1324</v>
      </c>
      <c r="I464" s="46" t="str">
        <f>IFERROR(VLOOKUP(B464,'Test 1,2'!$E$4:$I$604,5,0),"NOT BILLED")</f>
        <v>Apr</v>
      </c>
      <c r="J464" s="46" t="str">
        <f t="shared" si="15"/>
        <v>PASS</v>
      </c>
    </row>
    <row r="465" spans="2:10" x14ac:dyDescent="0.5">
      <c r="B465" s="46" t="s">
        <v>1200</v>
      </c>
      <c r="C465" s="46" t="s">
        <v>35</v>
      </c>
      <c r="D465" s="47">
        <v>1</v>
      </c>
      <c r="E465" s="48" t="s">
        <v>1482</v>
      </c>
      <c r="F465" s="30" t="str">
        <f t="shared" si="14"/>
        <v>Completed</v>
      </c>
      <c r="G465" s="46" t="s">
        <v>1324</v>
      </c>
      <c r="I465" s="46" t="str">
        <f>IFERROR(VLOOKUP(B465,'Test 1,2'!$E$4:$I$604,5,0),"NOT BILLED")</f>
        <v>Jan</v>
      </c>
      <c r="J465" s="46" t="str">
        <f t="shared" si="15"/>
        <v>PASS</v>
      </c>
    </row>
    <row r="466" spans="2:10" x14ac:dyDescent="0.5">
      <c r="B466" s="46" t="s">
        <v>1224</v>
      </c>
      <c r="C466" s="46" t="s">
        <v>184</v>
      </c>
      <c r="D466" s="47">
        <v>1</v>
      </c>
      <c r="E466" s="48" t="s">
        <v>1482</v>
      </c>
      <c r="F466" s="30" t="str">
        <f t="shared" si="14"/>
        <v>Completed</v>
      </c>
      <c r="G466" s="46" t="s">
        <v>1324</v>
      </c>
      <c r="I466" s="46" t="str">
        <f>IFERROR(VLOOKUP(B466,'Test 1,2'!$E$4:$I$604,5,0),"NOT BILLED")</f>
        <v>Feb</v>
      </c>
      <c r="J466" s="46" t="str">
        <f t="shared" si="15"/>
        <v>PASS</v>
      </c>
    </row>
    <row r="467" spans="2:10" x14ac:dyDescent="0.5">
      <c r="B467" s="46" t="s">
        <v>1146</v>
      </c>
      <c r="C467" s="46" t="s">
        <v>378</v>
      </c>
      <c r="D467" s="47">
        <v>1</v>
      </c>
      <c r="E467" s="48" t="s">
        <v>1482</v>
      </c>
      <c r="F467" s="30" t="str">
        <f t="shared" si="14"/>
        <v>Completed</v>
      </c>
      <c r="G467" s="46" t="s">
        <v>1324</v>
      </c>
      <c r="I467" s="46" t="str">
        <f>IFERROR(VLOOKUP(B467,'Test 1,2'!$E$4:$I$604,5,0),"NOT BILLED")</f>
        <v>Jan</v>
      </c>
      <c r="J467" s="46" t="str">
        <f t="shared" si="15"/>
        <v>PASS</v>
      </c>
    </row>
    <row r="468" spans="2:10" x14ac:dyDescent="0.5">
      <c r="B468" s="46" t="s">
        <v>1226</v>
      </c>
      <c r="C468" s="46" t="s">
        <v>308</v>
      </c>
      <c r="D468" s="47">
        <v>1</v>
      </c>
      <c r="E468" s="48" t="s">
        <v>1481</v>
      </c>
      <c r="F468" s="30" t="str">
        <f t="shared" si="14"/>
        <v>Completed</v>
      </c>
      <c r="G468" s="46" t="s">
        <v>1324</v>
      </c>
      <c r="I468" s="46" t="str">
        <f>IFERROR(VLOOKUP(B468,'Test 1,2'!$E$4:$I$604,5,0),"NOT BILLED")</f>
        <v>Feb</v>
      </c>
      <c r="J468" s="46" t="str">
        <f t="shared" si="15"/>
        <v>PASS</v>
      </c>
    </row>
    <row r="469" spans="2:10" x14ac:dyDescent="0.5">
      <c r="B469" s="46" t="s">
        <v>393</v>
      </c>
      <c r="C469" s="46" t="s">
        <v>128</v>
      </c>
      <c r="D469" s="47">
        <v>1</v>
      </c>
      <c r="E469" s="48" t="s">
        <v>1482</v>
      </c>
      <c r="F469" s="30" t="str">
        <f t="shared" si="14"/>
        <v>Completed</v>
      </c>
      <c r="G469" s="46" t="s">
        <v>1324</v>
      </c>
      <c r="I469" s="46" t="str">
        <f>IFERROR(VLOOKUP(B469,'Test 1,2'!$E$4:$I$604,5,0),"NOT BILLED")</f>
        <v>Oct</v>
      </c>
      <c r="J469" s="46" t="str">
        <f t="shared" si="15"/>
        <v>PASS</v>
      </c>
    </row>
    <row r="470" spans="2:10" x14ac:dyDescent="0.5">
      <c r="B470" s="46" t="s">
        <v>630</v>
      </c>
      <c r="C470" s="46" t="s">
        <v>35</v>
      </c>
      <c r="D470" s="47">
        <v>1</v>
      </c>
      <c r="E470" s="48" t="s">
        <v>1481</v>
      </c>
      <c r="F470" s="30" t="str">
        <f t="shared" si="14"/>
        <v>Completed</v>
      </c>
      <c r="G470" s="46" t="s">
        <v>1324</v>
      </c>
      <c r="I470" s="46" t="str">
        <f>IFERROR(VLOOKUP(B470,'Test 1,2'!$E$4:$I$604,5,0),"NOT BILLED")</f>
        <v>Apr</v>
      </c>
      <c r="J470" s="46" t="str">
        <f t="shared" si="15"/>
        <v>PASS</v>
      </c>
    </row>
    <row r="471" spans="2:10" x14ac:dyDescent="0.5">
      <c r="B471" s="46" t="s">
        <v>714</v>
      </c>
      <c r="C471" s="46" t="s">
        <v>175</v>
      </c>
      <c r="D471" s="47">
        <v>1</v>
      </c>
      <c r="E471" s="48" t="s">
        <v>1481</v>
      </c>
      <c r="F471" s="30" t="str">
        <f t="shared" si="14"/>
        <v>Completed</v>
      </c>
      <c r="G471" s="46" t="s">
        <v>1324</v>
      </c>
      <c r="I471" s="46" t="str">
        <f>IFERROR(VLOOKUP(B471,'Test 1,2'!$E$4:$I$604,5,0),"NOT BILLED")</f>
        <v>May</v>
      </c>
      <c r="J471" s="46" t="str">
        <f t="shared" si="15"/>
        <v>PASS</v>
      </c>
    </row>
    <row r="472" spans="2:10" x14ac:dyDescent="0.5">
      <c r="B472" s="46" t="s">
        <v>943</v>
      </c>
      <c r="C472" s="46" t="s">
        <v>378</v>
      </c>
      <c r="D472" s="47">
        <v>1</v>
      </c>
      <c r="E472" s="48" t="s">
        <v>1482</v>
      </c>
      <c r="F472" s="30" t="str">
        <f t="shared" si="14"/>
        <v>Completed</v>
      </c>
      <c r="G472" s="46" t="s">
        <v>1325</v>
      </c>
      <c r="I472" s="46" t="str">
        <f>IFERROR(VLOOKUP(B472,'Test 1,2'!$E$4:$I$604,5,0),"NOT BILLED")</f>
        <v>Aug</v>
      </c>
      <c r="J472" s="46" t="str">
        <f t="shared" si="15"/>
        <v>PASS</v>
      </c>
    </row>
    <row r="473" spans="2:10" x14ac:dyDescent="0.5">
      <c r="B473" s="46" t="s">
        <v>1246</v>
      </c>
      <c r="C473" s="46" t="s">
        <v>293</v>
      </c>
      <c r="D473" s="47">
        <v>1</v>
      </c>
      <c r="E473" s="48" t="s">
        <v>1482</v>
      </c>
      <c r="F473" s="30" t="str">
        <f t="shared" si="14"/>
        <v>Completed</v>
      </c>
      <c r="G473" s="46" t="s">
        <v>1324</v>
      </c>
      <c r="I473" s="46" t="str">
        <f>IFERROR(VLOOKUP(B473,'Test 1,2'!$E$4:$I$604,5,0),"NOT BILLED")</f>
        <v>Feb</v>
      </c>
      <c r="J473" s="46" t="str">
        <f t="shared" si="15"/>
        <v>PASS</v>
      </c>
    </row>
    <row r="474" spans="2:10" x14ac:dyDescent="0.5">
      <c r="B474" s="46" t="s">
        <v>352</v>
      </c>
      <c r="C474" s="46" t="s">
        <v>103</v>
      </c>
      <c r="D474" s="47">
        <v>1</v>
      </c>
      <c r="E474" s="48" t="s">
        <v>1481</v>
      </c>
      <c r="F474" s="30" t="str">
        <f t="shared" si="14"/>
        <v>Completed</v>
      </c>
      <c r="G474" s="46" t="s">
        <v>1324</v>
      </c>
      <c r="I474" s="46" t="str">
        <f>IFERROR(VLOOKUP(B474,'Test 1,2'!$E$4:$I$604,5,0),"NOT BILLED")</f>
        <v>Sep</v>
      </c>
      <c r="J474" s="46" t="str">
        <f t="shared" si="15"/>
        <v>PASS</v>
      </c>
    </row>
    <row r="475" spans="2:10" x14ac:dyDescent="0.5">
      <c r="B475" s="46" t="s">
        <v>579</v>
      </c>
      <c r="C475" s="46" t="s">
        <v>35</v>
      </c>
      <c r="D475" s="47">
        <v>1</v>
      </c>
      <c r="E475" s="48" t="s">
        <v>1482</v>
      </c>
      <c r="F475" s="30" t="str">
        <f t="shared" si="14"/>
        <v>Completed</v>
      </c>
      <c r="G475" s="46" t="s">
        <v>1324</v>
      </c>
      <c r="I475" s="46" t="str">
        <f>IFERROR(VLOOKUP(B475,'Test 1,2'!$E$4:$I$604,5,0),"NOT BILLED")</f>
        <v>Mar</v>
      </c>
      <c r="J475" s="46" t="str">
        <f t="shared" si="15"/>
        <v>PASS</v>
      </c>
    </row>
    <row r="476" spans="2:10" x14ac:dyDescent="0.5">
      <c r="B476" s="46" t="s">
        <v>174</v>
      </c>
      <c r="C476" s="46" t="s">
        <v>175</v>
      </c>
      <c r="D476" s="47">
        <v>1</v>
      </c>
      <c r="E476" s="48" t="s">
        <v>1481</v>
      </c>
      <c r="F476" s="30" t="str">
        <f t="shared" si="14"/>
        <v>Completed</v>
      </c>
      <c r="G476" s="46" t="s">
        <v>1324</v>
      </c>
      <c r="I476" s="46" t="str">
        <f>IFERROR(VLOOKUP(B476,'Test 1,2'!$E$4:$I$604,5,0),"NOT BILLED")</f>
        <v>Jun</v>
      </c>
      <c r="J476" s="46" t="str">
        <f t="shared" si="15"/>
        <v>PASS</v>
      </c>
    </row>
    <row r="477" spans="2:10" x14ac:dyDescent="0.5">
      <c r="B477" s="46" t="s">
        <v>1026</v>
      </c>
      <c r="C477" s="46" t="s">
        <v>92</v>
      </c>
      <c r="D477" s="47">
        <v>1</v>
      </c>
      <c r="E477" s="48" t="s">
        <v>1482</v>
      </c>
      <c r="F477" s="30" t="str">
        <f t="shared" si="14"/>
        <v>Completed</v>
      </c>
      <c r="G477" s="46" t="s">
        <v>1324</v>
      </c>
      <c r="I477" s="46" t="str">
        <f>IFERROR(VLOOKUP(B477,'Test 1,2'!$E$4:$I$604,5,0),"NOT BILLED")</f>
        <v>Oct</v>
      </c>
      <c r="J477" s="46" t="str">
        <f t="shared" si="15"/>
        <v>PASS</v>
      </c>
    </row>
    <row r="478" spans="2:10" x14ac:dyDescent="0.5">
      <c r="B478" s="46" t="s">
        <v>736</v>
      </c>
      <c r="C478" s="46" t="s">
        <v>54</v>
      </c>
      <c r="D478" s="47">
        <v>1</v>
      </c>
      <c r="E478" s="48" t="s">
        <v>1482</v>
      </c>
      <c r="F478" s="30" t="str">
        <f t="shared" si="14"/>
        <v>Completed</v>
      </c>
      <c r="G478" s="46" t="s">
        <v>1324</v>
      </c>
      <c r="I478" s="46" t="str">
        <f>IFERROR(VLOOKUP(B478,'Test 1,2'!$E$4:$I$604,5,0),"NOT BILLED")</f>
        <v>May</v>
      </c>
      <c r="J478" s="46" t="str">
        <f t="shared" si="15"/>
        <v>PASS</v>
      </c>
    </row>
    <row r="479" spans="2:10" x14ac:dyDescent="0.5">
      <c r="B479" s="46" t="s">
        <v>914</v>
      </c>
      <c r="C479" s="46" t="s">
        <v>35</v>
      </c>
      <c r="D479" s="47">
        <v>1</v>
      </c>
      <c r="E479" s="48" t="s">
        <v>1481</v>
      </c>
      <c r="F479" s="30" t="str">
        <f t="shared" si="14"/>
        <v>Completed</v>
      </c>
      <c r="G479" s="46" t="s">
        <v>1324</v>
      </c>
      <c r="I479" s="46" t="str">
        <f>IFERROR(VLOOKUP(B479,'Test 1,2'!$E$4:$I$604,5,0),"NOT BILLED")</f>
        <v>Aug</v>
      </c>
      <c r="J479" s="46" t="str">
        <f t="shared" si="15"/>
        <v>PASS</v>
      </c>
    </row>
    <row r="480" spans="2:10" x14ac:dyDescent="0.5">
      <c r="B480" s="46" t="s">
        <v>303</v>
      </c>
      <c r="C480" s="46" t="s">
        <v>195</v>
      </c>
      <c r="D480" s="47">
        <v>1</v>
      </c>
      <c r="E480" s="48" t="s">
        <v>1482</v>
      </c>
      <c r="F480" s="30" t="str">
        <f t="shared" si="14"/>
        <v>Completed</v>
      </c>
      <c r="G480" s="46" t="s">
        <v>1324</v>
      </c>
      <c r="I480" s="46" t="str">
        <f>IFERROR(VLOOKUP(B480,'Test 1,2'!$E$4:$I$604,5,0),"NOT BILLED")</f>
        <v>Aug</v>
      </c>
      <c r="J480" s="46" t="str">
        <f t="shared" si="15"/>
        <v>PASS</v>
      </c>
    </row>
    <row r="481" spans="2:10" x14ac:dyDescent="0.5">
      <c r="B481" s="46" t="s">
        <v>218</v>
      </c>
      <c r="C481" s="46" t="s">
        <v>72</v>
      </c>
      <c r="D481" s="47">
        <v>1</v>
      </c>
      <c r="E481" s="48" t="s">
        <v>1481</v>
      </c>
      <c r="F481" s="30" t="str">
        <f t="shared" si="14"/>
        <v>Completed</v>
      </c>
      <c r="G481" s="46" t="s">
        <v>1324</v>
      </c>
      <c r="I481" s="46" t="str">
        <f>IFERROR(VLOOKUP(B481,'Test 1,2'!$E$4:$I$604,5,0),"NOT BILLED")</f>
        <v>Jul</v>
      </c>
      <c r="J481" s="46" t="str">
        <f t="shared" si="15"/>
        <v>PASS</v>
      </c>
    </row>
    <row r="482" spans="2:10" x14ac:dyDescent="0.5">
      <c r="B482" s="46" t="s">
        <v>688</v>
      </c>
      <c r="C482" s="46" t="s">
        <v>238</v>
      </c>
      <c r="D482" s="47">
        <v>1</v>
      </c>
      <c r="E482" s="48" t="s">
        <v>1482</v>
      </c>
      <c r="F482" s="30" t="str">
        <f t="shared" si="14"/>
        <v>Completed</v>
      </c>
      <c r="G482" s="46" t="s">
        <v>1324</v>
      </c>
      <c r="I482" s="46" t="str">
        <f>IFERROR(VLOOKUP(B482,'Test 1,2'!$E$4:$I$604,5,0),"NOT BILLED")</f>
        <v>May</v>
      </c>
      <c r="J482" s="46" t="str">
        <f t="shared" si="15"/>
        <v>PASS</v>
      </c>
    </row>
    <row r="483" spans="2:10" x14ac:dyDescent="0.5">
      <c r="B483" s="46" t="s">
        <v>642</v>
      </c>
      <c r="C483" s="46" t="s">
        <v>187</v>
      </c>
      <c r="D483" s="47">
        <v>1</v>
      </c>
      <c r="E483" s="48" t="s">
        <v>1482</v>
      </c>
      <c r="F483" s="30" t="str">
        <f t="shared" si="14"/>
        <v>Completed</v>
      </c>
      <c r="G483" s="46" t="s">
        <v>1324</v>
      </c>
      <c r="I483" s="46" t="str">
        <f>IFERROR(VLOOKUP(B483,'Test 1,2'!$E$4:$I$604,5,0),"NOT BILLED")</f>
        <v>Apr</v>
      </c>
      <c r="J483" s="46" t="str">
        <f t="shared" si="15"/>
        <v>PASS</v>
      </c>
    </row>
    <row r="484" spans="2:10" x14ac:dyDescent="0.5">
      <c r="B484" s="46" t="s">
        <v>1222</v>
      </c>
      <c r="C484" s="46" t="s">
        <v>54</v>
      </c>
      <c r="D484" s="47">
        <v>1</v>
      </c>
      <c r="E484" s="48" t="s">
        <v>1482</v>
      </c>
      <c r="F484" s="30" t="str">
        <f t="shared" si="14"/>
        <v>Completed</v>
      </c>
      <c r="G484" s="46" t="s">
        <v>1324</v>
      </c>
      <c r="I484" s="46" t="str">
        <f>IFERROR(VLOOKUP(B484,'Test 1,2'!$E$4:$I$604,5,0),"NOT BILLED")</f>
        <v>Feb</v>
      </c>
      <c r="J484" s="46" t="str">
        <f t="shared" si="15"/>
        <v>PASS</v>
      </c>
    </row>
    <row r="485" spans="2:10" x14ac:dyDescent="0.5">
      <c r="B485" s="46" t="s">
        <v>874</v>
      </c>
      <c r="C485" s="46" t="s">
        <v>290</v>
      </c>
      <c r="D485" s="47">
        <v>1</v>
      </c>
      <c r="E485" s="48" t="s">
        <v>1482</v>
      </c>
      <c r="F485" s="30" t="str">
        <f t="shared" si="14"/>
        <v>Completed</v>
      </c>
      <c r="G485" s="46" t="s">
        <v>1325</v>
      </c>
      <c r="I485" s="46" t="str">
        <f>IFERROR(VLOOKUP(B485,'Test 1,2'!$E$4:$I$604,5,0),"NOT BILLED")</f>
        <v>Jul</v>
      </c>
      <c r="J485" s="46" t="str">
        <f t="shared" si="15"/>
        <v>PASS</v>
      </c>
    </row>
    <row r="486" spans="2:10" x14ac:dyDescent="0.5">
      <c r="B486" s="46" t="s">
        <v>377</v>
      </c>
      <c r="C486" s="46" t="s">
        <v>378</v>
      </c>
      <c r="D486" s="47">
        <v>1</v>
      </c>
      <c r="E486" s="48" t="s">
        <v>1481</v>
      </c>
      <c r="F486" s="30" t="str">
        <f t="shared" si="14"/>
        <v>Completed</v>
      </c>
      <c r="G486" s="46" t="s">
        <v>1324</v>
      </c>
      <c r="I486" s="46" t="str">
        <f>IFERROR(VLOOKUP(B486,'Test 1,2'!$E$4:$I$604,5,0),"NOT BILLED")</f>
        <v>Sep</v>
      </c>
      <c r="J486" s="46" t="str">
        <f t="shared" si="15"/>
        <v>PASS</v>
      </c>
    </row>
    <row r="487" spans="2:10" x14ac:dyDescent="0.5">
      <c r="B487" s="46" t="s">
        <v>94</v>
      </c>
      <c r="C487" s="46" t="s">
        <v>95</v>
      </c>
      <c r="D487" s="47">
        <v>1</v>
      </c>
      <c r="E487" s="48" t="s">
        <v>1482</v>
      </c>
      <c r="F487" s="30" t="str">
        <f t="shared" si="14"/>
        <v>Completed</v>
      </c>
      <c r="G487" s="46" t="s">
        <v>1324</v>
      </c>
      <c r="I487" s="46" t="str">
        <f>IFERROR(VLOOKUP(B487,'Test 1,2'!$E$4:$I$604,5,0),"NOT BILLED")</f>
        <v>May</v>
      </c>
      <c r="J487" s="46" t="str">
        <f t="shared" si="15"/>
        <v>PASS</v>
      </c>
    </row>
    <row r="488" spans="2:10" x14ac:dyDescent="0.5">
      <c r="B488" s="46" t="s">
        <v>720</v>
      </c>
      <c r="C488" s="46" t="s">
        <v>87</v>
      </c>
      <c r="D488" s="47">
        <v>1</v>
      </c>
      <c r="E488" s="48" t="s">
        <v>1482</v>
      </c>
      <c r="F488" s="30" t="str">
        <f t="shared" si="14"/>
        <v>Completed</v>
      </c>
      <c r="G488" s="46" t="s">
        <v>1324</v>
      </c>
      <c r="I488" s="46" t="str">
        <f>IFERROR(VLOOKUP(B488,'Test 1,2'!$E$4:$I$604,5,0),"NOT BILLED")</f>
        <v>May</v>
      </c>
      <c r="J488" s="46" t="str">
        <f t="shared" si="15"/>
        <v>PASS</v>
      </c>
    </row>
    <row r="489" spans="2:10" x14ac:dyDescent="0.5">
      <c r="B489" s="46" t="s">
        <v>541</v>
      </c>
      <c r="C489" s="46" t="s">
        <v>229</v>
      </c>
      <c r="D489" s="47">
        <v>1</v>
      </c>
      <c r="E489" s="48" t="s">
        <v>1481</v>
      </c>
      <c r="F489" s="30" t="str">
        <f t="shared" si="14"/>
        <v>Completed</v>
      </c>
      <c r="G489" s="46" t="s">
        <v>1324</v>
      </c>
      <c r="I489" s="46" t="str">
        <f>IFERROR(VLOOKUP(B489,'Test 1,2'!$E$4:$I$604,5,0),"NOT BILLED")</f>
        <v>Feb</v>
      </c>
      <c r="J489" s="46" t="str">
        <f t="shared" si="15"/>
        <v>PASS</v>
      </c>
    </row>
    <row r="490" spans="2:10" x14ac:dyDescent="0.5">
      <c r="B490" s="46" t="s">
        <v>512</v>
      </c>
      <c r="C490" s="46" t="s">
        <v>131</v>
      </c>
      <c r="D490" s="47">
        <v>1</v>
      </c>
      <c r="E490" s="48" t="s">
        <v>1481</v>
      </c>
      <c r="F490" s="30" t="str">
        <f t="shared" si="14"/>
        <v>Completed</v>
      </c>
      <c r="G490" s="46" t="s">
        <v>1324</v>
      </c>
      <c r="I490" s="46" t="str">
        <f>IFERROR(VLOOKUP(B490,'Test 1,2'!$E$4:$I$604,5,0),"NOT BILLED")</f>
        <v>Jan</v>
      </c>
      <c r="J490" s="46" t="str">
        <f t="shared" si="15"/>
        <v>PASS</v>
      </c>
    </row>
    <row r="491" spans="2:10" x14ac:dyDescent="0.5">
      <c r="B491" s="46" t="s">
        <v>882</v>
      </c>
      <c r="C491" s="46" t="s">
        <v>184</v>
      </c>
      <c r="D491" s="47">
        <v>1</v>
      </c>
      <c r="E491" s="48" t="s">
        <v>1481</v>
      </c>
      <c r="F491" s="30" t="str">
        <f t="shared" si="14"/>
        <v>Completed</v>
      </c>
      <c r="G491" s="46" t="s">
        <v>1324</v>
      </c>
      <c r="I491" s="46" t="str">
        <f>IFERROR(VLOOKUP(B491,'Test 1,2'!$E$4:$I$604,5,0),"NOT BILLED")</f>
        <v>Aug</v>
      </c>
      <c r="J491" s="46" t="str">
        <f t="shared" si="15"/>
        <v>PASS</v>
      </c>
    </row>
    <row r="492" spans="2:10" x14ac:dyDescent="0.5">
      <c r="B492" s="46" t="s">
        <v>581</v>
      </c>
      <c r="C492" s="46" t="s">
        <v>262</v>
      </c>
      <c r="D492" s="47">
        <v>1</v>
      </c>
      <c r="E492" s="48" t="s">
        <v>1481</v>
      </c>
      <c r="F492" s="30" t="str">
        <f t="shared" si="14"/>
        <v>Completed</v>
      </c>
      <c r="G492" s="46" t="s">
        <v>1324</v>
      </c>
      <c r="I492" s="46" t="str">
        <f>IFERROR(VLOOKUP(B492,'Test 1,2'!$E$4:$I$604,5,0),"NOT BILLED")</f>
        <v>Mar</v>
      </c>
      <c r="J492" s="46" t="str">
        <f t="shared" si="15"/>
        <v>PASS</v>
      </c>
    </row>
    <row r="493" spans="2:10" x14ac:dyDescent="0.5">
      <c r="B493" s="46" t="s">
        <v>1059</v>
      </c>
      <c r="C493" s="46" t="s">
        <v>293</v>
      </c>
      <c r="D493" s="47">
        <v>1</v>
      </c>
      <c r="E493" s="48" t="s">
        <v>1482</v>
      </c>
      <c r="F493" s="30" t="str">
        <f t="shared" si="14"/>
        <v>Completed</v>
      </c>
      <c r="G493" s="46" t="s">
        <v>1325</v>
      </c>
      <c r="I493" s="46" t="str">
        <f>IFERROR(VLOOKUP(B493,'Test 1,2'!$E$4:$I$604,5,0),"NOT BILLED")</f>
        <v>Nov</v>
      </c>
      <c r="J493" s="46" t="str">
        <f t="shared" si="15"/>
        <v>PASS</v>
      </c>
    </row>
    <row r="494" spans="2:10" x14ac:dyDescent="0.5">
      <c r="B494" s="46" t="s">
        <v>939</v>
      </c>
      <c r="C494" s="46" t="s">
        <v>131</v>
      </c>
      <c r="D494" s="47">
        <v>1</v>
      </c>
      <c r="E494" s="48" t="s">
        <v>1481</v>
      </c>
      <c r="F494" s="30" t="str">
        <f t="shared" si="14"/>
        <v>Completed</v>
      </c>
      <c r="G494" s="46" t="s">
        <v>1324</v>
      </c>
      <c r="I494" s="46" t="str">
        <f>IFERROR(VLOOKUP(B494,'Test 1,2'!$E$4:$I$604,5,0),"NOT BILLED")</f>
        <v>Aug</v>
      </c>
      <c r="J494" s="46" t="str">
        <f t="shared" si="15"/>
        <v>PASS</v>
      </c>
    </row>
    <row r="495" spans="2:10" x14ac:dyDescent="0.5">
      <c r="B495" s="46" t="s">
        <v>795</v>
      </c>
      <c r="C495" s="46" t="s">
        <v>119</v>
      </c>
      <c r="D495" s="47">
        <v>1</v>
      </c>
      <c r="E495" s="48" t="s">
        <v>1481</v>
      </c>
      <c r="F495" s="30" t="str">
        <f t="shared" si="14"/>
        <v>Completed</v>
      </c>
      <c r="G495" s="46" t="s">
        <v>1324</v>
      </c>
      <c r="I495" s="46" t="str">
        <f>IFERROR(VLOOKUP(B495,'Test 1,2'!$E$4:$I$604,5,0),"NOT BILLED")</f>
        <v>Jun</v>
      </c>
      <c r="J495" s="46" t="str">
        <f t="shared" si="15"/>
        <v>PASS</v>
      </c>
    </row>
    <row r="496" spans="2:10" x14ac:dyDescent="0.5">
      <c r="B496" s="46" t="s">
        <v>799</v>
      </c>
      <c r="C496" s="46" t="s">
        <v>125</v>
      </c>
      <c r="D496" s="47">
        <v>1</v>
      </c>
      <c r="E496" s="48" t="s">
        <v>1482</v>
      </c>
      <c r="F496" s="30" t="str">
        <f t="shared" si="14"/>
        <v>Completed</v>
      </c>
      <c r="G496" s="46" t="s">
        <v>1324</v>
      </c>
      <c r="I496" s="46" t="str">
        <f>IFERROR(VLOOKUP(B496,'Test 1,2'!$E$4:$I$604,5,0),"NOT BILLED")</f>
        <v>Jun</v>
      </c>
      <c r="J496" s="46" t="str">
        <f t="shared" si="15"/>
        <v>PASS</v>
      </c>
    </row>
    <row r="497" spans="2:10" x14ac:dyDescent="0.5">
      <c r="B497" s="46" t="s">
        <v>357</v>
      </c>
      <c r="C497" s="46" t="s">
        <v>269</v>
      </c>
      <c r="D497" s="47">
        <v>1</v>
      </c>
      <c r="E497" s="48" t="s">
        <v>1482</v>
      </c>
      <c r="F497" s="30" t="str">
        <f t="shared" si="14"/>
        <v>Completed</v>
      </c>
      <c r="G497" s="46" t="s">
        <v>1324</v>
      </c>
      <c r="I497" s="46" t="str">
        <f>IFERROR(VLOOKUP(B497,'Test 1,2'!$E$4:$I$604,5,0),"NOT BILLED")</f>
        <v>Sep</v>
      </c>
      <c r="J497" s="46" t="str">
        <f t="shared" si="15"/>
        <v>PASS</v>
      </c>
    </row>
    <row r="498" spans="2:10" x14ac:dyDescent="0.5">
      <c r="B498" s="46" t="s">
        <v>442</v>
      </c>
      <c r="C498" s="46" t="s">
        <v>272</v>
      </c>
      <c r="D498" s="47">
        <v>1</v>
      </c>
      <c r="E498" s="48" t="s">
        <v>1481</v>
      </c>
      <c r="F498" s="30" t="str">
        <f t="shared" si="14"/>
        <v>Completed</v>
      </c>
      <c r="G498" s="46" t="s">
        <v>1324</v>
      </c>
      <c r="I498" s="46" t="str">
        <f>IFERROR(VLOOKUP(B498,'Test 1,2'!$E$4:$I$604,5,0),"NOT BILLED")</f>
        <v>Nov</v>
      </c>
      <c r="J498" s="46" t="str">
        <f t="shared" si="15"/>
        <v>PASS</v>
      </c>
    </row>
    <row r="499" spans="2:10" x14ac:dyDescent="0.5">
      <c r="B499" s="46" t="s">
        <v>666</v>
      </c>
      <c r="C499" s="46" t="s">
        <v>50</v>
      </c>
      <c r="D499" s="47">
        <v>1</v>
      </c>
      <c r="E499" s="48" t="s">
        <v>1482</v>
      </c>
      <c r="F499" s="30" t="str">
        <f t="shared" si="14"/>
        <v>Completed</v>
      </c>
      <c r="G499" s="46" t="s">
        <v>1324</v>
      </c>
      <c r="I499" s="46" t="str">
        <f>IFERROR(VLOOKUP(B499,'Test 1,2'!$E$4:$I$604,5,0),"NOT BILLED")</f>
        <v>Apr</v>
      </c>
      <c r="J499" s="46" t="str">
        <f t="shared" si="15"/>
        <v>PASS</v>
      </c>
    </row>
    <row r="500" spans="2:10" x14ac:dyDescent="0.5">
      <c r="B500" s="46" t="s">
        <v>813</v>
      </c>
      <c r="C500" s="46" t="s">
        <v>608</v>
      </c>
      <c r="D500" s="47">
        <v>1</v>
      </c>
      <c r="E500" s="48" t="s">
        <v>1482</v>
      </c>
      <c r="F500" s="30" t="str">
        <f t="shared" si="14"/>
        <v>Completed</v>
      </c>
      <c r="G500" s="46" t="s">
        <v>1324</v>
      </c>
      <c r="I500" s="46" t="str">
        <f>IFERROR(VLOOKUP(B500,'Test 1,2'!$E$4:$I$604,5,0),"NOT BILLED")</f>
        <v>Jul</v>
      </c>
      <c r="J500" s="46" t="str">
        <f t="shared" si="15"/>
        <v>PASS</v>
      </c>
    </row>
    <row r="501" spans="2:10" x14ac:dyDescent="0.5">
      <c r="B501" s="46" t="s">
        <v>912</v>
      </c>
      <c r="C501" s="46" t="s">
        <v>111</v>
      </c>
      <c r="D501" s="47">
        <v>1</v>
      </c>
      <c r="E501" s="48" t="s">
        <v>1482</v>
      </c>
      <c r="F501" s="30" t="str">
        <f t="shared" si="14"/>
        <v>Completed</v>
      </c>
      <c r="G501" s="46" t="s">
        <v>1325</v>
      </c>
      <c r="I501" s="46" t="str">
        <f>IFERROR(VLOOKUP(B501,'Test 1,2'!$E$4:$I$604,5,0),"NOT BILLED")</f>
        <v>Aug</v>
      </c>
      <c r="J501" s="46" t="str">
        <f t="shared" si="15"/>
        <v>PASS</v>
      </c>
    </row>
    <row r="502" spans="2:10" x14ac:dyDescent="0.5">
      <c r="B502" s="46" t="s">
        <v>945</v>
      </c>
      <c r="C502" s="46" t="s">
        <v>87</v>
      </c>
      <c r="D502" s="47">
        <v>1</v>
      </c>
      <c r="E502" s="48" t="s">
        <v>1481</v>
      </c>
      <c r="F502" s="30" t="str">
        <f t="shared" si="14"/>
        <v>Completed</v>
      </c>
      <c r="G502" s="46" t="s">
        <v>1324</v>
      </c>
      <c r="I502" s="46" t="str">
        <f>IFERROR(VLOOKUP(B502,'Test 1,2'!$E$4:$I$604,5,0),"NOT BILLED")</f>
        <v>Aug</v>
      </c>
      <c r="J502" s="46" t="str">
        <f t="shared" si="15"/>
        <v>PASS</v>
      </c>
    </row>
    <row r="503" spans="2:10" x14ac:dyDescent="0.5">
      <c r="B503" s="46" t="s">
        <v>861</v>
      </c>
      <c r="C503" s="46" t="s">
        <v>143</v>
      </c>
      <c r="D503" s="47">
        <v>1</v>
      </c>
      <c r="E503" s="48" t="s">
        <v>1482</v>
      </c>
      <c r="F503" s="30" t="str">
        <f t="shared" si="14"/>
        <v>Completed</v>
      </c>
      <c r="G503" s="46" t="s">
        <v>1324</v>
      </c>
      <c r="I503" s="46" t="str">
        <f>IFERROR(VLOOKUP(B503,'Test 1,2'!$E$4:$I$604,5,0),"NOT BILLED")</f>
        <v>Jul</v>
      </c>
      <c r="J503" s="46" t="str">
        <f t="shared" si="15"/>
        <v>PASS</v>
      </c>
    </row>
    <row r="504" spans="2:10" x14ac:dyDescent="0.5">
      <c r="B504" s="46" t="s">
        <v>1114</v>
      </c>
      <c r="C504" s="46" t="s">
        <v>241</v>
      </c>
      <c r="D504" s="47">
        <v>1</v>
      </c>
      <c r="E504" s="48" t="s">
        <v>1481</v>
      </c>
      <c r="F504" s="30" t="str">
        <f t="shared" si="14"/>
        <v>Completed</v>
      </c>
      <c r="G504" s="46" t="s">
        <v>1325</v>
      </c>
      <c r="I504" s="46" t="str">
        <f>IFERROR(VLOOKUP(B504,'Test 1,2'!$E$4:$I$604,5,0),"NOT BILLED")</f>
        <v>Dec</v>
      </c>
      <c r="J504" s="46" t="str">
        <f t="shared" si="15"/>
        <v>PASS</v>
      </c>
    </row>
    <row r="505" spans="2:10" x14ac:dyDescent="0.5">
      <c r="B505" s="46" t="s">
        <v>162</v>
      </c>
      <c r="C505" s="46" t="s">
        <v>15</v>
      </c>
      <c r="D505" s="47">
        <v>1</v>
      </c>
      <c r="E505" s="48" t="s">
        <v>1482</v>
      </c>
      <c r="F505" s="30" t="str">
        <f t="shared" si="14"/>
        <v>Completed</v>
      </c>
      <c r="G505" s="46" t="s">
        <v>1324</v>
      </c>
      <c r="I505" s="46" t="str">
        <f>IFERROR(VLOOKUP(B505,'Test 1,2'!$E$4:$I$604,5,0),"NOT BILLED")</f>
        <v>Jun</v>
      </c>
      <c r="J505" s="46" t="str">
        <f t="shared" si="15"/>
        <v>PASS</v>
      </c>
    </row>
    <row r="506" spans="2:10" x14ac:dyDescent="0.5">
      <c r="B506" s="46" t="s">
        <v>1286</v>
      </c>
      <c r="C506" s="46" t="s">
        <v>92</v>
      </c>
      <c r="D506" s="47">
        <v>1</v>
      </c>
      <c r="E506" s="48" t="s">
        <v>1481</v>
      </c>
      <c r="F506" s="30" t="str">
        <f t="shared" si="14"/>
        <v>Completed</v>
      </c>
      <c r="G506" s="46" t="s">
        <v>1324</v>
      </c>
      <c r="I506" s="46" t="str">
        <f>IFERROR(VLOOKUP(B506,'Test 1,2'!$E$4:$I$604,5,0),"NOT BILLED")</f>
        <v>Mar</v>
      </c>
      <c r="J506" s="46" t="str">
        <f t="shared" si="15"/>
        <v>PASS</v>
      </c>
    </row>
    <row r="507" spans="2:10" x14ac:dyDescent="0.5">
      <c r="B507" s="46" t="s">
        <v>66</v>
      </c>
      <c r="C507" s="46" t="s">
        <v>67</v>
      </c>
      <c r="D507" s="47">
        <v>1</v>
      </c>
      <c r="E507" s="48" t="s">
        <v>1481</v>
      </c>
      <c r="F507" s="30" t="str">
        <f t="shared" si="14"/>
        <v>Completed</v>
      </c>
      <c r="G507" s="46" t="s">
        <v>1324</v>
      </c>
      <c r="I507" s="46" t="str">
        <f>IFERROR(VLOOKUP(B507,'Test 1,2'!$E$4:$I$604,5,0),"NOT BILLED")</f>
        <v>Apr</v>
      </c>
      <c r="J507" s="46" t="str">
        <f t="shared" si="15"/>
        <v>PASS</v>
      </c>
    </row>
    <row r="508" spans="2:10" x14ac:dyDescent="0.5">
      <c r="B508" s="46" t="s">
        <v>1202</v>
      </c>
      <c r="C508" s="46" t="s">
        <v>64</v>
      </c>
      <c r="D508" s="47">
        <v>1</v>
      </c>
      <c r="E508" s="48" t="s">
        <v>1481</v>
      </c>
      <c r="F508" s="30" t="str">
        <f t="shared" si="14"/>
        <v>Completed</v>
      </c>
      <c r="G508" s="46" t="s">
        <v>1324</v>
      </c>
      <c r="I508" s="46" t="str">
        <f>IFERROR(VLOOKUP(B508,'Test 1,2'!$E$4:$I$604,5,0),"NOT BILLED")</f>
        <v>Jan</v>
      </c>
      <c r="J508" s="46" t="str">
        <f t="shared" si="15"/>
        <v>PASS</v>
      </c>
    </row>
    <row r="509" spans="2:10" x14ac:dyDescent="0.5">
      <c r="B509" s="46" t="s">
        <v>1196</v>
      </c>
      <c r="C509" s="46" t="s">
        <v>114</v>
      </c>
      <c r="D509" s="47">
        <v>1</v>
      </c>
      <c r="E509" s="48" t="s">
        <v>1481</v>
      </c>
      <c r="F509" s="30" t="str">
        <f t="shared" si="14"/>
        <v>Completed</v>
      </c>
      <c r="G509" s="46" t="s">
        <v>1324</v>
      </c>
      <c r="I509" s="46" t="str">
        <f>IFERROR(VLOOKUP(B509,'Test 1,2'!$E$4:$I$604,5,0),"NOT BILLED")</f>
        <v>Jan</v>
      </c>
      <c r="J509" s="46" t="str">
        <f t="shared" si="15"/>
        <v>PASS</v>
      </c>
    </row>
    <row r="510" spans="2:10" x14ac:dyDescent="0.5">
      <c r="B510" s="46" t="s">
        <v>931</v>
      </c>
      <c r="C510" s="46" t="s">
        <v>27</v>
      </c>
      <c r="D510" s="47">
        <v>1</v>
      </c>
      <c r="E510" s="48" t="s">
        <v>1482</v>
      </c>
      <c r="F510" s="30" t="str">
        <f t="shared" si="14"/>
        <v>Completed</v>
      </c>
      <c r="G510" s="46" t="s">
        <v>1324</v>
      </c>
      <c r="I510" s="46" t="str">
        <f>IFERROR(VLOOKUP(B510,'Test 1,2'!$E$4:$I$604,5,0),"NOT BILLED")</f>
        <v>Aug</v>
      </c>
      <c r="J510" s="46" t="str">
        <f t="shared" si="15"/>
        <v>PASS</v>
      </c>
    </row>
    <row r="511" spans="2:10" x14ac:dyDescent="0.5">
      <c r="B511" s="46" t="s">
        <v>475</v>
      </c>
      <c r="C511" s="46" t="s">
        <v>238</v>
      </c>
      <c r="D511" s="47">
        <v>1</v>
      </c>
      <c r="E511" s="48" t="s">
        <v>1481</v>
      </c>
      <c r="F511" s="30" t="str">
        <f t="shared" si="14"/>
        <v>Completed</v>
      </c>
      <c r="G511" s="46" t="s">
        <v>1324</v>
      </c>
      <c r="I511" s="46" t="str">
        <f>IFERROR(VLOOKUP(B511,'Test 1,2'!$E$4:$I$604,5,0),"NOT BILLED")</f>
        <v>Dec</v>
      </c>
      <c r="J511" s="46" t="str">
        <f t="shared" si="15"/>
        <v>PASS</v>
      </c>
    </row>
    <row r="512" spans="2:10" x14ac:dyDescent="0.5">
      <c r="B512" s="46" t="s">
        <v>297</v>
      </c>
      <c r="C512" s="46" t="s">
        <v>184</v>
      </c>
      <c r="D512" s="47">
        <v>1</v>
      </c>
      <c r="E512" s="48" t="s">
        <v>1481</v>
      </c>
      <c r="F512" s="30" t="str">
        <f t="shared" si="14"/>
        <v>Completed</v>
      </c>
      <c r="G512" s="46" t="s">
        <v>1324</v>
      </c>
      <c r="I512" s="46" t="str">
        <f>IFERROR(VLOOKUP(B512,'Test 1,2'!$E$4:$I$604,5,0),"NOT BILLED")</f>
        <v>Aug</v>
      </c>
      <c r="J512" s="46" t="str">
        <f t="shared" si="15"/>
        <v>PASS</v>
      </c>
    </row>
    <row r="513" spans="2:10" x14ac:dyDescent="0.5">
      <c r="B513" s="46" t="s">
        <v>413</v>
      </c>
      <c r="C513" s="46" t="s">
        <v>153</v>
      </c>
      <c r="D513" s="47">
        <v>1</v>
      </c>
      <c r="E513" s="48" t="s">
        <v>1482</v>
      </c>
      <c r="F513" s="30" t="str">
        <f t="shared" si="14"/>
        <v>Completed</v>
      </c>
      <c r="G513" s="46" t="s">
        <v>1324</v>
      </c>
      <c r="I513" s="46" t="str">
        <f>IFERROR(VLOOKUP(B513,'Test 1,2'!$E$4:$I$604,5,0),"NOT BILLED")</f>
        <v>Oct</v>
      </c>
      <c r="J513" s="46" t="str">
        <f t="shared" si="15"/>
        <v>PASS</v>
      </c>
    </row>
    <row r="514" spans="2:10" x14ac:dyDescent="0.5">
      <c r="B514" s="46" t="s">
        <v>618</v>
      </c>
      <c r="C514" s="46" t="s">
        <v>67</v>
      </c>
      <c r="D514" s="47">
        <v>1</v>
      </c>
      <c r="E514" s="48" t="s">
        <v>1481</v>
      </c>
      <c r="F514" s="30" t="str">
        <f t="shared" si="14"/>
        <v>Completed</v>
      </c>
      <c r="G514" s="46" t="s">
        <v>1324</v>
      </c>
      <c r="I514" s="46" t="str">
        <f>IFERROR(VLOOKUP(B514,'Test 1,2'!$E$4:$I$604,5,0),"NOT BILLED")</f>
        <v>Apr</v>
      </c>
      <c r="J514" s="46" t="str">
        <f t="shared" si="15"/>
        <v>PASS</v>
      </c>
    </row>
    <row r="515" spans="2:10" x14ac:dyDescent="0.5">
      <c r="B515" s="46" t="s">
        <v>194</v>
      </c>
      <c r="C515" s="46" t="s">
        <v>195</v>
      </c>
      <c r="D515" s="47">
        <v>1</v>
      </c>
      <c r="E515" s="48" t="s">
        <v>1482</v>
      </c>
      <c r="F515" s="30" t="str">
        <f t="shared" si="14"/>
        <v>Completed</v>
      </c>
      <c r="G515" s="46" t="s">
        <v>1324</v>
      </c>
      <c r="I515" s="46" t="str">
        <f>IFERROR(VLOOKUP(B515,'Test 1,2'!$E$4:$I$604,5,0),"NOT BILLED")</f>
        <v>May</v>
      </c>
      <c r="J515" s="46" t="str">
        <f t="shared" si="15"/>
        <v>PASS</v>
      </c>
    </row>
    <row r="516" spans="2:10" x14ac:dyDescent="0.5">
      <c r="B516" s="46" t="s">
        <v>1174</v>
      </c>
      <c r="C516" s="46" t="s">
        <v>238</v>
      </c>
      <c r="D516" s="47">
        <v>1</v>
      </c>
      <c r="E516" s="48" t="s">
        <v>1481</v>
      </c>
      <c r="F516" s="30" t="str">
        <f t="shared" ref="F516:F579" si="16">IF(D516=100%,"Completed","Contract-In-Progress")</f>
        <v>Completed</v>
      </c>
      <c r="G516" s="46" t="s">
        <v>1324</v>
      </c>
      <c r="I516" s="46" t="str">
        <f>IFERROR(VLOOKUP(B516,'Test 1,2'!$E$4:$I$604,5,0),"NOT BILLED")</f>
        <v>Jan</v>
      </c>
      <c r="J516" s="46" t="str">
        <f t="shared" ref="J516:J579" si="17">IF(I516&lt;&gt;"NOT BILLED",IF(D516=100%,"PASS","FLAG"),IF(D516&lt;100%,"PASS","FLAG"))</f>
        <v>PASS</v>
      </c>
    </row>
    <row r="517" spans="2:10" x14ac:dyDescent="0.5">
      <c r="B517" s="46" t="s">
        <v>98</v>
      </c>
      <c r="C517" s="46" t="s">
        <v>40</v>
      </c>
      <c r="D517" s="47">
        <v>1</v>
      </c>
      <c r="E517" s="48" t="s">
        <v>1481</v>
      </c>
      <c r="F517" s="30" t="str">
        <f t="shared" si="16"/>
        <v>Completed</v>
      </c>
      <c r="G517" s="46" t="s">
        <v>1324</v>
      </c>
      <c r="I517" s="46" t="str">
        <f>IFERROR(VLOOKUP(B517,'Test 1,2'!$E$4:$I$604,5,0),"NOT BILLED")</f>
        <v>May</v>
      </c>
      <c r="J517" s="46" t="str">
        <f t="shared" si="17"/>
        <v>PASS</v>
      </c>
    </row>
    <row r="518" spans="2:10" x14ac:dyDescent="0.5">
      <c r="B518" s="46" t="s">
        <v>1098</v>
      </c>
      <c r="C518" s="46" t="s">
        <v>22</v>
      </c>
      <c r="D518" s="47">
        <v>1</v>
      </c>
      <c r="E518" s="48" t="s">
        <v>1481</v>
      </c>
      <c r="F518" s="30" t="str">
        <f t="shared" si="16"/>
        <v>Completed</v>
      </c>
      <c r="G518" s="46" t="s">
        <v>1324</v>
      </c>
      <c r="I518" s="46" t="str">
        <f>IFERROR(VLOOKUP(B518,'Test 1,2'!$E$4:$I$604,5,0),"NOT BILLED")</f>
        <v>Dec</v>
      </c>
      <c r="J518" s="46" t="str">
        <f t="shared" si="17"/>
        <v>PASS</v>
      </c>
    </row>
    <row r="519" spans="2:10" x14ac:dyDescent="0.5">
      <c r="B519" s="46" t="s">
        <v>1045</v>
      </c>
      <c r="C519" s="46" t="s">
        <v>95</v>
      </c>
      <c r="D519" s="47">
        <v>1</v>
      </c>
      <c r="E519" s="48" t="s">
        <v>1482</v>
      </c>
      <c r="F519" s="30" t="str">
        <f t="shared" si="16"/>
        <v>Completed</v>
      </c>
      <c r="G519" s="46" t="s">
        <v>1324</v>
      </c>
      <c r="I519" s="46" t="str">
        <f>IFERROR(VLOOKUP(B519,'Test 1,2'!$E$4:$I$604,5,0),"NOT BILLED")</f>
        <v>Nov</v>
      </c>
      <c r="J519" s="46" t="str">
        <f t="shared" si="17"/>
        <v>PASS</v>
      </c>
    </row>
    <row r="520" spans="2:10" x14ac:dyDescent="0.5">
      <c r="B520" s="46" t="s">
        <v>1260</v>
      </c>
      <c r="C520" s="46" t="s">
        <v>92</v>
      </c>
      <c r="D520" s="47">
        <v>1</v>
      </c>
      <c r="E520" s="48" t="s">
        <v>1481</v>
      </c>
      <c r="F520" s="30" t="str">
        <f t="shared" si="16"/>
        <v>Completed</v>
      </c>
      <c r="G520" s="46" t="s">
        <v>1324</v>
      </c>
      <c r="I520" s="46" t="str">
        <f>IFERROR(VLOOKUP(B520,'Test 1,2'!$E$4:$I$604,5,0),"NOT BILLED")</f>
        <v>Feb</v>
      </c>
      <c r="J520" s="46" t="str">
        <f t="shared" si="17"/>
        <v>PASS</v>
      </c>
    </row>
    <row r="521" spans="2:10" x14ac:dyDescent="0.5">
      <c r="B521" s="46" t="s">
        <v>769</v>
      </c>
      <c r="C521" s="46" t="s">
        <v>577</v>
      </c>
      <c r="D521" s="47">
        <v>1</v>
      </c>
      <c r="E521" s="48" t="s">
        <v>1481</v>
      </c>
      <c r="F521" s="30" t="str">
        <f t="shared" si="16"/>
        <v>Completed</v>
      </c>
      <c r="G521" s="46" t="s">
        <v>1324</v>
      </c>
      <c r="I521" s="46" t="str">
        <f>IFERROR(VLOOKUP(B521,'Test 1,2'!$E$4:$I$604,5,0),"NOT BILLED")</f>
        <v>Jun</v>
      </c>
      <c r="J521" s="46" t="str">
        <f t="shared" si="17"/>
        <v>PASS</v>
      </c>
    </row>
    <row r="522" spans="2:10" x14ac:dyDescent="0.5">
      <c r="B522" s="46" t="s">
        <v>21</v>
      </c>
      <c r="C522" s="46" t="s">
        <v>22</v>
      </c>
      <c r="D522" s="47">
        <v>1</v>
      </c>
      <c r="E522" s="48" t="s">
        <v>1482</v>
      </c>
      <c r="F522" s="30" t="str">
        <f t="shared" si="16"/>
        <v>Completed</v>
      </c>
      <c r="G522" s="46" t="s">
        <v>1324</v>
      </c>
      <c r="I522" s="46" t="str">
        <f>IFERROR(VLOOKUP(B522,'Test 1,2'!$E$4:$I$604,5,0),"NOT BILLED")</f>
        <v>Apr</v>
      </c>
      <c r="J522" s="46" t="str">
        <f t="shared" si="17"/>
        <v>PASS</v>
      </c>
    </row>
    <row r="523" spans="2:10" x14ac:dyDescent="0.5">
      <c r="B523" s="46" t="s">
        <v>1216</v>
      </c>
      <c r="C523" s="46" t="s">
        <v>378</v>
      </c>
      <c r="D523" s="47">
        <v>1</v>
      </c>
      <c r="E523" s="48" t="s">
        <v>1482</v>
      </c>
      <c r="F523" s="30" t="str">
        <f t="shared" si="16"/>
        <v>Completed</v>
      </c>
      <c r="G523" s="46" t="s">
        <v>1324</v>
      </c>
      <c r="I523" s="46" t="str">
        <f>IFERROR(VLOOKUP(B523,'Test 1,2'!$E$4:$I$604,5,0),"NOT BILLED")</f>
        <v>Feb</v>
      </c>
      <c r="J523" s="46" t="str">
        <f t="shared" si="17"/>
        <v>PASS</v>
      </c>
    </row>
    <row r="524" spans="2:10" x14ac:dyDescent="0.5">
      <c r="B524" s="46" t="s">
        <v>1012</v>
      </c>
      <c r="C524" s="46" t="s">
        <v>175</v>
      </c>
      <c r="D524" s="47">
        <v>1</v>
      </c>
      <c r="E524" s="48" t="s">
        <v>1481</v>
      </c>
      <c r="F524" s="30" t="str">
        <f t="shared" si="16"/>
        <v>Completed</v>
      </c>
      <c r="G524" s="46" t="s">
        <v>1324</v>
      </c>
      <c r="I524" s="46" t="str">
        <f>IFERROR(VLOOKUP(B524,'Test 1,2'!$E$4:$I$604,5,0),"NOT BILLED")</f>
        <v>Sep</v>
      </c>
      <c r="J524" s="46" t="str">
        <f t="shared" si="17"/>
        <v>PASS</v>
      </c>
    </row>
    <row r="525" spans="2:10" x14ac:dyDescent="0.5">
      <c r="B525" s="46" t="s">
        <v>640</v>
      </c>
      <c r="C525" s="46" t="s">
        <v>77</v>
      </c>
      <c r="D525" s="47">
        <v>1</v>
      </c>
      <c r="E525" s="48" t="s">
        <v>1481</v>
      </c>
      <c r="F525" s="30" t="str">
        <f t="shared" si="16"/>
        <v>Completed</v>
      </c>
      <c r="G525" s="46" t="s">
        <v>1324</v>
      </c>
      <c r="I525" s="46" t="str">
        <f>IFERROR(VLOOKUP(B525,'Test 1,2'!$E$4:$I$604,5,0),"NOT BILLED")</f>
        <v>Apr</v>
      </c>
      <c r="J525" s="46" t="str">
        <f t="shared" si="17"/>
        <v>PASS</v>
      </c>
    </row>
    <row r="526" spans="2:10" x14ac:dyDescent="0.5">
      <c r="B526" s="46" t="s">
        <v>481</v>
      </c>
      <c r="C526" s="46" t="s">
        <v>156</v>
      </c>
      <c r="D526" s="47">
        <v>1</v>
      </c>
      <c r="E526" s="48" t="s">
        <v>1482</v>
      </c>
      <c r="F526" s="30" t="str">
        <f t="shared" si="16"/>
        <v>Completed</v>
      </c>
      <c r="G526" s="46" t="s">
        <v>1324</v>
      </c>
      <c r="I526" s="46" t="str">
        <f>IFERROR(VLOOKUP(B526,'Test 1,2'!$E$4:$I$604,5,0),"NOT BILLED")</f>
        <v>Dec</v>
      </c>
      <c r="J526" s="46" t="str">
        <f t="shared" si="17"/>
        <v>PASS</v>
      </c>
    </row>
    <row r="527" spans="2:10" x14ac:dyDescent="0.5">
      <c r="B527" s="46" t="s">
        <v>1184</v>
      </c>
      <c r="C527" s="46" t="s">
        <v>114</v>
      </c>
      <c r="D527" s="47">
        <v>1</v>
      </c>
      <c r="E527" s="48" t="s">
        <v>1482</v>
      </c>
      <c r="F527" s="30" t="str">
        <f t="shared" si="16"/>
        <v>Completed</v>
      </c>
      <c r="G527" s="46" t="s">
        <v>1324</v>
      </c>
      <c r="I527" s="46" t="str">
        <f>IFERROR(VLOOKUP(B527,'Test 1,2'!$E$4:$I$604,5,0),"NOT BILLED")</f>
        <v>Jan</v>
      </c>
      <c r="J527" s="46" t="str">
        <f t="shared" si="17"/>
        <v>PASS</v>
      </c>
    </row>
    <row r="528" spans="2:10" x14ac:dyDescent="0.5">
      <c r="B528" s="46" t="s">
        <v>1116</v>
      </c>
      <c r="C528" s="46" t="s">
        <v>114</v>
      </c>
      <c r="D528" s="47">
        <v>1</v>
      </c>
      <c r="E528" s="48" t="s">
        <v>1482</v>
      </c>
      <c r="F528" s="30" t="str">
        <f t="shared" si="16"/>
        <v>Completed</v>
      </c>
      <c r="G528" s="46" t="s">
        <v>1324</v>
      </c>
      <c r="I528" s="46" t="str">
        <f>IFERROR(VLOOKUP(B528,'Test 1,2'!$E$4:$I$604,5,0),"NOT BILLED")</f>
        <v>Dec</v>
      </c>
      <c r="J528" s="46" t="str">
        <f t="shared" si="17"/>
        <v>PASS</v>
      </c>
    </row>
    <row r="529" spans="2:10" x14ac:dyDescent="0.5">
      <c r="B529" s="46" t="s">
        <v>460</v>
      </c>
      <c r="C529" s="46" t="s">
        <v>131</v>
      </c>
      <c r="D529" s="47">
        <v>1</v>
      </c>
      <c r="E529" s="48" t="s">
        <v>1482</v>
      </c>
      <c r="F529" s="30" t="str">
        <f t="shared" si="16"/>
        <v>Completed</v>
      </c>
      <c r="G529" s="46" t="s">
        <v>1324</v>
      </c>
      <c r="I529" s="46" t="str">
        <f>IFERROR(VLOOKUP(B529,'Test 1,2'!$E$4:$I$604,5,0),"NOT BILLED")</f>
        <v>Nov</v>
      </c>
      <c r="J529" s="46" t="str">
        <f t="shared" si="17"/>
        <v>PASS</v>
      </c>
    </row>
    <row r="530" spans="2:10" x14ac:dyDescent="0.5">
      <c r="B530" s="46" t="s">
        <v>1104</v>
      </c>
      <c r="C530" s="46" t="s">
        <v>81</v>
      </c>
      <c r="D530" s="47">
        <v>1</v>
      </c>
      <c r="E530" s="48" t="s">
        <v>1481</v>
      </c>
      <c r="F530" s="30" t="str">
        <f t="shared" si="16"/>
        <v>Completed</v>
      </c>
      <c r="G530" s="46" t="s">
        <v>1324</v>
      </c>
      <c r="I530" s="46" t="str">
        <f>IFERROR(VLOOKUP(B530,'Test 1,2'!$E$4:$I$604,5,0),"NOT BILLED")</f>
        <v>Dec</v>
      </c>
      <c r="J530" s="46" t="str">
        <f t="shared" si="17"/>
        <v>PASS</v>
      </c>
    </row>
    <row r="531" spans="2:10" x14ac:dyDescent="0.5">
      <c r="B531" s="46" t="s">
        <v>1248</v>
      </c>
      <c r="C531" s="46" t="s">
        <v>92</v>
      </c>
      <c r="D531" s="47">
        <v>1</v>
      </c>
      <c r="E531" s="48" t="s">
        <v>1482</v>
      </c>
      <c r="F531" s="30" t="str">
        <f t="shared" si="16"/>
        <v>Completed</v>
      </c>
      <c r="G531" s="46" t="s">
        <v>1324</v>
      </c>
      <c r="I531" s="46" t="str">
        <f>IFERROR(VLOOKUP(B531,'Test 1,2'!$E$4:$I$604,5,0),"NOT BILLED")</f>
        <v>Feb</v>
      </c>
      <c r="J531" s="46" t="str">
        <f t="shared" si="17"/>
        <v>PASS</v>
      </c>
    </row>
    <row r="532" spans="2:10" x14ac:dyDescent="0.5">
      <c r="B532" s="46" t="s">
        <v>833</v>
      </c>
      <c r="C532" s="46" t="s">
        <v>45</v>
      </c>
      <c r="D532" s="47">
        <v>1</v>
      </c>
      <c r="E532" s="48" t="s">
        <v>1482</v>
      </c>
      <c r="F532" s="30" t="str">
        <f t="shared" si="16"/>
        <v>Completed</v>
      </c>
      <c r="G532" s="46" t="s">
        <v>1324</v>
      </c>
      <c r="I532" s="46" t="str">
        <f>IFERROR(VLOOKUP(B532,'Test 1,2'!$E$4:$I$604,5,0),"NOT BILLED")</f>
        <v>Jul</v>
      </c>
      <c r="J532" s="46" t="str">
        <f t="shared" si="17"/>
        <v>PASS</v>
      </c>
    </row>
    <row r="533" spans="2:10" x14ac:dyDescent="0.5">
      <c r="B533" s="46" t="s">
        <v>100</v>
      </c>
      <c r="C533" s="46" t="s">
        <v>54</v>
      </c>
      <c r="D533" s="47">
        <v>1</v>
      </c>
      <c r="E533" s="48" t="s">
        <v>1481</v>
      </c>
      <c r="F533" s="30" t="str">
        <f t="shared" si="16"/>
        <v>Completed</v>
      </c>
      <c r="G533" s="46" t="s">
        <v>1324</v>
      </c>
      <c r="I533" s="46" t="str">
        <f>IFERROR(VLOOKUP(B533,'Test 1,2'!$E$4:$I$604,5,0),"NOT BILLED")</f>
        <v>May</v>
      </c>
      <c r="J533" s="46" t="str">
        <f t="shared" si="17"/>
        <v>PASS</v>
      </c>
    </row>
    <row r="534" spans="2:10" x14ac:dyDescent="0.5">
      <c r="B534" s="46" t="s">
        <v>177</v>
      </c>
      <c r="C534" s="46" t="s">
        <v>60</v>
      </c>
      <c r="D534" s="47">
        <v>1</v>
      </c>
      <c r="E534" s="48" t="s">
        <v>1481</v>
      </c>
      <c r="F534" s="30" t="str">
        <f t="shared" si="16"/>
        <v>Completed</v>
      </c>
      <c r="G534" s="46" t="s">
        <v>1324</v>
      </c>
      <c r="I534" s="46" t="str">
        <f>IFERROR(VLOOKUP(B534,'Test 1,2'!$E$4:$I$604,5,0),"NOT BILLED")</f>
        <v>Jun</v>
      </c>
      <c r="J534" s="46" t="str">
        <f t="shared" si="17"/>
        <v>PASS</v>
      </c>
    </row>
    <row r="535" spans="2:10" x14ac:dyDescent="0.5">
      <c r="B535" s="46" t="s">
        <v>969</v>
      </c>
      <c r="C535" s="46" t="s">
        <v>203</v>
      </c>
      <c r="D535" s="47">
        <v>1</v>
      </c>
      <c r="E535" s="48" t="s">
        <v>1482</v>
      </c>
      <c r="F535" s="30" t="str">
        <f t="shared" si="16"/>
        <v>Completed</v>
      </c>
      <c r="G535" s="46" t="s">
        <v>1324</v>
      </c>
      <c r="I535" s="46" t="str">
        <f>IFERROR(VLOOKUP(B535,'Test 1,2'!$E$4:$I$604,5,0),"NOT BILLED")</f>
        <v>Sep</v>
      </c>
      <c r="J535" s="46" t="str">
        <f t="shared" si="17"/>
        <v>PASS</v>
      </c>
    </row>
    <row r="536" spans="2:10" x14ac:dyDescent="0.5">
      <c r="B536" s="46" t="s">
        <v>817</v>
      </c>
      <c r="C536" s="46" t="s">
        <v>128</v>
      </c>
      <c r="D536" s="47">
        <v>1</v>
      </c>
      <c r="E536" s="48" t="s">
        <v>1482</v>
      </c>
      <c r="F536" s="30" t="str">
        <f t="shared" si="16"/>
        <v>Completed</v>
      </c>
      <c r="G536" s="46" t="s">
        <v>1324</v>
      </c>
      <c r="I536" s="46" t="str">
        <f>IFERROR(VLOOKUP(B536,'Test 1,2'!$E$4:$I$604,5,0),"NOT BILLED")</f>
        <v>Jul</v>
      </c>
      <c r="J536" s="46" t="str">
        <f t="shared" si="17"/>
        <v>PASS</v>
      </c>
    </row>
    <row r="537" spans="2:10" x14ac:dyDescent="0.5">
      <c r="B537" s="46" t="s">
        <v>1069</v>
      </c>
      <c r="C537" s="46" t="s">
        <v>84</v>
      </c>
      <c r="D537" s="47">
        <v>1</v>
      </c>
      <c r="E537" s="48" t="s">
        <v>1481</v>
      </c>
      <c r="F537" s="30" t="str">
        <f t="shared" si="16"/>
        <v>Completed</v>
      </c>
      <c r="G537" s="46" t="s">
        <v>1324</v>
      </c>
      <c r="I537" s="46" t="str">
        <f>IFERROR(VLOOKUP(B537,'Test 1,2'!$E$4:$I$604,5,0),"NOT BILLED")</f>
        <v>Oct</v>
      </c>
      <c r="J537" s="46" t="str">
        <f t="shared" si="17"/>
        <v>PASS</v>
      </c>
    </row>
    <row r="538" spans="2:10" x14ac:dyDescent="0.5">
      <c r="B538" s="46" t="s">
        <v>937</v>
      </c>
      <c r="C538" s="46" t="s">
        <v>119</v>
      </c>
      <c r="D538" s="47">
        <v>1</v>
      </c>
      <c r="E538" s="48" t="s">
        <v>1482</v>
      </c>
      <c r="F538" s="30" t="str">
        <f t="shared" si="16"/>
        <v>Completed</v>
      </c>
      <c r="G538" s="46" t="s">
        <v>1324</v>
      </c>
      <c r="I538" s="46" t="str">
        <f>IFERROR(VLOOKUP(B538,'Test 1,2'!$E$4:$I$604,5,0),"NOT BILLED")</f>
        <v>Aug</v>
      </c>
      <c r="J538" s="46" t="str">
        <f t="shared" si="17"/>
        <v>PASS</v>
      </c>
    </row>
    <row r="539" spans="2:10" x14ac:dyDescent="0.5">
      <c r="B539" s="46" t="s">
        <v>1088</v>
      </c>
      <c r="C539" s="46" t="s">
        <v>15</v>
      </c>
      <c r="D539" s="47">
        <v>1</v>
      </c>
      <c r="E539" s="48" t="s">
        <v>1482</v>
      </c>
      <c r="F539" s="30" t="str">
        <f t="shared" si="16"/>
        <v>Completed</v>
      </c>
      <c r="G539" s="46" t="s">
        <v>1324</v>
      </c>
      <c r="I539" s="46" t="str">
        <f>IFERROR(VLOOKUP(B539,'Test 1,2'!$E$4:$I$604,5,0),"NOT BILLED")</f>
        <v>Dec</v>
      </c>
      <c r="J539" s="46" t="str">
        <f t="shared" si="17"/>
        <v>PASS</v>
      </c>
    </row>
    <row r="540" spans="2:10" x14ac:dyDescent="0.5">
      <c r="B540" s="46" t="s">
        <v>251</v>
      </c>
      <c r="C540" s="46" t="s">
        <v>143</v>
      </c>
      <c r="D540" s="47">
        <v>1</v>
      </c>
      <c r="E540" s="48" t="s">
        <v>1482</v>
      </c>
      <c r="F540" s="30" t="str">
        <f t="shared" si="16"/>
        <v>Completed</v>
      </c>
      <c r="G540" s="46" t="s">
        <v>1324</v>
      </c>
      <c r="I540" s="46" t="str">
        <f>IFERROR(VLOOKUP(B540,'Test 1,2'!$E$4:$I$604,5,0),"NOT BILLED")</f>
        <v>Jul</v>
      </c>
      <c r="J540" s="46" t="str">
        <f t="shared" si="17"/>
        <v>PASS</v>
      </c>
    </row>
    <row r="541" spans="2:10" x14ac:dyDescent="0.5">
      <c r="B541" s="46" t="s">
        <v>342</v>
      </c>
      <c r="C541" s="46" t="s">
        <v>54</v>
      </c>
      <c r="D541" s="47">
        <v>1</v>
      </c>
      <c r="E541" s="48" t="s">
        <v>1482</v>
      </c>
      <c r="F541" s="30" t="str">
        <f t="shared" si="16"/>
        <v>Completed</v>
      </c>
      <c r="G541" s="46" t="s">
        <v>1324</v>
      </c>
      <c r="I541" s="46" t="str">
        <f>IFERROR(VLOOKUP(B541,'Test 1,2'!$E$4:$I$604,5,0),"NOT BILLED")</f>
        <v>Sep</v>
      </c>
      <c r="J541" s="46" t="str">
        <f t="shared" si="17"/>
        <v>PASS</v>
      </c>
    </row>
    <row r="542" spans="2:10" x14ac:dyDescent="0.5">
      <c r="B542" s="46" t="s">
        <v>1258</v>
      </c>
      <c r="C542" s="46" t="s">
        <v>35</v>
      </c>
      <c r="D542" s="47">
        <v>1</v>
      </c>
      <c r="E542" s="48" t="s">
        <v>1482</v>
      </c>
      <c r="F542" s="30" t="str">
        <f t="shared" si="16"/>
        <v>Completed</v>
      </c>
      <c r="G542" s="46" t="s">
        <v>1324</v>
      </c>
      <c r="I542" s="46" t="str">
        <f>IFERROR(VLOOKUP(B542,'Test 1,2'!$E$4:$I$604,5,0),"NOT BILLED")</f>
        <v>Feb</v>
      </c>
      <c r="J542" s="46" t="str">
        <f t="shared" si="17"/>
        <v>PASS</v>
      </c>
    </row>
    <row r="543" spans="2:10" x14ac:dyDescent="0.5">
      <c r="B543" s="46" t="s">
        <v>710</v>
      </c>
      <c r="C543" s="46" t="s">
        <v>175</v>
      </c>
      <c r="D543" s="47">
        <v>1</v>
      </c>
      <c r="E543" s="48" t="s">
        <v>1481</v>
      </c>
      <c r="F543" s="30" t="str">
        <f t="shared" si="16"/>
        <v>Completed</v>
      </c>
      <c r="G543" s="46" t="s">
        <v>1324</v>
      </c>
      <c r="I543" s="46" t="str">
        <f>IFERROR(VLOOKUP(B543,'Test 1,2'!$E$4:$I$604,5,0),"NOT BILLED")</f>
        <v>May</v>
      </c>
      <c r="J543" s="46" t="str">
        <f t="shared" si="17"/>
        <v>PASS</v>
      </c>
    </row>
    <row r="544" spans="2:10" x14ac:dyDescent="0.5">
      <c r="B544" s="46" t="s">
        <v>698</v>
      </c>
      <c r="C544" s="46" t="s">
        <v>81</v>
      </c>
      <c r="D544" s="47">
        <v>1</v>
      </c>
      <c r="E544" s="48" t="s">
        <v>1481</v>
      </c>
      <c r="F544" s="30" t="str">
        <f t="shared" si="16"/>
        <v>Completed</v>
      </c>
      <c r="G544" s="46" t="s">
        <v>1324</v>
      </c>
      <c r="I544" s="46" t="str">
        <f>IFERROR(VLOOKUP(B544,'Test 1,2'!$E$4:$I$604,5,0),"NOT BILLED")</f>
        <v>May</v>
      </c>
      <c r="J544" s="46" t="str">
        <f t="shared" si="17"/>
        <v>PASS</v>
      </c>
    </row>
    <row r="545" spans="2:10" x14ac:dyDescent="0.5">
      <c r="B545" s="46" t="s">
        <v>787</v>
      </c>
      <c r="C545" s="46" t="s">
        <v>153</v>
      </c>
      <c r="D545" s="47">
        <v>1</v>
      </c>
      <c r="E545" s="48" t="s">
        <v>1482</v>
      </c>
      <c r="F545" s="30" t="str">
        <f t="shared" si="16"/>
        <v>Completed</v>
      </c>
      <c r="G545" s="46" t="s">
        <v>1324</v>
      </c>
      <c r="I545" s="46" t="str">
        <f>IFERROR(VLOOKUP(B545,'Test 1,2'!$E$4:$I$604,5,0),"NOT BILLED")</f>
        <v>Jun</v>
      </c>
      <c r="J545" s="46" t="str">
        <f t="shared" si="17"/>
        <v>PASS</v>
      </c>
    </row>
    <row r="546" spans="2:10" x14ac:dyDescent="0.5">
      <c r="B546" s="46" t="s">
        <v>839</v>
      </c>
      <c r="C546" s="46" t="s">
        <v>103</v>
      </c>
      <c r="D546" s="47">
        <v>1</v>
      </c>
      <c r="E546" s="48" t="s">
        <v>1481</v>
      </c>
      <c r="F546" s="30" t="str">
        <f t="shared" si="16"/>
        <v>Completed</v>
      </c>
      <c r="G546" s="46" t="s">
        <v>1324</v>
      </c>
      <c r="I546" s="46" t="str">
        <f>IFERROR(VLOOKUP(B546,'Test 1,2'!$E$4:$I$604,5,0),"NOT BILLED")</f>
        <v>Jul</v>
      </c>
      <c r="J546" s="46" t="str">
        <f t="shared" si="17"/>
        <v>PASS</v>
      </c>
    </row>
    <row r="547" spans="2:10" x14ac:dyDescent="0.5">
      <c r="B547" s="46" t="s">
        <v>407</v>
      </c>
      <c r="C547" s="46" t="s">
        <v>293</v>
      </c>
      <c r="D547" s="47">
        <v>1</v>
      </c>
      <c r="E547" s="48" t="s">
        <v>1481</v>
      </c>
      <c r="F547" s="30" t="str">
        <f t="shared" si="16"/>
        <v>Completed</v>
      </c>
      <c r="G547" s="46" t="s">
        <v>1324</v>
      </c>
      <c r="I547" s="46" t="str">
        <f>IFERROR(VLOOKUP(B547,'Test 1,2'!$E$4:$I$604,5,0),"NOT BILLED")</f>
        <v>Oct</v>
      </c>
      <c r="J547" s="46" t="str">
        <f t="shared" si="17"/>
        <v>PASS</v>
      </c>
    </row>
    <row r="548" spans="2:10" x14ac:dyDescent="0.5">
      <c r="B548" s="46" t="s">
        <v>622</v>
      </c>
      <c r="C548" s="46" t="s">
        <v>290</v>
      </c>
      <c r="D548" s="47">
        <v>1</v>
      </c>
      <c r="E548" s="48" t="s">
        <v>1482</v>
      </c>
      <c r="F548" s="30" t="str">
        <f t="shared" si="16"/>
        <v>Completed</v>
      </c>
      <c r="G548" s="46" t="s">
        <v>1324</v>
      </c>
      <c r="I548" s="46" t="str">
        <f>IFERROR(VLOOKUP(B548,'Test 1,2'!$E$4:$I$604,5,0),"NOT BILLED")</f>
        <v>Apr</v>
      </c>
      <c r="J548" s="46" t="str">
        <f t="shared" si="17"/>
        <v>PASS</v>
      </c>
    </row>
    <row r="549" spans="2:10" x14ac:dyDescent="0.5">
      <c r="B549" s="46" t="s">
        <v>327</v>
      </c>
      <c r="C549" s="46" t="s">
        <v>64</v>
      </c>
      <c r="D549" s="47">
        <v>1</v>
      </c>
      <c r="E549" s="48" t="s">
        <v>1482</v>
      </c>
      <c r="F549" s="30" t="str">
        <f t="shared" si="16"/>
        <v>Completed</v>
      </c>
      <c r="G549" s="46" t="s">
        <v>1324</v>
      </c>
      <c r="I549" s="46" t="str">
        <f>IFERROR(VLOOKUP(B549,'Test 1,2'!$E$4:$I$604,5,0),"NOT BILLED")</f>
        <v>Sep</v>
      </c>
      <c r="J549" s="46" t="str">
        <f t="shared" si="17"/>
        <v>PASS</v>
      </c>
    </row>
    <row r="550" spans="2:10" x14ac:dyDescent="0.5">
      <c r="B550" s="46" t="s">
        <v>990</v>
      </c>
      <c r="C550" s="46" t="s">
        <v>15</v>
      </c>
      <c r="D550" s="47">
        <v>1</v>
      </c>
      <c r="E550" s="48" t="s">
        <v>1481</v>
      </c>
      <c r="F550" s="30" t="str">
        <f t="shared" si="16"/>
        <v>Completed</v>
      </c>
      <c r="G550" s="46" t="s">
        <v>1324</v>
      </c>
      <c r="I550" s="46" t="str">
        <f>IFERROR(VLOOKUP(B550,'Test 1,2'!$E$4:$I$604,5,0),"NOT BILLED")</f>
        <v>Oct</v>
      </c>
      <c r="J550" s="46" t="str">
        <f t="shared" si="17"/>
        <v>PASS</v>
      </c>
    </row>
    <row r="551" spans="2:10" x14ac:dyDescent="0.5">
      <c r="B551" s="46" t="s">
        <v>506</v>
      </c>
      <c r="C551" s="46" t="s">
        <v>153</v>
      </c>
      <c r="D551" s="47">
        <v>1</v>
      </c>
      <c r="E551" s="48" t="s">
        <v>1481</v>
      </c>
      <c r="F551" s="30" t="str">
        <f t="shared" si="16"/>
        <v>Completed</v>
      </c>
      <c r="G551" s="46" t="s">
        <v>1324</v>
      </c>
      <c r="I551" s="46" t="str">
        <f>IFERROR(VLOOKUP(B551,'Test 1,2'!$E$4:$I$604,5,0),"NOT BILLED")</f>
        <v>Jan</v>
      </c>
      <c r="J551" s="46" t="str">
        <f t="shared" si="17"/>
        <v>PASS</v>
      </c>
    </row>
    <row r="552" spans="2:10" x14ac:dyDescent="0.5">
      <c r="B552" s="46" t="s">
        <v>1036</v>
      </c>
      <c r="C552" s="46" t="s">
        <v>229</v>
      </c>
      <c r="D552" s="47">
        <v>1</v>
      </c>
      <c r="E552" s="48" t="s">
        <v>1481</v>
      </c>
      <c r="F552" s="30" t="str">
        <f t="shared" si="16"/>
        <v>Completed</v>
      </c>
      <c r="G552" s="46" t="s">
        <v>1324</v>
      </c>
      <c r="I552" s="46" t="str">
        <f>IFERROR(VLOOKUP(B552,'Test 1,2'!$E$4:$I$604,5,0),"NOT BILLED")</f>
        <v>Nov</v>
      </c>
      <c r="J552" s="46" t="str">
        <f t="shared" si="17"/>
        <v>PASS</v>
      </c>
    </row>
    <row r="553" spans="2:10" x14ac:dyDescent="0.5">
      <c r="B553" s="46" t="s">
        <v>547</v>
      </c>
      <c r="C553" s="46" t="s">
        <v>81</v>
      </c>
      <c r="D553" s="47">
        <v>1</v>
      </c>
      <c r="E553" s="48" t="s">
        <v>1482</v>
      </c>
      <c r="F553" s="30" t="str">
        <f t="shared" si="16"/>
        <v>Completed</v>
      </c>
      <c r="G553" s="46" t="s">
        <v>1324</v>
      </c>
      <c r="I553" s="46" t="str">
        <f>IFERROR(VLOOKUP(B553,'Test 1,2'!$E$4:$I$604,5,0),"NOT BILLED")</f>
        <v>Feb</v>
      </c>
      <c r="J553" s="46" t="str">
        <f t="shared" si="17"/>
        <v>PASS</v>
      </c>
    </row>
    <row r="554" spans="2:10" x14ac:dyDescent="0.5">
      <c r="B554" s="46" t="s">
        <v>371</v>
      </c>
      <c r="C554" s="46" t="s">
        <v>184</v>
      </c>
      <c r="D554" s="47">
        <v>1</v>
      </c>
      <c r="E554" s="48" t="s">
        <v>1481</v>
      </c>
      <c r="F554" s="30" t="str">
        <f t="shared" si="16"/>
        <v>Completed</v>
      </c>
      <c r="G554" s="46" t="s">
        <v>1324</v>
      </c>
      <c r="I554" s="46" t="str">
        <f>IFERROR(VLOOKUP(B554,'Test 1,2'!$E$4:$I$604,5,0),"NOT BILLED")</f>
        <v>Sep</v>
      </c>
      <c r="J554" s="46" t="str">
        <f t="shared" si="17"/>
        <v>PASS</v>
      </c>
    </row>
    <row r="555" spans="2:10" x14ac:dyDescent="0.5">
      <c r="B555" s="46" t="s">
        <v>1160</v>
      </c>
      <c r="C555" s="46" t="s">
        <v>103</v>
      </c>
      <c r="D555" s="47">
        <v>1</v>
      </c>
      <c r="E555" s="48" t="s">
        <v>1481</v>
      </c>
      <c r="F555" s="30" t="str">
        <f t="shared" si="16"/>
        <v>Completed</v>
      </c>
      <c r="G555" s="46" t="s">
        <v>1324</v>
      </c>
      <c r="I555" s="46" t="str">
        <f>IFERROR(VLOOKUP(B555,'Test 1,2'!$E$4:$I$604,5,0),"NOT BILLED")</f>
        <v>Jan</v>
      </c>
      <c r="J555" s="46" t="str">
        <f t="shared" si="17"/>
        <v>PASS</v>
      </c>
    </row>
    <row r="556" spans="2:10" x14ac:dyDescent="0.5">
      <c r="B556" s="46" t="s">
        <v>56</v>
      </c>
      <c r="C556" s="46" t="s">
        <v>57</v>
      </c>
      <c r="D556" s="47">
        <v>1</v>
      </c>
      <c r="E556" s="48" t="s">
        <v>1481</v>
      </c>
      <c r="F556" s="30" t="str">
        <f t="shared" si="16"/>
        <v>Completed</v>
      </c>
      <c r="G556" s="46" t="s">
        <v>1324</v>
      </c>
      <c r="I556" s="46" t="str">
        <f>IFERROR(VLOOKUP(B556,'Test 1,2'!$E$4:$I$604,5,0),"NOT BILLED")</f>
        <v>Apr</v>
      </c>
      <c r="J556" s="46" t="str">
        <f t="shared" si="17"/>
        <v>PASS</v>
      </c>
    </row>
    <row r="557" spans="2:10" x14ac:dyDescent="0.5">
      <c r="B557" s="46" t="s">
        <v>708</v>
      </c>
      <c r="C557" s="46" t="s">
        <v>84</v>
      </c>
      <c r="D557" s="47">
        <v>1</v>
      </c>
      <c r="E557" s="48" t="s">
        <v>1482</v>
      </c>
      <c r="F557" s="30" t="str">
        <f t="shared" si="16"/>
        <v>Completed</v>
      </c>
      <c r="G557" s="46" t="s">
        <v>1324</v>
      </c>
      <c r="I557" s="46" t="str">
        <f>IFERROR(VLOOKUP(B557,'Test 1,2'!$E$4:$I$604,5,0),"NOT BILLED")</f>
        <v>May</v>
      </c>
      <c r="J557" s="46" t="str">
        <f t="shared" si="17"/>
        <v>PASS</v>
      </c>
    </row>
    <row r="558" spans="2:10" x14ac:dyDescent="0.5">
      <c r="B558" s="46" t="s">
        <v>226</v>
      </c>
      <c r="C558" s="46" t="s">
        <v>195</v>
      </c>
      <c r="D558" s="47">
        <v>1</v>
      </c>
      <c r="E558" s="48" t="s">
        <v>1481</v>
      </c>
      <c r="F558" s="30" t="str">
        <f t="shared" si="16"/>
        <v>Completed</v>
      </c>
      <c r="G558" s="46" t="s">
        <v>1324</v>
      </c>
      <c r="I558" s="46" t="str">
        <f>IFERROR(VLOOKUP(B558,'Test 1,2'!$E$4:$I$604,5,0),"NOT BILLED")</f>
        <v>Jul</v>
      </c>
      <c r="J558" s="46" t="str">
        <f t="shared" si="17"/>
        <v>PASS</v>
      </c>
    </row>
    <row r="559" spans="2:10" x14ac:dyDescent="0.5">
      <c r="B559" s="46" t="s">
        <v>479</v>
      </c>
      <c r="C559" s="46" t="s">
        <v>114</v>
      </c>
      <c r="D559" s="47">
        <v>1</v>
      </c>
      <c r="E559" s="48" t="s">
        <v>1482</v>
      </c>
      <c r="F559" s="30" t="str">
        <f t="shared" si="16"/>
        <v>Completed</v>
      </c>
      <c r="G559" s="46" t="s">
        <v>1325</v>
      </c>
      <c r="I559" s="46" t="str">
        <f>IFERROR(VLOOKUP(B559,'Test 1,2'!$E$4:$I$604,5,0),"NOT BILLED")</f>
        <v>Dec</v>
      </c>
      <c r="J559" s="46" t="str">
        <f t="shared" si="17"/>
        <v>PASS</v>
      </c>
    </row>
    <row r="560" spans="2:10" x14ac:dyDescent="0.5">
      <c r="B560" s="46" t="s">
        <v>274</v>
      </c>
      <c r="C560" s="46" t="s">
        <v>81</v>
      </c>
      <c r="D560" s="47">
        <v>1</v>
      </c>
      <c r="E560" s="48" t="s">
        <v>1482</v>
      </c>
      <c r="F560" s="30" t="str">
        <f t="shared" si="16"/>
        <v>Completed</v>
      </c>
      <c r="G560" s="46" t="s">
        <v>1324</v>
      </c>
      <c r="I560" s="46" t="str">
        <f>IFERROR(VLOOKUP(B560,'Test 1,2'!$E$4:$I$604,5,0),"NOT BILLED")</f>
        <v>Jul</v>
      </c>
      <c r="J560" s="46" t="str">
        <f t="shared" si="17"/>
        <v>PASS</v>
      </c>
    </row>
    <row r="561" spans="2:10" x14ac:dyDescent="0.5">
      <c r="B561" s="46" t="s">
        <v>690</v>
      </c>
      <c r="C561" s="46" t="s">
        <v>92</v>
      </c>
      <c r="D561" s="47">
        <v>1</v>
      </c>
      <c r="E561" s="48" t="s">
        <v>1481</v>
      </c>
      <c r="F561" s="30" t="str">
        <f t="shared" si="16"/>
        <v>Completed</v>
      </c>
      <c r="G561" s="46" t="s">
        <v>1324</v>
      </c>
      <c r="I561" s="46" t="str">
        <f>IFERROR(VLOOKUP(B561,'Test 1,2'!$E$4:$I$604,5,0),"NOT BILLED")</f>
        <v>May</v>
      </c>
      <c r="J561" s="46" t="str">
        <f t="shared" si="17"/>
        <v>PASS</v>
      </c>
    </row>
    <row r="562" spans="2:10" x14ac:dyDescent="0.5">
      <c r="B562" s="46" t="s">
        <v>979</v>
      </c>
      <c r="C562" s="46" t="s">
        <v>187</v>
      </c>
      <c r="D562" s="47">
        <v>1</v>
      </c>
      <c r="E562" s="48" t="s">
        <v>1482</v>
      </c>
      <c r="F562" s="30" t="str">
        <f t="shared" si="16"/>
        <v>Completed</v>
      </c>
      <c r="G562" s="46" t="s">
        <v>1324</v>
      </c>
      <c r="I562" s="46" t="str">
        <f>IFERROR(VLOOKUP(B562,'Test 1,2'!$E$4:$I$604,5,0),"NOT BILLED")</f>
        <v>Sep</v>
      </c>
      <c r="J562" s="46" t="str">
        <f t="shared" si="17"/>
        <v>PASS</v>
      </c>
    </row>
    <row r="563" spans="2:10" x14ac:dyDescent="0.5">
      <c r="B563" s="46" t="s">
        <v>118</v>
      </c>
      <c r="C563" s="46" t="s">
        <v>119</v>
      </c>
      <c r="D563" s="47">
        <v>1</v>
      </c>
      <c r="E563" s="48" t="s">
        <v>1481</v>
      </c>
      <c r="F563" s="30" t="str">
        <f t="shared" si="16"/>
        <v>Completed</v>
      </c>
      <c r="G563" s="46" t="s">
        <v>1324</v>
      </c>
      <c r="I563" s="46" t="str">
        <f>IFERROR(VLOOKUP(B563,'Test 1,2'!$E$4:$I$604,5,0),"NOT BILLED")</f>
        <v>May</v>
      </c>
      <c r="J563" s="46" t="str">
        <f t="shared" si="17"/>
        <v>PASS</v>
      </c>
    </row>
    <row r="564" spans="2:10" x14ac:dyDescent="0.5">
      <c r="B564" s="46" t="s">
        <v>183</v>
      </c>
      <c r="C564" s="46" t="s">
        <v>184</v>
      </c>
      <c r="D564" s="47">
        <v>1</v>
      </c>
      <c r="E564" s="48" t="s">
        <v>1482</v>
      </c>
      <c r="F564" s="30" t="str">
        <f t="shared" si="16"/>
        <v>Completed</v>
      </c>
      <c r="G564" s="46" t="s">
        <v>1324</v>
      </c>
      <c r="I564" s="46" t="str">
        <f>IFERROR(VLOOKUP(B564,'Test 1,2'!$E$4:$I$604,5,0),"NOT BILLED")</f>
        <v>Jun</v>
      </c>
      <c r="J564" s="46" t="str">
        <f t="shared" si="17"/>
        <v>PASS</v>
      </c>
    </row>
    <row r="565" spans="2:10" x14ac:dyDescent="0.5">
      <c r="B565" s="46" t="s">
        <v>1190</v>
      </c>
      <c r="C565" s="46" t="s">
        <v>67</v>
      </c>
      <c r="D565" s="47">
        <v>1</v>
      </c>
      <c r="E565" s="48" t="s">
        <v>1481</v>
      </c>
      <c r="F565" s="30" t="str">
        <f t="shared" si="16"/>
        <v>Completed</v>
      </c>
      <c r="G565" s="46" t="s">
        <v>1324</v>
      </c>
      <c r="I565" s="46" t="str">
        <f>IFERROR(VLOOKUP(B565,'Test 1,2'!$E$4:$I$604,5,0),"NOT BILLED")</f>
        <v>Jan</v>
      </c>
      <c r="J565" s="46" t="str">
        <f t="shared" si="17"/>
        <v>PASS</v>
      </c>
    </row>
    <row r="566" spans="2:10" x14ac:dyDescent="0.5">
      <c r="B566" s="46" t="s">
        <v>829</v>
      </c>
      <c r="C566" s="46" t="s">
        <v>128</v>
      </c>
      <c r="D566" s="47">
        <v>1</v>
      </c>
      <c r="E566" s="48" t="s">
        <v>1482</v>
      </c>
      <c r="F566" s="30" t="str">
        <f t="shared" si="16"/>
        <v>Completed</v>
      </c>
      <c r="G566" s="46" t="s">
        <v>1324</v>
      </c>
      <c r="I566" s="46" t="str">
        <f>IFERROR(VLOOKUP(B566,'Test 1,2'!$E$4:$I$604,5,0),"NOT BILLED")</f>
        <v>Jun</v>
      </c>
      <c r="J566" s="46" t="str">
        <f t="shared" si="17"/>
        <v>PASS</v>
      </c>
    </row>
    <row r="567" spans="2:10" x14ac:dyDescent="0.5">
      <c r="B567" s="46" t="s">
        <v>146</v>
      </c>
      <c r="C567" s="46" t="s">
        <v>54</v>
      </c>
      <c r="D567" s="47">
        <v>1</v>
      </c>
      <c r="E567" s="48" t="s">
        <v>1481</v>
      </c>
      <c r="F567" s="30" t="str">
        <f t="shared" si="16"/>
        <v>Completed</v>
      </c>
      <c r="G567" s="46" t="s">
        <v>1324</v>
      </c>
      <c r="I567" s="46" t="str">
        <f>IFERROR(VLOOKUP(B567,'Test 1,2'!$E$4:$I$604,5,0),"NOT BILLED")</f>
        <v>May</v>
      </c>
      <c r="J567" s="46" t="str">
        <f t="shared" si="17"/>
        <v>PASS</v>
      </c>
    </row>
    <row r="568" spans="2:10" x14ac:dyDescent="0.5">
      <c r="B568" s="46" t="s">
        <v>805</v>
      </c>
      <c r="C568" s="46" t="s">
        <v>577</v>
      </c>
      <c r="D568" s="47">
        <v>1</v>
      </c>
      <c r="E568" s="48" t="s">
        <v>1481</v>
      </c>
      <c r="F568" s="30" t="str">
        <f t="shared" si="16"/>
        <v>Completed</v>
      </c>
      <c r="G568" s="46" t="s">
        <v>1325</v>
      </c>
      <c r="I568" s="46" t="str">
        <f>IFERROR(VLOOKUP(B568,'Test 1,2'!$E$4:$I$604,5,0),"NOT BILLED")</f>
        <v>Jul</v>
      </c>
      <c r="J568" s="46" t="str">
        <f t="shared" si="17"/>
        <v>PASS</v>
      </c>
    </row>
    <row r="569" spans="2:10" x14ac:dyDescent="0.5">
      <c r="B569" s="46" t="s">
        <v>450</v>
      </c>
      <c r="C569" s="46" t="s">
        <v>131</v>
      </c>
      <c r="D569" s="47">
        <v>1</v>
      </c>
      <c r="E569" s="48" t="s">
        <v>1482</v>
      </c>
      <c r="F569" s="30" t="str">
        <f t="shared" si="16"/>
        <v>Completed</v>
      </c>
      <c r="G569" s="46" t="s">
        <v>1324</v>
      </c>
      <c r="I569" s="46" t="str">
        <f>IFERROR(VLOOKUP(B569,'Test 1,2'!$E$4:$I$604,5,0),"NOT BILLED")</f>
        <v>Nov</v>
      </c>
      <c r="J569" s="46" t="str">
        <f t="shared" si="17"/>
        <v>PASS</v>
      </c>
    </row>
    <row r="570" spans="2:10" x14ac:dyDescent="0.5">
      <c r="B570" s="46" t="s">
        <v>601</v>
      </c>
      <c r="C570" s="46" t="s">
        <v>84</v>
      </c>
      <c r="D570" s="47">
        <v>1</v>
      </c>
      <c r="E570" s="48" t="s">
        <v>1482</v>
      </c>
      <c r="F570" s="30" t="str">
        <f t="shared" si="16"/>
        <v>Completed</v>
      </c>
      <c r="G570" s="46" t="s">
        <v>1324</v>
      </c>
      <c r="I570" s="46" t="str">
        <f>IFERROR(VLOOKUP(B570,'Test 1,2'!$E$4:$I$604,5,0),"NOT BILLED")</f>
        <v>Mar</v>
      </c>
      <c r="J570" s="46" t="str">
        <f t="shared" si="17"/>
        <v>PASS</v>
      </c>
    </row>
    <row r="571" spans="2:10" x14ac:dyDescent="0.5">
      <c r="B571" s="46" t="s">
        <v>1186</v>
      </c>
      <c r="C571" s="46" t="s">
        <v>40</v>
      </c>
      <c r="D571" s="47">
        <v>1</v>
      </c>
      <c r="E571" s="48" t="s">
        <v>1482</v>
      </c>
      <c r="F571" s="30" t="str">
        <f t="shared" si="16"/>
        <v>Completed</v>
      </c>
      <c r="G571" s="46" t="s">
        <v>1325</v>
      </c>
      <c r="I571" s="46" t="str">
        <f>IFERROR(VLOOKUP(B571,'Test 1,2'!$E$4:$I$604,5,0),"NOT BILLED")</f>
        <v>Jan</v>
      </c>
      <c r="J571" s="46" t="str">
        <f t="shared" si="17"/>
        <v>PASS</v>
      </c>
    </row>
    <row r="572" spans="2:10" x14ac:dyDescent="0.5">
      <c r="B572" s="46" t="s">
        <v>316</v>
      </c>
      <c r="C572" s="46" t="s">
        <v>81</v>
      </c>
      <c r="D572" s="47">
        <v>1</v>
      </c>
      <c r="E572" s="48" t="s">
        <v>1482</v>
      </c>
      <c r="F572" s="30" t="str">
        <f t="shared" si="16"/>
        <v>Completed</v>
      </c>
      <c r="G572" s="46" t="s">
        <v>1324</v>
      </c>
      <c r="I572" s="46" t="str">
        <f>IFERROR(VLOOKUP(B572,'Test 1,2'!$E$4:$I$604,5,0),"NOT BILLED")</f>
        <v>Aug</v>
      </c>
      <c r="J572" s="46" t="str">
        <f t="shared" si="17"/>
        <v>PASS</v>
      </c>
    </row>
    <row r="573" spans="2:10" x14ac:dyDescent="0.5">
      <c r="B573" s="46" t="s">
        <v>292</v>
      </c>
      <c r="C573" s="46" t="s">
        <v>293</v>
      </c>
      <c r="D573" s="47">
        <v>1</v>
      </c>
      <c r="E573" s="48" t="s">
        <v>1481</v>
      </c>
      <c r="F573" s="30" t="str">
        <f t="shared" si="16"/>
        <v>Completed</v>
      </c>
      <c r="G573" s="46" t="s">
        <v>1324</v>
      </c>
      <c r="I573" s="46" t="str">
        <f>IFERROR(VLOOKUP(B573,'Test 1,2'!$E$4:$I$604,5,0),"NOT BILLED")</f>
        <v>Aug</v>
      </c>
      <c r="J573" s="46" t="str">
        <f t="shared" si="17"/>
        <v>PASS</v>
      </c>
    </row>
    <row r="574" spans="2:10" x14ac:dyDescent="0.5">
      <c r="B574" s="46" t="s">
        <v>419</v>
      </c>
      <c r="C574" s="46" t="s">
        <v>241</v>
      </c>
      <c r="D574" s="47">
        <v>1</v>
      </c>
      <c r="E574" s="48" t="s">
        <v>1482</v>
      </c>
      <c r="F574" s="30" t="str">
        <f t="shared" si="16"/>
        <v>Completed</v>
      </c>
      <c r="G574" s="46" t="s">
        <v>1324</v>
      </c>
      <c r="I574" s="46" t="str">
        <f>IFERROR(VLOOKUP(B574,'Test 1,2'!$E$4:$I$604,5,0),"NOT BILLED")</f>
        <v>Oct</v>
      </c>
      <c r="J574" s="46" t="str">
        <f t="shared" si="17"/>
        <v>PASS</v>
      </c>
    </row>
    <row r="575" spans="2:10" x14ac:dyDescent="0.5">
      <c r="B575" s="46" t="s">
        <v>902</v>
      </c>
      <c r="C575" s="46" t="s">
        <v>103</v>
      </c>
      <c r="D575" s="47">
        <v>1</v>
      </c>
      <c r="E575" s="48" t="s">
        <v>1482</v>
      </c>
      <c r="F575" s="30" t="str">
        <f t="shared" si="16"/>
        <v>Completed</v>
      </c>
      <c r="G575" s="46" t="s">
        <v>1324</v>
      </c>
      <c r="I575" s="46" t="str">
        <f>IFERROR(VLOOKUP(B575,'Test 1,2'!$E$4:$I$604,5,0),"NOT BILLED")</f>
        <v>Aug</v>
      </c>
      <c r="J575" s="46" t="str">
        <f t="shared" si="17"/>
        <v>PASS</v>
      </c>
    </row>
    <row r="576" spans="2:10" x14ac:dyDescent="0.5">
      <c r="B576" s="46" t="s">
        <v>1051</v>
      </c>
      <c r="C576" s="46" t="s">
        <v>64</v>
      </c>
      <c r="D576" s="47">
        <v>1</v>
      </c>
      <c r="E576" s="48" t="s">
        <v>1482</v>
      </c>
      <c r="F576" s="30" t="str">
        <f t="shared" si="16"/>
        <v>Completed</v>
      </c>
      <c r="G576" s="46" t="s">
        <v>1324</v>
      </c>
      <c r="I576" s="46" t="str">
        <f>IFERROR(VLOOKUP(B576,'Test 1,2'!$E$4:$I$604,5,0),"NOT BILLED")</f>
        <v>Nov</v>
      </c>
      <c r="J576" s="46" t="str">
        <f t="shared" si="17"/>
        <v>PASS</v>
      </c>
    </row>
    <row r="577" spans="2:10" x14ac:dyDescent="0.5">
      <c r="B577" s="46" t="s">
        <v>1138</v>
      </c>
      <c r="C577" s="46" t="s">
        <v>54</v>
      </c>
      <c r="D577" s="47">
        <v>1</v>
      </c>
      <c r="E577" s="48" t="s">
        <v>1482</v>
      </c>
      <c r="F577" s="30" t="str">
        <f t="shared" si="16"/>
        <v>Completed</v>
      </c>
      <c r="G577" s="46" t="s">
        <v>1324</v>
      </c>
      <c r="I577" s="46" t="str">
        <f>IFERROR(VLOOKUP(B577,'Test 1,2'!$E$4:$I$604,5,0),"NOT BILLED")</f>
        <v>Dec</v>
      </c>
      <c r="J577" s="46" t="str">
        <f t="shared" si="17"/>
        <v>PASS</v>
      </c>
    </row>
    <row r="578" spans="2:10" x14ac:dyDescent="0.5">
      <c r="B578" s="46" t="s">
        <v>603</v>
      </c>
      <c r="C578" s="46" t="s">
        <v>114</v>
      </c>
      <c r="D578" s="47">
        <v>1</v>
      </c>
      <c r="E578" s="48" t="s">
        <v>1482</v>
      </c>
      <c r="F578" s="30" t="str">
        <f t="shared" si="16"/>
        <v>Completed</v>
      </c>
      <c r="G578" s="46" t="s">
        <v>1324</v>
      </c>
      <c r="I578" s="46" t="str">
        <f>IFERROR(VLOOKUP(B578,'Test 1,2'!$E$4:$I$604,5,0),"NOT BILLED")</f>
        <v>Mar</v>
      </c>
      <c r="J578" s="46" t="str">
        <f t="shared" si="17"/>
        <v>PASS</v>
      </c>
    </row>
    <row r="579" spans="2:10" x14ac:dyDescent="0.5">
      <c r="B579" s="46" t="s">
        <v>614</v>
      </c>
      <c r="C579" s="46" t="s">
        <v>229</v>
      </c>
      <c r="D579" s="47">
        <v>1</v>
      </c>
      <c r="E579" s="48" t="s">
        <v>1481</v>
      </c>
      <c r="F579" s="30" t="str">
        <f t="shared" si="16"/>
        <v>Completed</v>
      </c>
      <c r="G579" s="46" t="s">
        <v>1324</v>
      </c>
      <c r="I579" s="46" t="str">
        <f>IFERROR(VLOOKUP(B579,'Test 1,2'!$E$4:$I$604,5,0),"NOT BILLED")</f>
        <v>Mar</v>
      </c>
      <c r="J579" s="46" t="str">
        <f t="shared" si="17"/>
        <v>PASS</v>
      </c>
    </row>
    <row r="580" spans="2:10" x14ac:dyDescent="0.5">
      <c r="B580" s="46" t="s">
        <v>1016</v>
      </c>
      <c r="C580" s="46" t="s">
        <v>45</v>
      </c>
      <c r="D580" s="47">
        <v>1</v>
      </c>
      <c r="E580" s="48" t="s">
        <v>1482</v>
      </c>
      <c r="F580" s="30" t="str">
        <f t="shared" ref="F580:F603" si="18">IF(D580=100%,"Completed","Contract-In-Progress")</f>
        <v>Completed</v>
      </c>
      <c r="G580" s="46" t="s">
        <v>1324</v>
      </c>
      <c r="I580" s="46" t="str">
        <f>IFERROR(VLOOKUP(B580,'Test 1,2'!$E$4:$I$604,5,0),"NOT BILLED")</f>
        <v>Oct</v>
      </c>
      <c r="J580" s="46" t="str">
        <f t="shared" ref="J580:J626" si="19">IF(I580&lt;&gt;"NOT BILLED",IF(D580=100%,"PASS","FLAG"),IF(D580&lt;100%,"PASS","FLAG"))</f>
        <v>PASS</v>
      </c>
    </row>
    <row r="581" spans="2:10" x14ac:dyDescent="0.5">
      <c r="B581" s="46" t="s">
        <v>1240</v>
      </c>
      <c r="C581" s="46" t="s">
        <v>608</v>
      </c>
      <c r="D581" s="47">
        <v>1</v>
      </c>
      <c r="E581" s="48" t="s">
        <v>1481</v>
      </c>
      <c r="F581" s="30" t="str">
        <f t="shared" si="18"/>
        <v>Completed</v>
      </c>
      <c r="G581" s="46" t="s">
        <v>1324</v>
      </c>
      <c r="I581" s="46" t="str">
        <f>IFERROR(VLOOKUP(B581,'Test 1,2'!$E$4:$I$604,5,0),"NOT BILLED")</f>
        <v>Feb</v>
      </c>
      <c r="J581" s="46" t="str">
        <f t="shared" si="19"/>
        <v>PASS</v>
      </c>
    </row>
    <row r="582" spans="2:10" x14ac:dyDescent="0.5">
      <c r="B582" s="46" t="s">
        <v>884</v>
      </c>
      <c r="C582" s="46" t="s">
        <v>156</v>
      </c>
      <c r="D582" s="47">
        <v>1</v>
      </c>
      <c r="E582" s="48" t="s">
        <v>1482</v>
      </c>
      <c r="F582" s="30" t="str">
        <f t="shared" si="18"/>
        <v>Completed</v>
      </c>
      <c r="G582" s="46" t="s">
        <v>1324</v>
      </c>
      <c r="I582" s="46" t="str">
        <f>IFERROR(VLOOKUP(B582,'Test 1,2'!$E$4:$I$604,5,0),"NOT BILLED")</f>
        <v>Aug</v>
      </c>
      <c r="J582" s="46" t="str">
        <f t="shared" si="19"/>
        <v>PASS</v>
      </c>
    </row>
    <row r="583" spans="2:10" x14ac:dyDescent="0.5">
      <c r="B583" s="46" t="s">
        <v>83</v>
      </c>
      <c r="C583" s="46" t="s">
        <v>84</v>
      </c>
      <c r="D583" s="47">
        <v>1</v>
      </c>
      <c r="E583" s="48" t="s">
        <v>1482</v>
      </c>
      <c r="F583" s="30" t="str">
        <f t="shared" si="18"/>
        <v>Completed</v>
      </c>
      <c r="G583" s="46" t="s">
        <v>1324</v>
      </c>
      <c r="I583" s="46" t="str">
        <f>IFERROR(VLOOKUP(B583,'Test 1,2'!$E$4:$I$604,5,0),"NOT BILLED")</f>
        <v>Apr</v>
      </c>
      <c r="J583" s="46" t="str">
        <f t="shared" si="19"/>
        <v>PASS</v>
      </c>
    </row>
    <row r="584" spans="2:10" x14ac:dyDescent="0.5">
      <c r="B584" s="46" t="s">
        <v>1234</v>
      </c>
      <c r="C584" s="46" t="s">
        <v>122</v>
      </c>
      <c r="D584" s="47">
        <v>1</v>
      </c>
      <c r="E584" s="48" t="s">
        <v>1482</v>
      </c>
      <c r="F584" s="30" t="str">
        <f t="shared" si="18"/>
        <v>Completed</v>
      </c>
      <c r="G584" s="46" t="s">
        <v>1324</v>
      </c>
      <c r="I584" s="46" t="str">
        <f>IFERROR(VLOOKUP(B584,'Test 1,2'!$E$4:$I$604,5,0),"NOT BILLED")</f>
        <v>Jan</v>
      </c>
      <c r="J584" s="46" t="str">
        <f t="shared" si="19"/>
        <v>PASS</v>
      </c>
    </row>
    <row r="585" spans="2:10" x14ac:dyDescent="0.5">
      <c r="B585" s="46" t="s">
        <v>1204</v>
      </c>
      <c r="C585" s="46" t="s">
        <v>238</v>
      </c>
      <c r="D585" s="47">
        <v>1</v>
      </c>
      <c r="E585" s="48" t="s">
        <v>1481</v>
      </c>
      <c r="F585" s="30" t="str">
        <f t="shared" si="18"/>
        <v>Completed</v>
      </c>
      <c r="G585" s="46" t="s">
        <v>1324</v>
      </c>
      <c r="I585" s="46" t="str">
        <f>IFERROR(VLOOKUP(B585,'Test 1,2'!$E$4:$I$604,5,0),"NOT BILLED")</f>
        <v>Jan</v>
      </c>
      <c r="J585" s="46" t="str">
        <f t="shared" si="19"/>
        <v>PASS</v>
      </c>
    </row>
    <row r="586" spans="2:10" x14ac:dyDescent="0.5">
      <c r="B586" s="46" t="s">
        <v>961</v>
      </c>
      <c r="C586" s="46" t="s">
        <v>262</v>
      </c>
      <c r="D586" s="47">
        <v>1</v>
      </c>
      <c r="E586" s="48" t="s">
        <v>1482</v>
      </c>
      <c r="F586" s="30" t="str">
        <f t="shared" si="18"/>
        <v>Completed</v>
      </c>
      <c r="G586" s="46" t="s">
        <v>1324</v>
      </c>
      <c r="I586" s="46" t="str">
        <f>IFERROR(VLOOKUP(B586,'Test 1,2'!$E$4:$I$604,5,0),"NOT BILLED")</f>
        <v>Sep</v>
      </c>
      <c r="J586" s="46" t="str">
        <f t="shared" si="19"/>
        <v>PASS</v>
      </c>
    </row>
    <row r="587" spans="2:10" x14ac:dyDescent="0.5">
      <c r="B587" s="46" t="s">
        <v>59</v>
      </c>
      <c r="C587" s="46" t="s">
        <v>60</v>
      </c>
      <c r="D587" s="47">
        <v>1</v>
      </c>
      <c r="E587" s="48" t="s">
        <v>1481</v>
      </c>
      <c r="F587" s="30" t="str">
        <f t="shared" si="18"/>
        <v>Completed</v>
      </c>
      <c r="G587" s="46" t="s">
        <v>1324</v>
      </c>
      <c r="I587" s="46" t="str">
        <f>IFERROR(VLOOKUP(B587,'Test 1,2'!$E$4:$I$604,5,0),"NOT BILLED")</f>
        <v>Apr</v>
      </c>
      <c r="J587" s="46" t="str">
        <f t="shared" si="19"/>
        <v>PASS</v>
      </c>
    </row>
    <row r="588" spans="2:10" x14ac:dyDescent="0.5">
      <c r="B588" s="46" t="s">
        <v>1136</v>
      </c>
      <c r="C588" s="46" t="s">
        <v>332</v>
      </c>
      <c r="D588" s="47">
        <v>1</v>
      </c>
      <c r="E588" s="48" t="s">
        <v>1482</v>
      </c>
      <c r="F588" s="30" t="str">
        <f t="shared" si="18"/>
        <v>Completed</v>
      </c>
      <c r="G588" s="46" t="s">
        <v>1324</v>
      </c>
      <c r="I588" s="46" t="str">
        <f>IFERROR(VLOOKUP(B588,'Test 1,2'!$E$4:$I$604,5,0),"NOT BILLED")</f>
        <v>Dec</v>
      </c>
      <c r="J588" s="46" t="str">
        <f t="shared" si="19"/>
        <v>PASS</v>
      </c>
    </row>
    <row r="589" spans="2:10" x14ac:dyDescent="0.5">
      <c r="B589" s="46" t="s">
        <v>1041</v>
      </c>
      <c r="C589" s="46" t="s">
        <v>111</v>
      </c>
      <c r="D589" s="47">
        <v>1</v>
      </c>
      <c r="E589" s="48" t="s">
        <v>1482</v>
      </c>
      <c r="F589" s="30" t="str">
        <f t="shared" si="18"/>
        <v>Completed</v>
      </c>
      <c r="G589" s="46" t="s">
        <v>1324</v>
      </c>
      <c r="I589" s="46" t="str">
        <f>IFERROR(VLOOKUP(B589,'Test 1,2'!$E$4:$I$604,5,0),"NOT BILLED")</f>
        <v>Nov</v>
      </c>
      <c r="J589" s="46" t="str">
        <f t="shared" si="19"/>
        <v>PASS</v>
      </c>
    </row>
    <row r="590" spans="2:10" x14ac:dyDescent="0.5">
      <c r="B590" s="46" t="s">
        <v>222</v>
      </c>
      <c r="C590" s="46" t="s">
        <v>119</v>
      </c>
      <c r="D590" s="47">
        <v>1</v>
      </c>
      <c r="E590" s="48" t="s">
        <v>1481</v>
      </c>
      <c r="F590" s="30" t="str">
        <f t="shared" si="18"/>
        <v>Completed</v>
      </c>
      <c r="G590" s="46" t="s">
        <v>1324</v>
      </c>
      <c r="I590" s="46" t="str">
        <f>IFERROR(VLOOKUP(B590,'Test 1,2'!$E$4:$I$604,5,0),"NOT BILLED")</f>
        <v>Jul</v>
      </c>
      <c r="J590" s="46" t="str">
        <f t="shared" si="19"/>
        <v>PASS</v>
      </c>
    </row>
    <row r="591" spans="2:10" x14ac:dyDescent="0.5">
      <c r="B591" s="46" t="s">
        <v>785</v>
      </c>
      <c r="C591" s="46" t="s">
        <v>67</v>
      </c>
      <c r="D591" s="47">
        <v>1</v>
      </c>
      <c r="E591" s="48" t="s">
        <v>1482</v>
      </c>
      <c r="F591" s="30" t="str">
        <f t="shared" si="18"/>
        <v>Completed</v>
      </c>
      <c r="G591" s="46" t="s">
        <v>1324</v>
      </c>
      <c r="I591" s="46" t="str">
        <f>IFERROR(VLOOKUP(B591,'Test 1,2'!$E$4:$I$604,5,0),"NOT BILLED")</f>
        <v>May</v>
      </c>
      <c r="J591" s="46" t="str">
        <f t="shared" si="19"/>
        <v>PASS</v>
      </c>
    </row>
    <row r="592" spans="2:10" x14ac:dyDescent="0.5">
      <c r="B592" s="46" t="s">
        <v>1208</v>
      </c>
      <c r="C592" s="46" t="s">
        <v>60</v>
      </c>
      <c r="D592" s="47">
        <v>1</v>
      </c>
      <c r="E592" s="48" t="s">
        <v>1482</v>
      </c>
      <c r="F592" s="30" t="str">
        <f t="shared" si="18"/>
        <v>Completed</v>
      </c>
      <c r="G592" s="46" t="s">
        <v>1324</v>
      </c>
      <c r="I592" s="46" t="str">
        <f>IFERROR(VLOOKUP(B592,'Test 1,2'!$E$4:$I$604,5,0),"NOT BILLED")</f>
        <v>Jan</v>
      </c>
      <c r="J592" s="46" t="str">
        <f t="shared" si="19"/>
        <v>PASS</v>
      </c>
    </row>
    <row r="593" spans="2:10" x14ac:dyDescent="0.5">
      <c r="B593" s="46" t="s">
        <v>935</v>
      </c>
      <c r="C593" s="46" t="s">
        <v>60</v>
      </c>
      <c r="D593" s="47">
        <v>1</v>
      </c>
      <c r="E593" s="48" t="s">
        <v>1481</v>
      </c>
      <c r="F593" s="30" t="str">
        <f t="shared" si="18"/>
        <v>Completed</v>
      </c>
      <c r="G593" s="46" t="s">
        <v>1324</v>
      </c>
      <c r="I593" s="46" t="str">
        <f>IFERROR(VLOOKUP(B593,'Test 1,2'!$E$4:$I$604,5,0),"NOT BILLED")</f>
        <v>Aug</v>
      </c>
      <c r="J593" s="46" t="str">
        <f t="shared" si="19"/>
        <v>PASS</v>
      </c>
    </row>
    <row r="594" spans="2:10" x14ac:dyDescent="0.5">
      <c r="B594" s="46" t="s">
        <v>76</v>
      </c>
      <c r="C594" s="46" t="s">
        <v>77</v>
      </c>
      <c r="D594" s="47">
        <v>1</v>
      </c>
      <c r="E594" s="48" t="s">
        <v>1481</v>
      </c>
      <c r="F594" s="30" t="str">
        <f t="shared" si="18"/>
        <v>Completed</v>
      </c>
      <c r="G594" s="46" t="s">
        <v>1324</v>
      </c>
      <c r="I594" s="46" t="str">
        <f>IFERROR(VLOOKUP(B594,'Test 1,2'!$E$4:$I$604,5,0),"NOT BILLED")</f>
        <v>Apr</v>
      </c>
      <c r="J594" s="46" t="str">
        <f t="shared" si="19"/>
        <v>PASS</v>
      </c>
    </row>
    <row r="595" spans="2:10" x14ac:dyDescent="0.5">
      <c r="B595" s="46" t="s">
        <v>477</v>
      </c>
      <c r="C595" s="46" t="s">
        <v>195</v>
      </c>
      <c r="D595" s="47">
        <v>1</v>
      </c>
      <c r="E595" s="48" t="s">
        <v>1481</v>
      </c>
      <c r="F595" s="30" t="str">
        <f t="shared" si="18"/>
        <v>Completed</v>
      </c>
      <c r="G595" s="46" t="s">
        <v>1324</v>
      </c>
      <c r="I595" s="46" t="str">
        <f>IFERROR(VLOOKUP(B595,'Test 1,2'!$E$4:$I$604,5,0),"NOT BILLED")</f>
        <v>Dec</v>
      </c>
      <c r="J595" s="46" t="str">
        <f t="shared" si="19"/>
        <v>PASS</v>
      </c>
    </row>
    <row r="596" spans="2:10" x14ac:dyDescent="0.5">
      <c r="B596" s="46" t="s">
        <v>678</v>
      </c>
      <c r="C596" s="46" t="s">
        <v>143</v>
      </c>
      <c r="D596" s="47">
        <v>1</v>
      </c>
      <c r="E596" s="48" t="s">
        <v>1482</v>
      </c>
      <c r="F596" s="30" t="str">
        <f t="shared" si="18"/>
        <v>Completed</v>
      </c>
      <c r="G596" s="46" t="s">
        <v>1324</v>
      </c>
      <c r="I596" s="46" t="str">
        <f>IFERROR(VLOOKUP(B596,'Test 1,2'!$E$4:$I$604,5,0),"NOT BILLED")</f>
        <v>Apr</v>
      </c>
      <c r="J596" s="46" t="str">
        <f t="shared" si="19"/>
        <v>PASS</v>
      </c>
    </row>
    <row r="597" spans="2:10" x14ac:dyDescent="0.5">
      <c r="B597" s="46" t="s">
        <v>264</v>
      </c>
      <c r="C597" s="46" t="s">
        <v>143</v>
      </c>
      <c r="D597" s="47">
        <v>1</v>
      </c>
      <c r="E597" s="48" t="s">
        <v>1481</v>
      </c>
      <c r="F597" s="30" t="str">
        <f t="shared" si="18"/>
        <v>Completed</v>
      </c>
      <c r="G597" s="46" t="s">
        <v>1324</v>
      </c>
      <c r="I597" s="46" t="str">
        <f>IFERROR(VLOOKUP(B597,'Test 1,2'!$E$4:$I$604,5,0),"NOT BILLED")</f>
        <v>Jul</v>
      </c>
      <c r="J597" s="46" t="str">
        <f t="shared" si="19"/>
        <v>PASS</v>
      </c>
    </row>
    <row r="598" spans="2:10" x14ac:dyDescent="0.5">
      <c r="B598" s="46" t="s">
        <v>1206</v>
      </c>
      <c r="C598" s="46" t="s">
        <v>27</v>
      </c>
      <c r="D598" s="47">
        <v>1</v>
      </c>
      <c r="E598" s="48" t="s">
        <v>1481</v>
      </c>
      <c r="F598" s="30" t="str">
        <f t="shared" si="18"/>
        <v>Completed</v>
      </c>
      <c r="G598" s="46" t="s">
        <v>1324</v>
      </c>
      <c r="I598" s="46" t="str">
        <f>IFERROR(VLOOKUP(B598,'Test 1,2'!$E$4:$I$604,5,0),"NOT BILLED")</f>
        <v>Jan</v>
      </c>
      <c r="J598" s="46" t="str">
        <f t="shared" si="19"/>
        <v>PASS</v>
      </c>
    </row>
    <row r="599" spans="2:10" x14ac:dyDescent="0.5">
      <c r="B599" s="46" t="s">
        <v>1010</v>
      </c>
      <c r="C599" s="46" t="s">
        <v>103</v>
      </c>
      <c r="D599" s="47">
        <v>1</v>
      </c>
      <c r="E599" s="48" t="s">
        <v>1482</v>
      </c>
      <c r="F599" s="30" t="str">
        <f t="shared" si="18"/>
        <v>Completed</v>
      </c>
      <c r="G599" s="46" t="s">
        <v>1324</v>
      </c>
      <c r="I599" s="46" t="str">
        <f>IFERROR(VLOOKUP(B599,'Test 1,2'!$E$4:$I$604,5,0),"NOT BILLED")</f>
        <v>Oct</v>
      </c>
      <c r="J599" s="46" t="str">
        <f t="shared" si="19"/>
        <v>PASS</v>
      </c>
    </row>
    <row r="600" spans="2:10" x14ac:dyDescent="0.5">
      <c r="B600" s="46" t="s">
        <v>732</v>
      </c>
      <c r="C600" s="46" t="s">
        <v>290</v>
      </c>
      <c r="D600" s="47">
        <v>1</v>
      </c>
      <c r="E600" s="48" t="s">
        <v>1481</v>
      </c>
      <c r="F600" s="30" t="str">
        <f t="shared" si="18"/>
        <v>Completed</v>
      </c>
      <c r="G600" s="46" t="s">
        <v>1324</v>
      </c>
      <c r="I600" s="46" t="str">
        <f>IFERROR(VLOOKUP(B600,'Test 1,2'!$E$4:$I$604,5,0),"NOT BILLED")</f>
        <v>May</v>
      </c>
      <c r="J600" s="46" t="str">
        <f t="shared" si="19"/>
        <v>PASS</v>
      </c>
    </row>
    <row r="601" spans="2:10" x14ac:dyDescent="0.5">
      <c r="B601" s="46" t="s">
        <v>160</v>
      </c>
      <c r="C601" s="46" t="s">
        <v>114</v>
      </c>
      <c r="D601" s="47">
        <v>1</v>
      </c>
      <c r="E601" s="48" t="s">
        <v>1482</v>
      </c>
      <c r="F601" s="30" t="str">
        <f t="shared" si="18"/>
        <v>Completed</v>
      </c>
      <c r="G601" s="46" t="s">
        <v>1324</v>
      </c>
      <c r="I601" s="46" t="str">
        <f>IFERROR(VLOOKUP(B601,'Test 1,2'!$E$4:$I$604,5,0),"NOT BILLED")</f>
        <v>May</v>
      </c>
      <c r="J601" s="46" t="str">
        <f t="shared" si="19"/>
        <v>PASS</v>
      </c>
    </row>
    <row r="602" spans="2:10" x14ac:dyDescent="0.5">
      <c r="B602" s="46" t="s">
        <v>1128</v>
      </c>
      <c r="C602" s="46" t="s">
        <v>308</v>
      </c>
      <c r="D602" s="47">
        <v>1</v>
      </c>
      <c r="E602" s="48" t="s">
        <v>1482</v>
      </c>
      <c r="F602" s="30" t="str">
        <f t="shared" si="18"/>
        <v>Completed</v>
      </c>
      <c r="G602" s="46" t="s">
        <v>1325</v>
      </c>
      <c r="I602" s="46" t="str">
        <f>IFERROR(VLOOKUP(B602,'Test 1,2'!$E$4:$I$604,5,0),"NOT BILLED")</f>
        <v>Dec</v>
      </c>
      <c r="J602" s="46" t="str">
        <f t="shared" si="19"/>
        <v>PASS</v>
      </c>
    </row>
    <row r="603" spans="2:10" x14ac:dyDescent="0.5">
      <c r="B603" s="46" t="s">
        <v>1156</v>
      </c>
      <c r="C603" s="46" t="s">
        <v>125</v>
      </c>
      <c r="D603" s="47">
        <v>1</v>
      </c>
      <c r="E603" s="48" t="s">
        <v>1482</v>
      </c>
      <c r="F603" s="30" t="str">
        <f t="shared" si="18"/>
        <v>Completed</v>
      </c>
      <c r="G603" s="46" t="s">
        <v>1324</v>
      </c>
      <c r="I603" s="46" t="str">
        <f>IFERROR(VLOOKUP(B603,'Test 1,2'!$E$4:$I$604,5,0),"NOT BILLED")</f>
        <v>Jan</v>
      </c>
      <c r="J603" s="46" t="str">
        <f t="shared" si="19"/>
        <v>PASS</v>
      </c>
    </row>
    <row r="604" spans="2:10" s="2" customFormat="1" x14ac:dyDescent="0.5">
      <c r="B604" s="30" t="s">
        <v>1483</v>
      </c>
      <c r="C604" s="30" t="s">
        <v>1484</v>
      </c>
      <c r="D604" s="49">
        <v>0.52</v>
      </c>
      <c r="E604" s="42" t="s">
        <v>1481</v>
      </c>
      <c r="F604" s="30" t="str">
        <f>IF(D604=100%,"Completed","Contract-In-Progress")</f>
        <v>Contract-In-Progress</v>
      </c>
      <c r="G604" s="30" t="s">
        <v>1324</v>
      </c>
      <c r="I604" s="46" t="str">
        <f>IFERROR(VLOOKUP(B604,'Test 1,2'!$E$4:$I$604,5,0),"NOT BILLED")</f>
        <v>NOT BILLED</v>
      </c>
      <c r="J604" s="46" t="str">
        <f t="shared" si="19"/>
        <v>PASS</v>
      </c>
    </row>
    <row r="605" spans="2:10" x14ac:dyDescent="0.5">
      <c r="B605" s="46" t="s">
        <v>1485</v>
      </c>
      <c r="C605" s="46" t="s">
        <v>1486</v>
      </c>
      <c r="D605" s="49">
        <v>0.56000000000000005</v>
      </c>
      <c r="E605" s="48" t="s">
        <v>1482</v>
      </c>
      <c r="F605" s="30" t="str">
        <f t="shared" ref="F605:F626" si="20">IF(D605=100%,"Completed","Contract-In-Progress")</f>
        <v>Contract-In-Progress</v>
      </c>
      <c r="G605" s="46" t="s">
        <v>1324</v>
      </c>
      <c r="I605" s="46" t="str">
        <f>IFERROR(VLOOKUP(B605,'Test 1,2'!$E$4:$I$604,5,0),"NOT BILLED")</f>
        <v>NOT BILLED</v>
      </c>
      <c r="J605" s="46" t="str">
        <f t="shared" si="19"/>
        <v>PASS</v>
      </c>
    </row>
    <row r="606" spans="2:10" x14ac:dyDescent="0.5">
      <c r="B606" s="46" t="s">
        <v>1487</v>
      </c>
      <c r="C606" s="46" t="s">
        <v>1488</v>
      </c>
      <c r="D606" s="49">
        <v>0.56000000000000005</v>
      </c>
      <c r="E606" s="48" t="s">
        <v>1481</v>
      </c>
      <c r="F606" s="30" t="str">
        <f t="shared" si="20"/>
        <v>Contract-In-Progress</v>
      </c>
      <c r="G606" s="46" t="s">
        <v>1324</v>
      </c>
      <c r="I606" s="46" t="str">
        <f>IFERROR(VLOOKUP(B606,'Test 1,2'!$E$4:$I$604,5,0),"NOT BILLED")</f>
        <v>NOT BILLED</v>
      </c>
      <c r="J606" s="46" t="str">
        <f t="shared" si="19"/>
        <v>PASS</v>
      </c>
    </row>
    <row r="607" spans="2:10" x14ac:dyDescent="0.5">
      <c r="B607" s="46" t="s">
        <v>1489</v>
      </c>
      <c r="C607" s="46" t="s">
        <v>1490</v>
      </c>
      <c r="D607" s="49">
        <v>0.77</v>
      </c>
      <c r="E607" s="48" t="s">
        <v>1482</v>
      </c>
      <c r="F607" s="30" t="str">
        <f t="shared" si="20"/>
        <v>Contract-In-Progress</v>
      </c>
      <c r="G607" s="46" t="s">
        <v>1324</v>
      </c>
      <c r="I607" s="46" t="str">
        <f>IFERROR(VLOOKUP(B607,'Test 1,2'!$E$4:$I$604,5,0),"NOT BILLED")</f>
        <v>NOT BILLED</v>
      </c>
      <c r="J607" s="46" t="str">
        <f t="shared" si="19"/>
        <v>PASS</v>
      </c>
    </row>
    <row r="608" spans="2:10" x14ac:dyDescent="0.5">
      <c r="B608" s="46" t="s">
        <v>1491</v>
      </c>
      <c r="C608" s="46" t="s">
        <v>1492</v>
      </c>
      <c r="D608" s="49">
        <v>0.36</v>
      </c>
      <c r="E608" s="48" t="s">
        <v>1482</v>
      </c>
      <c r="F608" s="30" t="str">
        <f t="shared" si="20"/>
        <v>Contract-In-Progress</v>
      </c>
      <c r="G608" s="46" t="s">
        <v>1324</v>
      </c>
      <c r="I608" s="46" t="str">
        <f>IFERROR(VLOOKUP(B608,'Test 1,2'!$E$4:$I$604,5,0),"NOT BILLED")</f>
        <v>NOT BILLED</v>
      </c>
      <c r="J608" s="46" t="str">
        <f t="shared" si="19"/>
        <v>PASS</v>
      </c>
    </row>
    <row r="609" spans="2:10" x14ac:dyDescent="0.5">
      <c r="B609" s="46" t="s">
        <v>1493</v>
      </c>
      <c r="C609" s="46" t="s">
        <v>1494</v>
      </c>
      <c r="D609" s="49">
        <v>0.28000000000000003</v>
      </c>
      <c r="E609" s="48" t="s">
        <v>1481</v>
      </c>
      <c r="F609" s="30" t="str">
        <f t="shared" si="20"/>
        <v>Contract-In-Progress</v>
      </c>
      <c r="G609" s="46" t="s">
        <v>1324</v>
      </c>
      <c r="I609" s="46" t="str">
        <f>IFERROR(VLOOKUP(B609,'Test 1,2'!$E$4:$I$604,5,0),"NOT BILLED")</f>
        <v>NOT BILLED</v>
      </c>
      <c r="J609" s="46" t="str">
        <f t="shared" si="19"/>
        <v>PASS</v>
      </c>
    </row>
    <row r="610" spans="2:10" x14ac:dyDescent="0.5">
      <c r="B610" s="46" t="s">
        <v>1495</v>
      </c>
      <c r="C610" s="46" t="s">
        <v>1496</v>
      </c>
      <c r="D610" s="49">
        <v>0.48</v>
      </c>
      <c r="E610" s="48" t="s">
        <v>1482</v>
      </c>
      <c r="F610" s="30" t="str">
        <f t="shared" si="20"/>
        <v>Contract-In-Progress</v>
      </c>
      <c r="G610" s="46" t="s">
        <v>1324</v>
      </c>
      <c r="I610" s="46" t="str">
        <f>IFERROR(VLOOKUP(B610,'Test 1,2'!$E$4:$I$604,5,0),"NOT BILLED")</f>
        <v>NOT BILLED</v>
      </c>
      <c r="J610" s="46" t="str">
        <f t="shared" si="19"/>
        <v>PASS</v>
      </c>
    </row>
    <row r="611" spans="2:10" x14ac:dyDescent="0.5">
      <c r="B611" s="46" t="s">
        <v>1497</v>
      </c>
      <c r="C611" s="46" t="s">
        <v>1498</v>
      </c>
      <c r="D611" s="49">
        <v>0.4</v>
      </c>
      <c r="E611" s="48" t="s">
        <v>1482</v>
      </c>
      <c r="F611" s="30" t="str">
        <f t="shared" si="20"/>
        <v>Contract-In-Progress</v>
      </c>
      <c r="G611" s="46" t="s">
        <v>1324</v>
      </c>
      <c r="I611" s="46" t="str">
        <f>IFERROR(VLOOKUP(B611,'Test 1,2'!$E$4:$I$604,5,0),"NOT BILLED")</f>
        <v>NOT BILLED</v>
      </c>
      <c r="J611" s="46" t="str">
        <f t="shared" si="19"/>
        <v>PASS</v>
      </c>
    </row>
    <row r="612" spans="2:10" x14ac:dyDescent="0.5">
      <c r="B612" s="46" t="s">
        <v>1499</v>
      </c>
      <c r="C612" s="46" t="s">
        <v>1494</v>
      </c>
      <c r="D612" s="49">
        <v>0.25</v>
      </c>
      <c r="E612" s="48" t="s">
        <v>1482</v>
      </c>
      <c r="F612" s="30" t="str">
        <f t="shared" si="20"/>
        <v>Contract-In-Progress</v>
      </c>
      <c r="G612" s="46" t="s">
        <v>1324</v>
      </c>
      <c r="I612" s="46" t="str">
        <f>IFERROR(VLOOKUP(B612,'Test 1,2'!$E$4:$I$604,5,0),"NOT BILLED")</f>
        <v>NOT BILLED</v>
      </c>
      <c r="J612" s="46" t="str">
        <f t="shared" si="19"/>
        <v>PASS</v>
      </c>
    </row>
    <row r="613" spans="2:10" x14ac:dyDescent="0.5">
      <c r="B613" s="46" t="s">
        <v>1500</v>
      </c>
      <c r="C613" s="46" t="s">
        <v>1501</v>
      </c>
      <c r="D613" s="49">
        <v>0.62</v>
      </c>
      <c r="E613" s="48" t="s">
        <v>1482</v>
      </c>
      <c r="F613" s="30" t="str">
        <f t="shared" si="20"/>
        <v>Contract-In-Progress</v>
      </c>
      <c r="G613" s="46" t="s">
        <v>1324</v>
      </c>
      <c r="I613" s="46" t="str">
        <f>IFERROR(VLOOKUP(B613,'Test 1,2'!$E$4:$I$604,5,0),"NOT BILLED")</f>
        <v>NOT BILLED</v>
      </c>
      <c r="J613" s="46" t="str">
        <f t="shared" si="19"/>
        <v>PASS</v>
      </c>
    </row>
    <row r="614" spans="2:10" x14ac:dyDescent="0.5">
      <c r="B614" s="46" t="s">
        <v>1502</v>
      </c>
      <c r="C614" s="46" t="s">
        <v>1498</v>
      </c>
      <c r="D614" s="49">
        <v>0.71</v>
      </c>
      <c r="E614" s="48" t="s">
        <v>1482</v>
      </c>
      <c r="F614" s="30" t="str">
        <f t="shared" si="20"/>
        <v>Contract-In-Progress</v>
      </c>
      <c r="G614" s="46" t="s">
        <v>1324</v>
      </c>
      <c r="I614" s="46" t="str">
        <f>IFERROR(VLOOKUP(B614,'Test 1,2'!$E$4:$I$604,5,0),"NOT BILLED")</f>
        <v>NOT BILLED</v>
      </c>
      <c r="J614" s="46" t="str">
        <f t="shared" si="19"/>
        <v>PASS</v>
      </c>
    </row>
    <row r="615" spans="2:10" x14ac:dyDescent="0.5">
      <c r="B615" s="46" t="s">
        <v>1503</v>
      </c>
      <c r="C615" s="46" t="s">
        <v>1486</v>
      </c>
      <c r="D615" s="49">
        <v>0.75</v>
      </c>
      <c r="E615" s="48" t="s">
        <v>1481</v>
      </c>
      <c r="F615" s="30" t="str">
        <f t="shared" si="20"/>
        <v>Contract-In-Progress</v>
      </c>
      <c r="G615" s="46" t="s">
        <v>1324</v>
      </c>
      <c r="I615" s="46" t="str">
        <f>IFERROR(VLOOKUP(B615,'Test 1,2'!$E$4:$I$604,5,0),"NOT BILLED")</f>
        <v>NOT BILLED</v>
      </c>
      <c r="J615" s="46" t="str">
        <f t="shared" si="19"/>
        <v>PASS</v>
      </c>
    </row>
    <row r="616" spans="2:10" x14ac:dyDescent="0.5">
      <c r="B616" s="46" t="s">
        <v>1504</v>
      </c>
      <c r="C616" s="46" t="s">
        <v>1505</v>
      </c>
      <c r="D616" s="49">
        <v>0.5</v>
      </c>
      <c r="E616" s="48" t="s">
        <v>1481</v>
      </c>
      <c r="F616" s="30" t="str">
        <f t="shared" si="20"/>
        <v>Contract-In-Progress</v>
      </c>
      <c r="G616" s="46" t="s">
        <v>1324</v>
      </c>
      <c r="I616" s="46" t="str">
        <f>IFERROR(VLOOKUP(B616,'Test 1,2'!$E$4:$I$604,5,0),"NOT BILLED")</f>
        <v>NOT BILLED</v>
      </c>
      <c r="J616" s="46" t="str">
        <f t="shared" si="19"/>
        <v>PASS</v>
      </c>
    </row>
    <row r="617" spans="2:10" x14ac:dyDescent="0.5">
      <c r="B617" s="46" t="s">
        <v>1506</v>
      </c>
      <c r="C617" s="46" t="s">
        <v>1507</v>
      </c>
      <c r="D617" s="49">
        <v>0.47</v>
      </c>
      <c r="E617" s="48" t="s">
        <v>1482</v>
      </c>
      <c r="F617" s="30" t="str">
        <f t="shared" si="20"/>
        <v>Contract-In-Progress</v>
      </c>
      <c r="G617" s="46" t="s">
        <v>1324</v>
      </c>
      <c r="I617" s="46" t="str">
        <f>IFERROR(VLOOKUP(B617,'Test 1,2'!$E$4:$I$604,5,0),"NOT BILLED")</f>
        <v>NOT BILLED</v>
      </c>
      <c r="J617" s="46" t="str">
        <f t="shared" si="19"/>
        <v>PASS</v>
      </c>
    </row>
    <row r="618" spans="2:10" x14ac:dyDescent="0.5">
      <c r="B618" s="46" t="s">
        <v>1508</v>
      </c>
      <c r="C618" s="46" t="s">
        <v>1509</v>
      </c>
      <c r="D618" s="49">
        <v>0.42</v>
      </c>
      <c r="E618" s="48" t="s">
        <v>1482</v>
      </c>
      <c r="F618" s="30" t="str">
        <f t="shared" si="20"/>
        <v>Contract-In-Progress</v>
      </c>
      <c r="G618" s="46" t="s">
        <v>1324</v>
      </c>
      <c r="I618" s="46" t="str">
        <f>IFERROR(VLOOKUP(B618,'Test 1,2'!$E$4:$I$604,5,0),"NOT BILLED")</f>
        <v>NOT BILLED</v>
      </c>
      <c r="J618" s="46" t="str">
        <f t="shared" si="19"/>
        <v>PASS</v>
      </c>
    </row>
    <row r="619" spans="2:10" x14ac:dyDescent="0.5">
      <c r="B619" s="46" t="s">
        <v>1510</v>
      </c>
      <c r="C619" s="46" t="s">
        <v>1511</v>
      </c>
      <c r="D619" s="49">
        <v>0.44</v>
      </c>
      <c r="E619" s="48" t="s">
        <v>1481</v>
      </c>
      <c r="F619" s="30" t="str">
        <f t="shared" si="20"/>
        <v>Contract-In-Progress</v>
      </c>
      <c r="G619" s="46" t="s">
        <v>1324</v>
      </c>
      <c r="I619" s="46" t="str">
        <f>IFERROR(VLOOKUP(B619,'Test 1,2'!$E$4:$I$604,5,0),"NOT BILLED")</f>
        <v>NOT BILLED</v>
      </c>
      <c r="J619" s="46" t="str">
        <f t="shared" si="19"/>
        <v>PASS</v>
      </c>
    </row>
    <row r="620" spans="2:10" x14ac:dyDescent="0.5">
      <c r="B620" s="46" t="s">
        <v>1512</v>
      </c>
      <c r="C620" s="46" t="s">
        <v>1490</v>
      </c>
      <c r="D620" s="49">
        <v>0.24</v>
      </c>
      <c r="E620" s="48" t="s">
        <v>1481</v>
      </c>
      <c r="F620" s="30" t="str">
        <f t="shared" si="20"/>
        <v>Contract-In-Progress</v>
      </c>
      <c r="G620" s="46" t="s">
        <v>1324</v>
      </c>
      <c r="I620" s="46" t="str">
        <f>IFERROR(VLOOKUP(B620,'Test 1,2'!$E$4:$I$604,5,0),"NOT BILLED")</f>
        <v>NOT BILLED</v>
      </c>
      <c r="J620" s="46" t="str">
        <f t="shared" si="19"/>
        <v>PASS</v>
      </c>
    </row>
    <row r="621" spans="2:10" x14ac:dyDescent="0.5">
      <c r="B621" s="46" t="s">
        <v>1513</v>
      </c>
      <c r="C621" s="46" t="s">
        <v>1505</v>
      </c>
      <c r="D621" s="49">
        <v>0.64</v>
      </c>
      <c r="E621" s="48" t="s">
        <v>1481</v>
      </c>
      <c r="F621" s="30" t="str">
        <f t="shared" si="20"/>
        <v>Contract-In-Progress</v>
      </c>
      <c r="G621" s="46" t="s">
        <v>1324</v>
      </c>
      <c r="I621" s="46" t="str">
        <f>IFERROR(VLOOKUP(B621,'Test 1,2'!$E$4:$I$604,5,0),"NOT BILLED")</f>
        <v>NOT BILLED</v>
      </c>
      <c r="J621" s="46" t="str">
        <f t="shared" si="19"/>
        <v>PASS</v>
      </c>
    </row>
    <row r="622" spans="2:10" x14ac:dyDescent="0.5">
      <c r="B622" s="46" t="s">
        <v>1514</v>
      </c>
      <c r="C622" s="46" t="s">
        <v>1515</v>
      </c>
      <c r="D622" s="49">
        <v>0.28000000000000003</v>
      </c>
      <c r="E622" s="48" t="s">
        <v>1482</v>
      </c>
      <c r="F622" s="30" t="str">
        <f t="shared" si="20"/>
        <v>Contract-In-Progress</v>
      </c>
      <c r="G622" s="46" t="s">
        <v>1324</v>
      </c>
      <c r="I622" s="46" t="str">
        <f>IFERROR(VLOOKUP(B622,'Test 1,2'!$E$4:$I$604,5,0),"NOT BILLED")</f>
        <v>NOT BILLED</v>
      </c>
      <c r="J622" s="46" t="str">
        <f t="shared" si="19"/>
        <v>PASS</v>
      </c>
    </row>
    <row r="623" spans="2:10" x14ac:dyDescent="0.5">
      <c r="B623" s="46" t="s">
        <v>1516</v>
      </c>
      <c r="C623" s="46" t="s">
        <v>1517</v>
      </c>
      <c r="D623" s="49">
        <v>0.43</v>
      </c>
      <c r="E623" s="48" t="s">
        <v>1481</v>
      </c>
      <c r="F623" s="30" t="str">
        <f t="shared" si="20"/>
        <v>Contract-In-Progress</v>
      </c>
      <c r="G623" s="46" t="s">
        <v>1324</v>
      </c>
      <c r="I623" s="46" t="str">
        <f>IFERROR(VLOOKUP(B623,'Test 1,2'!$E$4:$I$604,5,0),"NOT BILLED")</f>
        <v>NOT BILLED</v>
      </c>
      <c r="J623" s="46" t="str">
        <f t="shared" si="19"/>
        <v>PASS</v>
      </c>
    </row>
    <row r="624" spans="2:10" x14ac:dyDescent="0.5">
      <c r="B624" s="46" t="s">
        <v>1518</v>
      </c>
      <c r="C624" s="46" t="s">
        <v>1519</v>
      </c>
      <c r="D624" s="49">
        <v>0.64</v>
      </c>
      <c r="E624" s="48" t="s">
        <v>1482</v>
      </c>
      <c r="F624" s="30" t="str">
        <f t="shared" si="20"/>
        <v>Contract-In-Progress</v>
      </c>
      <c r="G624" s="46" t="s">
        <v>1324</v>
      </c>
      <c r="I624" s="46" t="str">
        <f>IFERROR(VLOOKUP(B624,'Test 1,2'!$E$4:$I$604,5,0),"NOT BILLED")</f>
        <v>NOT BILLED</v>
      </c>
      <c r="J624" s="46" t="str">
        <f t="shared" si="19"/>
        <v>PASS</v>
      </c>
    </row>
    <row r="625" spans="2:10" x14ac:dyDescent="0.5">
      <c r="B625" s="46" t="s">
        <v>1520</v>
      </c>
      <c r="C625" s="46" t="s">
        <v>1521</v>
      </c>
      <c r="D625" s="49">
        <v>0.67</v>
      </c>
      <c r="E625" s="48" t="s">
        <v>1481</v>
      </c>
      <c r="F625" s="30" t="str">
        <f t="shared" si="20"/>
        <v>Contract-In-Progress</v>
      </c>
      <c r="G625" s="46" t="s">
        <v>1324</v>
      </c>
      <c r="I625" s="46" t="str">
        <f>IFERROR(VLOOKUP(B625,'Test 1,2'!$E$4:$I$604,5,0),"NOT BILLED")</f>
        <v>NOT BILLED</v>
      </c>
      <c r="J625" s="46" t="str">
        <f t="shared" si="19"/>
        <v>PASS</v>
      </c>
    </row>
    <row r="626" spans="2:10" x14ac:dyDescent="0.5">
      <c r="B626" s="46" t="s">
        <v>1522</v>
      </c>
      <c r="C626" s="46" t="s">
        <v>1523</v>
      </c>
      <c r="D626" s="49">
        <v>0.45</v>
      </c>
      <c r="E626" s="48" t="s">
        <v>1482</v>
      </c>
      <c r="F626" s="30" t="str">
        <f t="shared" si="20"/>
        <v>Contract-In-Progress</v>
      </c>
      <c r="G626" s="46" t="s">
        <v>1324</v>
      </c>
      <c r="I626" s="46" t="str">
        <f>IFERROR(VLOOKUP(B626,'Test 1,2'!$E$4:$I$604,5,0),"NOT BILLED")</f>
        <v>NOT BILLED</v>
      </c>
      <c r="J626" s="46" t="str">
        <f t="shared" si="19"/>
        <v>PASS</v>
      </c>
    </row>
  </sheetData>
  <autoFilter ref="B3:J3"/>
  <conditionalFormatting sqref="B4:B62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1"/>
  <sheetViews>
    <sheetView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24.7265625" style="1" customWidth="1"/>
    <col min="3" max="3" width="19.7265625" style="1" customWidth="1"/>
    <col min="4" max="4" width="15.90625" style="1" customWidth="1"/>
    <col min="5" max="5" width="14.7265625" style="1" bestFit="1" customWidth="1"/>
    <col min="6" max="6" width="14.90625" style="1" customWidth="1"/>
    <col min="7" max="7" width="22.08984375" style="1" customWidth="1"/>
    <col min="8" max="8" width="12.90625" style="1" customWidth="1"/>
    <col min="9" max="9" width="24.7265625" style="1" customWidth="1"/>
    <col min="10" max="10" width="48.26953125" style="1" bestFit="1" customWidth="1"/>
    <col min="11" max="12" width="9" style="1" customWidth="1"/>
    <col min="13" max="14" width="10" style="1" customWidth="1"/>
    <col min="15" max="16" width="11.54296875" style="1" customWidth="1"/>
    <col min="17" max="21" width="9" style="1" customWidth="1"/>
    <col min="22" max="24" width="11.54296875" style="1" customWidth="1"/>
    <col min="25" max="46" width="10" style="1" customWidth="1"/>
    <col min="47" max="49" width="7.90625" style="1" customWidth="1"/>
    <col min="50" max="50" width="18" style="1" bestFit="1" customWidth="1"/>
    <col min="51" max="51" width="12.6328125" style="1" bestFit="1" customWidth="1"/>
    <col min="52" max="52" width="10.7265625" style="1" bestFit="1" customWidth="1"/>
    <col min="53" max="16384" width="8.7265625" style="1"/>
  </cols>
  <sheetData>
    <row r="2" spans="1:14" x14ac:dyDescent="0.5">
      <c r="A2" s="1">
        <v>8</v>
      </c>
      <c r="B2" s="20" t="s">
        <v>1560</v>
      </c>
      <c r="G2" s="1" t="s">
        <v>1549</v>
      </c>
      <c r="H2" s="26">
        <v>44666</v>
      </c>
      <c r="I2" s="26"/>
    </row>
    <row r="4" spans="1:14" x14ac:dyDescent="0.5">
      <c r="B4" s="45" t="s">
        <v>1475</v>
      </c>
      <c r="C4" s="45" t="s">
        <v>1479</v>
      </c>
      <c r="D4" s="45" t="s">
        <v>1480</v>
      </c>
      <c r="E4" s="45" t="s">
        <v>1524</v>
      </c>
      <c r="F4" s="45" t="s">
        <v>1525</v>
      </c>
      <c r="G4" s="45" t="s">
        <v>1469</v>
      </c>
      <c r="H4" s="45" t="s">
        <v>1548</v>
      </c>
      <c r="I4" s="45" t="s">
        <v>1558</v>
      </c>
      <c r="J4" s="45" t="s">
        <v>1595</v>
      </c>
      <c r="K4" s="45" t="s">
        <v>1550</v>
      </c>
      <c r="L4" s="45" t="s">
        <v>1551</v>
      </c>
      <c r="M4" s="45" t="s">
        <v>1561</v>
      </c>
      <c r="N4" s="45" t="s">
        <v>1562</v>
      </c>
    </row>
    <row r="5" spans="1:14" x14ac:dyDescent="0.5">
      <c r="B5" s="46" t="s">
        <v>700</v>
      </c>
      <c r="C5" s="46" t="s">
        <v>1526</v>
      </c>
      <c r="D5" s="46" t="s">
        <v>1324</v>
      </c>
      <c r="E5" s="50">
        <v>44325</v>
      </c>
      <c r="F5" s="46" t="s">
        <v>1527</v>
      </c>
      <c r="G5" s="51">
        <f>VLOOKUP(B5,'Test 1,2'!$E$4:$J$604,6,0)</f>
        <v>4279450</v>
      </c>
      <c r="H5" s="46">
        <f>$H$2-E5</f>
        <v>341</v>
      </c>
      <c r="I5" s="46" t="str">
        <f>IF(H5&lt;50,"Below 50 days",IF(H5&lt;100,"Below 100 days","100 days and above"))</f>
        <v>100 days and above</v>
      </c>
      <c r="J5" s="46" t="str">
        <f>VLOOKUP(B5,'Test 3'!$E$4:$U$604,15,0)</f>
        <v>Red Flag</v>
      </c>
      <c r="K5" s="46" t="str">
        <f>VLOOKUP(B5,'Test 1,2'!$E$4:$F$604,2,0)</f>
        <v>C239</v>
      </c>
      <c r="L5" s="46" t="str">
        <f>IFERROR(VLOOKUP(K5,'Test 6'!$C$4:$D$9,2,0),"NOT RP")</f>
        <v>Amber IT Pvt Ltd</v>
      </c>
      <c r="M5" s="46" t="str">
        <f>VLOOKUP(B5,'Test 1,2'!$E$4:$N$604,9,0)</f>
        <v>E123</v>
      </c>
      <c r="N5" s="46" t="str">
        <f>VLOOKUP(B5,'Test 1,2'!$E$4:$N$604,10,0)</f>
        <v>E125</v>
      </c>
    </row>
    <row r="6" spans="1:14" x14ac:dyDescent="0.5">
      <c r="B6" s="46" t="s">
        <v>722</v>
      </c>
      <c r="C6" s="46" t="s">
        <v>1526</v>
      </c>
      <c r="D6" s="46" t="s">
        <v>1325</v>
      </c>
      <c r="E6" s="50">
        <v>44332</v>
      </c>
      <c r="F6" s="46" t="s">
        <v>1527</v>
      </c>
      <c r="G6" s="51">
        <f>VLOOKUP(B6,'Test 1,2'!$E$4:$J$604,6,0)</f>
        <v>4951880</v>
      </c>
      <c r="H6" s="46">
        <f t="shared" ref="H6:H47" si="0">$H$2-E6</f>
        <v>334</v>
      </c>
      <c r="I6" s="46" t="str">
        <f t="shared" ref="I6:I47" si="1">IF(H6&lt;50,"Below 50 days",IF(H6&lt;100,"Below 100 days","100 days and above"))</f>
        <v>100 days and above</v>
      </c>
      <c r="J6" s="46" t="str">
        <f>VLOOKUP(B6,'Test 3'!$E$4:$U$604,15,0)</f>
        <v>Red Flag</v>
      </c>
      <c r="K6" s="46" t="str">
        <f>VLOOKUP(B6,'Test 1,2'!$E$4:$F$604,2,0)</f>
        <v>C239</v>
      </c>
      <c r="L6" s="46" t="str">
        <f>IFERROR(VLOOKUP(K6,'Test 6'!$C$4:$D$9,2,0),"NOT RP")</f>
        <v>Amber IT Pvt Ltd</v>
      </c>
      <c r="M6" s="46" t="str">
        <f>VLOOKUP(B6,'Test 1,2'!$E$4:$N$604,9,0)</f>
        <v>E125</v>
      </c>
      <c r="N6" s="46" t="str">
        <f>VLOOKUP(B6,'Test 1,2'!$E$4:$N$604,10,0)</f>
        <v>E126</v>
      </c>
    </row>
    <row r="7" spans="1:14" x14ac:dyDescent="0.5">
      <c r="B7" s="46" t="s">
        <v>741</v>
      </c>
      <c r="C7" s="46" t="s">
        <v>1526</v>
      </c>
      <c r="D7" s="46" t="s">
        <v>1325</v>
      </c>
      <c r="E7" s="50">
        <v>44338</v>
      </c>
      <c r="F7" s="46" t="s">
        <v>1527</v>
      </c>
      <c r="G7" s="51">
        <f>VLOOKUP(B7,'Test 1,2'!$E$4:$J$604,6,0)</f>
        <v>4672170</v>
      </c>
      <c r="H7" s="46">
        <f t="shared" si="0"/>
        <v>328</v>
      </c>
      <c r="I7" s="46" t="str">
        <f t="shared" si="1"/>
        <v>100 days and above</v>
      </c>
      <c r="J7" s="46" t="str">
        <f>VLOOKUP(B7,'Test 3'!$E$4:$U$604,15,0)</f>
        <v>Red Flag</v>
      </c>
      <c r="K7" s="46" t="str">
        <f>VLOOKUP(B7,'Test 1,2'!$E$4:$F$604,2,0)</f>
        <v>C240</v>
      </c>
      <c r="L7" s="46" t="str">
        <f>IFERROR(VLOOKUP(K7,'Test 6'!$C$4:$D$9,2,0),"NOT RP")</f>
        <v>Mustard IT Ltd</v>
      </c>
      <c r="M7" s="46" t="str">
        <f>VLOOKUP(B7,'Test 1,2'!$E$4:$N$604,9,0)</f>
        <v>E125</v>
      </c>
      <c r="N7" s="46" t="str">
        <f>VLOOKUP(B7,'Test 1,2'!$E$4:$N$604,10,0)</f>
        <v>E126</v>
      </c>
    </row>
    <row r="8" spans="1:14" x14ac:dyDescent="0.5">
      <c r="B8" s="46" t="s">
        <v>739</v>
      </c>
      <c r="C8" s="46" t="s">
        <v>1526</v>
      </c>
      <c r="D8" s="46" t="s">
        <v>1324</v>
      </c>
      <c r="E8" s="50">
        <v>44339</v>
      </c>
      <c r="F8" s="46" t="s">
        <v>1527</v>
      </c>
      <c r="G8" s="51">
        <f>VLOOKUP(B8,'Test 1,2'!$E$4:$J$604,6,0)</f>
        <v>4062620</v>
      </c>
      <c r="H8" s="46">
        <f t="shared" si="0"/>
        <v>327</v>
      </c>
      <c r="I8" s="46" t="str">
        <f t="shared" si="1"/>
        <v>100 days and above</v>
      </c>
      <c r="J8" s="46" t="str">
        <f>VLOOKUP(B8,'Test 3'!$E$4:$U$604,15,0)</f>
        <v>Red Flag</v>
      </c>
      <c r="K8" s="46" t="str">
        <f>VLOOKUP(B8,'Test 1,2'!$E$4:$F$604,2,0)</f>
        <v>C240</v>
      </c>
      <c r="L8" s="46" t="str">
        <f>IFERROR(VLOOKUP(K8,'Test 6'!$C$4:$D$9,2,0),"NOT RP")</f>
        <v>Mustard IT Ltd</v>
      </c>
      <c r="M8" s="46" t="str">
        <f>VLOOKUP(B8,'Test 1,2'!$E$4:$N$604,9,0)</f>
        <v>E123</v>
      </c>
      <c r="N8" s="46" t="str">
        <f>VLOOKUP(B8,'Test 1,2'!$E$4:$N$604,10,0)</f>
        <v>E125</v>
      </c>
    </row>
    <row r="9" spans="1:14" x14ac:dyDescent="0.5">
      <c r="B9" s="46" t="s">
        <v>755</v>
      </c>
      <c r="C9" s="46" t="s">
        <v>1526</v>
      </c>
      <c r="D9" s="46" t="s">
        <v>1325</v>
      </c>
      <c r="E9" s="50">
        <v>44345</v>
      </c>
      <c r="F9" s="46" t="s">
        <v>1527</v>
      </c>
      <c r="G9" s="51">
        <f>VLOOKUP(B9,'Test 1,2'!$E$4:$J$604,6,0)</f>
        <v>4611710</v>
      </c>
      <c r="H9" s="46">
        <f t="shared" si="0"/>
        <v>321</v>
      </c>
      <c r="I9" s="46" t="str">
        <f t="shared" si="1"/>
        <v>100 days and above</v>
      </c>
      <c r="J9" s="46" t="str">
        <f>VLOOKUP(B9,'Test 3'!$E$4:$U$604,15,0)</f>
        <v>Red Flag</v>
      </c>
      <c r="K9" s="46" t="str">
        <f>VLOOKUP(B9,'Test 1,2'!$E$4:$F$604,2,0)</f>
        <v>C236</v>
      </c>
      <c r="L9" s="46" t="str">
        <f>IFERROR(VLOOKUP(K9,'Test 6'!$C$4:$D$9,2,0),"NOT RP")</f>
        <v>Mint IT Pvt Ltd</v>
      </c>
      <c r="M9" s="46" t="str">
        <f>VLOOKUP(B9,'Test 1,2'!$E$4:$N$604,9,0)</f>
        <v>E125</v>
      </c>
      <c r="N9" s="46" t="str">
        <f>VLOOKUP(B9,'Test 1,2'!$E$4:$N$604,10,0)</f>
        <v>E126</v>
      </c>
    </row>
    <row r="10" spans="1:14" x14ac:dyDescent="0.5">
      <c r="B10" s="46" t="s">
        <v>769</v>
      </c>
      <c r="C10" s="46" t="s">
        <v>1526</v>
      </c>
      <c r="D10" s="46" t="s">
        <v>1324</v>
      </c>
      <c r="E10" s="50">
        <v>44353</v>
      </c>
      <c r="F10" s="46" t="s">
        <v>1527</v>
      </c>
      <c r="G10" s="51">
        <f>VLOOKUP(B10,'Test 1,2'!$E$4:$J$604,6,0)</f>
        <v>4080130</v>
      </c>
      <c r="H10" s="46">
        <f t="shared" si="0"/>
        <v>313</v>
      </c>
      <c r="I10" s="46" t="str">
        <f t="shared" si="1"/>
        <v>100 days and above</v>
      </c>
      <c r="J10" s="46" t="str">
        <f>VLOOKUP(B10,'Test 3'!$E$4:$U$604,15,0)</f>
        <v>Red Flag</v>
      </c>
      <c r="K10" s="46" t="str">
        <f>VLOOKUP(B10,'Test 1,2'!$E$4:$F$604,2,0)</f>
        <v>C236</v>
      </c>
      <c r="L10" s="46" t="str">
        <f>IFERROR(VLOOKUP(K10,'Test 6'!$C$4:$D$9,2,0),"NOT RP")</f>
        <v>Mint IT Pvt Ltd</v>
      </c>
      <c r="M10" s="46" t="str">
        <f>VLOOKUP(B10,'Test 1,2'!$E$4:$N$604,9,0)</f>
        <v>E124</v>
      </c>
      <c r="N10" s="46" t="str">
        <f>VLOOKUP(B10,'Test 1,2'!$E$4:$N$604,10,0)</f>
        <v>E125</v>
      </c>
    </row>
    <row r="11" spans="1:14" x14ac:dyDescent="0.5">
      <c r="B11" s="46" t="s">
        <v>797</v>
      </c>
      <c r="C11" s="46" t="s">
        <v>1526</v>
      </c>
      <c r="D11" s="46" t="s">
        <v>1324</v>
      </c>
      <c r="E11" s="50">
        <v>44373</v>
      </c>
      <c r="F11" s="46" t="s">
        <v>1527</v>
      </c>
      <c r="G11" s="51">
        <f>VLOOKUP(B11,'Test 1,2'!$E$4:$J$604,6,0)</f>
        <v>4330520</v>
      </c>
      <c r="H11" s="46">
        <f t="shared" si="0"/>
        <v>293</v>
      </c>
      <c r="I11" s="46" t="str">
        <f t="shared" si="1"/>
        <v>100 days and above</v>
      </c>
      <c r="J11" s="46" t="str">
        <f>VLOOKUP(B11,'Test 3'!$E$4:$U$604,15,0)</f>
        <v>Red Flag</v>
      </c>
      <c r="K11" s="46" t="str">
        <f>VLOOKUP(B11,'Test 1,2'!$E$4:$F$604,2,0)</f>
        <v>C240</v>
      </c>
      <c r="L11" s="46" t="str">
        <f>IFERROR(VLOOKUP(K11,'Test 6'!$C$4:$D$9,2,0),"NOT RP")</f>
        <v>Mustard IT Ltd</v>
      </c>
      <c r="M11" s="46" t="str">
        <f>VLOOKUP(B11,'Test 1,2'!$E$4:$N$604,9,0)</f>
        <v>E123</v>
      </c>
      <c r="N11" s="46" t="str">
        <f>VLOOKUP(B11,'Test 1,2'!$E$4:$N$604,10,0)</f>
        <v>E125</v>
      </c>
    </row>
    <row r="12" spans="1:14" x14ac:dyDescent="0.5">
      <c r="B12" s="46" t="s">
        <v>805</v>
      </c>
      <c r="C12" s="46" t="s">
        <v>1526</v>
      </c>
      <c r="D12" s="46" t="s">
        <v>1325</v>
      </c>
      <c r="E12" s="50">
        <v>44381</v>
      </c>
      <c r="F12" s="46" t="s">
        <v>1527</v>
      </c>
      <c r="G12" s="51">
        <f>VLOOKUP(B12,'Test 1,2'!$E$4:$J$604,6,0)</f>
        <v>4673740</v>
      </c>
      <c r="H12" s="46">
        <f t="shared" si="0"/>
        <v>285</v>
      </c>
      <c r="I12" s="46" t="str">
        <f t="shared" si="1"/>
        <v>100 days and above</v>
      </c>
      <c r="J12" s="46" t="str">
        <f>VLOOKUP(B12,'Test 3'!$E$4:$U$604,15,0)</f>
        <v>Red Flag</v>
      </c>
      <c r="K12" s="46" t="str">
        <f>VLOOKUP(B12,'Test 1,2'!$E$4:$F$604,2,0)</f>
        <v>C236</v>
      </c>
      <c r="L12" s="46" t="str">
        <f>IFERROR(VLOOKUP(K12,'Test 6'!$C$4:$D$9,2,0),"NOT RP")</f>
        <v>Mint IT Pvt Ltd</v>
      </c>
      <c r="M12" s="46" t="str">
        <f>VLOOKUP(B12,'Test 1,2'!$E$4:$N$604,9,0)</f>
        <v>E125</v>
      </c>
      <c r="N12" s="46" t="str">
        <f>VLOOKUP(B12,'Test 1,2'!$E$4:$N$604,10,0)</f>
        <v>E126</v>
      </c>
    </row>
    <row r="13" spans="1:14" x14ac:dyDescent="0.5">
      <c r="B13" s="46" t="s">
        <v>825</v>
      </c>
      <c r="C13" s="46" t="s">
        <v>1526</v>
      </c>
      <c r="D13" s="46" t="s">
        <v>1324</v>
      </c>
      <c r="E13" s="50">
        <v>44388</v>
      </c>
      <c r="F13" s="46" t="s">
        <v>1527</v>
      </c>
      <c r="G13" s="51">
        <f>VLOOKUP(B13,'Test 1,2'!$E$4:$J$604,6,0)</f>
        <v>4059510</v>
      </c>
      <c r="H13" s="46">
        <f t="shared" si="0"/>
        <v>278</v>
      </c>
      <c r="I13" s="46" t="str">
        <f t="shared" si="1"/>
        <v>100 days and above</v>
      </c>
      <c r="J13" s="46" t="str">
        <f>VLOOKUP(B13,'Test 3'!$E$4:$U$604,15,0)</f>
        <v>Red Flag</v>
      </c>
      <c r="K13" s="46" t="str">
        <f>VLOOKUP(B13,'Test 1,2'!$E$4:$F$604,2,0)</f>
        <v>C240</v>
      </c>
      <c r="L13" s="46" t="str">
        <f>IFERROR(VLOOKUP(K13,'Test 6'!$C$4:$D$9,2,0),"NOT RP")</f>
        <v>Mustard IT Ltd</v>
      </c>
      <c r="M13" s="46" t="str">
        <f>VLOOKUP(B13,'Test 1,2'!$E$4:$N$604,9,0)</f>
        <v>E123</v>
      </c>
      <c r="N13" s="46" t="str">
        <f>VLOOKUP(B13,'Test 1,2'!$E$4:$N$604,10,0)</f>
        <v>E125</v>
      </c>
    </row>
    <row r="14" spans="1:14" x14ac:dyDescent="0.5">
      <c r="B14" s="46" t="s">
        <v>857</v>
      </c>
      <c r="C14" s="46" t="s">
        <v>1526</v>
      </c>
      <c r="D14" s="46" t="s">
        <v>1324</v>
      </c>
      <c r="E14" s="50">
        <v>44395</v>
      </c>
      <c r="F14" s="46" t="s">
        <v>1527</v>
      </c>
      <c r="G14" s="51">
        <f>VLOOKUP(B14,'Test 1,2'!$E$4:$J$604,6,0)</f>
        <v>4211080</v>
      </c>
      <c r="H14" s="46">
        <f t="shared" si="0"/>
        <v>271</v>
      </c>
      <c r="I14" s="46" t="str">
        <f t="shared" si="1"/>
        <v>100 days and above</v>
      </c>
      <c r="J14" s="46" t="str">
        <f>VLOOKUP(B14,'Test 3'!$E$4:$U$604,15,0)</f>
        <v>Red Flag</v>
      </c>
      <c r="K14" s="46" t="str">
        <f>VLOOKUP(B14,'Test 1,2'!$E$4:$F$604,2,0)</f>
        <v>C240</v>
      </c>
      <c r="L14" s="46" t="str">
        <f>IFERROR(VLOOKUP(K14,'Test 6'!$C$4:$D$9,2,0),"NOT RP")</f>
        <v>Mustard IT Ltd</v>
      </c>
      <c r="M14" s="46" t="str">
        <f>VLOOKUP(B14,'Test 1,2'!$E$4:$N$604,9,0)</f>
        <v>E124</v>
      </c>
      <c r="N14" s="46" t="str">
        <f>VLOOKUP(B14,'Test 1,2'!$E$4:$N$604,10,0)</f>
        <v>E125</v>
      </c>
    </row>
    <row r="15" spans="1:14" x14ac:dyDescent="0.5">
      <c r="B15" s="46" t="s">
        <v>886</v>
      </c>
      <c r="C15" s="46" t="s">
        <v>1526</v>
      </c>
      <c r="D15" s="46" t="s">
        <v>1324</v>
      </c>
      <c r="E15" s="50">
        <v>44415</v>
      </c>
      <c r="F15" s="46" t="s">
        <v>1527</v>
      </c>
      <c r="G15" s="51">
        <f>VLOOKUP(B15,'Test 1,2'!$E$4:$J$604,6,0)</f>
        <v>4250210</v>
      </c>
      <c r="H15" s="46">
        <f t="shared" si="0"/>
        <v>251</v>
      </c>
      <c r="I15" s="46" t="str">
        <f t="shared" si="1"/>
        <v>100 days and above</v>
      </c>
      <c r="J15" s="46" t="str">
        <f>VLOOKUP(B15,'Test 3'!$E$4:$U$604,15,0)</f>
        <v>Red Flag</v>
      </c>
      <c r="K15" s="46" t="str">
        <f>VLOOKUP(B15,'Test 1,2'!$E$4:$F$604,2,0)</f>
        <v>C240</v>
      </c>
      <c r="L15" s="46" t="str">
        <f>IFERROR(VLOOKUP(K15,'Test 6'!$C$4:$D$9,2,0),"NOT RP")</f>
        <v>Mustard IT Ltd</v>
      </c>
      <c r="M15" s="46" t="str">
        <f>VLOOKUP(B15,'Test 1,2'!$E$4:$N$604,9,0)</f>
        <v>E123</v>
      </c>
      <c r="N15" s="46" t="str">
        <f>VLOOKUP(B15,'Test 1,2'!$E$4:$N$604,10,0)</f>
        <v>E125</v>
      </c>
    </row>
    <row r="16" spans="1:14" x14ac:dyDescent="0.5">
      <c r="B16" s="46" t="s">
        <v>912</v>
      </c>
      <c r="C16" s="46" t="s">
        <v>1526</v>
      </c>
      <c r="D16" s="46" t="s">
        <v>1325</v>
      </c>
      <c r="E16" s="50">
        <v>44423</v>
      </c>
      <c r="F16" s="46" t="s">
        <v>1527</v>
      </c>
      <c r="G16" s="51">
        <f>VLOOKUP(B16,'Test 1,2'!$E$4:$J$604,6,0)</f>
        <v>4927020</v>
      </c>
      <c r="H16" s="46">
        <f t="shared" si="0"/>
        <v>243</v>
      </c>
      <c r="I16" s="46" t="str">
        <f t="shared" si="1"/>
        <v>100 days and above</v>
      </c>
      <c r="J16" s="46" t="str">
        <f>VLOOKUP(B16,'Test 3'!$E$4:$U$604,15,0)</f>
        <v>Red Flag</v>
      </c>
      <c r="K16" s="46" t="str">
        <f>VLOOKUP(B16,'Test 1,2'!$E$4:$F$604,2,0)</f>
        <v>C239</v>
      </c>
      <c r="L16" s="46" t="str">
        <f>IFERROR(VLOOKUP(K16,'Test 6'!$C$4:$D$9,2,0),"NOT RP")</f>
        <v>Amber IT Pvt Ltd</v>
      </c>
      <c r="M16" s="46" t="str">
        <f>VLOOKUP(B16,'Test 1,2'!$E$4:$N$604,9,0)</f>
        <v>E125</v>
      </c>
      <c r="N16" s="46" t="str">
        <f>VLOOKUP(B16,'Test 1,2'!$E$4:$N$604,10,0)</f>
        <v>E126</v>
      </c>
    </row>
    <row r="17" spans="2:14" x14ac:dyDescent="0.5">
      <c r="B17" s="46" t="s">
        <v>943</v>
      </c>
      <c r="C17" s="46" t="s">
        <v>1526</v>
      </c>
      <c r="D17" s="46" t="s">
        <v>1325</v>
      </c>
      <c r="E17" s="50">
        <v>44429</v>
      </c>
      <c r="F17" s="46" t="s">
        <v>1527</v>
      </c>
      <c r="G17" s="51">
        <f>VLOOKUP(B17,'Test 1,2'!$E$4:$J$604,6,0)</f>
        <v>4728180</v>
      </c>
      <c r="H17" s="46">
        <f t="shared" si="0"/>
        <v>237</v>
      </c>
      <c r="I17" s="46" t="str">
        <f t="shared" si="1"/>
        <v>100 days and above</v>
      </c>
      <c r="J17" s="46" t="str">
        <f>VLOOKUP(B17,'Test 3'!$E$4:$U$604,15,0)</f>
        <v>Red Flag</v>
      </c>
      <c r="K17" s="46" t="str">
        <f>VLOOKUP(B17,'Test 1,2'!$E$4:$F$604,2,0)</f>
        <v>C237</v>
      </c>
      <c r="L17" s="46" t="str">
        <f>IFERROR(VLOOKUP(K17,'Test 6'!$C$4:$D$9,2,0),"NOT RP")</f>
        <v>Forest Green IT Ltd</v>
      </c>
      <c r="M17" s="46" t="str">
        <f>VLOOKUP(B17,'Test 1,2'!$E$4:$N$604,9,0)</f>
        <v>E125</v>
      </c>
      <c r="N17" s="46" t="str">
        <f>VLOOKUP(B17,'Test 1,2'!$E$4:$N$604,10,0)</f>
        <v>E126</v>
      </c>
    </row>
    <row r="18" spans="2:14" x14ac:dyDescent="0.5">
      <c r="B18" s="46" t="s">
        <v>959</v>
      </c>
      <c r="C18" s="46" t="s">
        <v>1526</v>
      </c>
      <c r="D18" s="46" t="s">
        <v>1324</v>
      </c>
      <c r="E18" s="50">
        <v>44443</v>
      </c>
      <c r="F18" s="46" t="s">
        <v>1527</v>
      </c>
      <c r="G18" s="51">
        <f>VLOOKUP(B18,'Test 1,2'!$E$4:$J$604,6,0)</f>
        <v>4497060</v>
      </c>
      <c r="H18" s="46">
        <f t="shared" si="0"/>
        <v>223</v>
      </c>
      <c r="I18" s="46" t="str">
        <f t="shared" si="1"/>
        <v>100 days and above</v>
      </c>
      <c r="J18" s="46" t="str">
        <f>VLOOKUP(B18,'Test 3'!$E$4:$U$604,15,0)</f>
        <v>Red Flag</v>
      </c>
      <c r="K18" s="46" t="str">
        <f>VLOOKUP(B18,'Test 1,2'!$E$4:$F$604,2,0)</f>
        <v>C238</v>
      </c>
      <c r="L18" s="46" t="str">
        <f>IFERROR(VLOOKUP(K18,'Test 6'!$C$4:$D$9,2,0),"NOT RP")</f>
        <v>Chartreuse Software Pvt Ltd</v>
      </c>
      <c r="M18" s="46" t="str">
        <f>VLOOKUP(B18,'Test 1,2'!$E$4:$N$604,9,0)</f>
        <v>E124</v>
      </c>
      <c r="N18" s="46" t="str">
        <f>VLOOKUP(B18,'Test 1,2'!$E$4:$N$604,10,0)</f>
        <v>E125</v>
      </c>
    </row>
    <row r="19" spans="2:14" x14ac:dyDescent="0.5">
      <c r="B19" s="46" t="s">
        <v>965</v>
      </c>
      <c r="C19" s="46" t="s">
        <v>1526</v>
      </c>
      <c r="D19" s="46" t="s">
        <v>1325</v>
      </c>
      <c r="E19" s="50">
        <v>44450</v>
      </c>
      <c r="F19" s="46" t="s">
        <v>1527</v>
      </c>
      <c r="G19" s="51">
        <f>VLOOKUP(B19,'Test 1,2'!$E$4:$J$604,6,0)</f>
        <v>4648620</v>
      </c>
      <c r="H19" s="46">
        <f t="shared" si="0"/>
        <v>216</v>
      </c>
      <c r="I19" s="46" t="str">
        <f t="shared" si="1"/>
        <v>100 days and above</v>
      </c>
      <c r="J19" s="46" t="str">
        <f>VLOOKUP(B19,'Test 3'!$E$4:$U$604,15,0)</f>
        <v>Red Flag</v>
      </c>
      <c r="K19" s="46" t="str">
        <f>VLOOKUP(B19,'Test 1,2'!$E$4:$F$604,2,0)</f>
        <v>C237</v>
      </c>
      <c r="L19" s="46" t="str">
        <f>IFERROR(VLOOKUP(K19,'Test 6'!$C$4:$D$9,2,0),"NOT RP")</f>
        <v>Forest Green IT Ltd</v>
      </c>
      <c r="M19" s="46" t="str">
        <f>VLOOKUP(B19,'Test 1,2'!$E$4:$N$604,9,0)</f>
        <v>E125</v>
      </c>
      <c r="N19" s="46" t="str">
        <f>VLOOKUP(B19,'Test 1,2'!$E$4:$N$604,10,0)</f>
        <v>E126</v>
      </c>
    </row>
    <row r="20" spans="2:14" x14ac:dyDescent="0.5">
      <c r="B20" s="46" t="s">
        <v>967</v>
      </c>
      <c r="C20" s="46" t="s">
        <v>1526</v>
      </c>
      <c r="D20" s="46" t="s">
        <v>1324</v>
      </c>
      <c r="E20" s="50">
        <v>44457</v>
      </c>
      <c r="F20" s="46" t="s">
        <v>1527</v>
      </c>
      <c r="G20" s="51">
        <f>VLOOKUP(B20,'Test 1,2'!$E$4:$J$604,6,0)</f>
        <v>4232840</v>
      </c>
      <c r="H20" s="46">
        <f t="shared" si="0"/>
        <v>209</v>
      </c>
      <c r="I20" s="46" t="str">
        <f t="shared" si="1"/>
        <v>100 days and above</v>
      </c>
      <c r="J20" s="46" t="str">
        <f>VLOOKUP(B20,'Test 3'!$E$4:$U$604,15,0)</f>
        <v>Red Flag</v>
      </c>
      <c r="K20" s="46" t="str">
        <f>VLOOKUP(B20,'Test 1,2'!$E$4:$F$604,2,0)</f>
        <v>C237</v>
      </c>
      <c r="L20" s="46" t="str">
        <f>IFERROR(VLOOKUP(K20,'Test 6'!$C$4:$D$9,2,0),"NOT RP")</f>
        <v>Forest Green IT Ltd</v>
      </c>
      <c r="M20" s="46" t="str">
        <f>VLOOKUP(B20,'Test 1,2'!$E$4:$N$604,9,0)</f>
        <v>E124</v>
      </c>
      <c r="N20" s="46" t="str">
        <f>VLOOKUP(B20,'Test 1,2'!$E$4:$N$604,10,0)</f>
        <v>E125</v>
      </c>
    </row>
    <row r="21" spans="2:14" x14ac:dyDescent="0.5">
      <c r="B21" s="46" t="s">
        <v>1034</v>
      </c>
      <c r="C21" s="46" t="s">
        <v>1526</v>
      </c>
      <c r="D21" s="46" t="s">
        <v>1325</v>
      </c>
      <c r="E21" s="50">
        <v>44506</v>
      </c>
      <c r="F21" s="46" t="s">
        <v>1527</v>
      </c>
      <c r="G21" s="51">
        <f>VLOOKUP(B21,'Test 1,2'!$E$4:$J$604,6,0)</f>
        <v>4817700</v>
      </c>
      <c r="H21" s="46">
        <f t="shared" si="0"/>
        <v>160</v>
      </c>
      <c r="I21" s="46" t="str">
        <f t="shared" si="1"/>
        <v>100 days and above</v>
      </c>
      <c r="J21" s="46" t="str">
        <f>VLOOKUP(B21,'Test 3'!$E$4:$U$604,15,0)</f>
        <v>Red Flag</v>
      </c>
      <c r="K21" s="46" t="str">
        <f>VLOOKUP(B21,'Test 1,2'!$E$4:$F$604,2,0)</f>
        <v>C236</v>
      </c>
      <c r="L21" s="46" t="str">
        <f>IFERROR(VLOOKUP(K21,'Test 6'!$C$4:$D$9,2,0),"NOT RP")</f>
        <v>Mint IT Pvt Ltd</v>
      </c>
      <c r="M21" s="46" t="str">
        <f>VLOOKUP(B21,'Test 1,2'!$E$4:$N$604,9,0)</f>
        <v>E125</v>
      </c>
      <c r="N21" s="46" t="str">
        <f>VLOOKUP(B21,'Test 1,2'!$E$4:$N$604,10,0)</f>
        <v>E126</v>
      </c>
    </row>
    <row r="22" spans="2:14" x14ac:dyDescent="0.5">
      <c r="B22" s="46" t="s">
        <v>1041</v>
      </c>
      <c r="C22" s="46" t="s">
        <v>1526</v>
      </c>
      <c r="D22" s="46" t="s">
        <v>1324</v>
      </c>
      <c r="E22" s="50">
        <v>44507</v>
      </c>
      <c r="F22" s="46" t="s">
        <v>1527</v>
      </c>
      <c r="G22" s="51">
        <f>VLOOKUP(B22,'Test 1,2'!$E$4:$J$604,6,0)</f>
        <v>4275330</v>
      </c>
      <c r="H22" s="46">
        <f t="shared" si="0"/>
        <v>159</v>
      </c>
      <c r="I22" s="46" t="str">
        <f t="shared" si="1"/>
        <v>100 days and above</v>
      </c>
      <c r="J22" s="46" t="str">
        <f>VLOOKUP(B22,'Test 3'!$E$4:$U$604,15,0)</f>
        <v>Red Flag</v>
      </c>
      <c r="K22" s="46" t="str">
        <f>VLOOKUP(B22,'Test 1,2'!$E$4:$F$604,2,0)</f>
        <v>C239</v>
      </c>
      <c r="L22" s="46" t="str">
        <f>IFERROR(VLOOKUP(K22,'Test 6'!$C$4:$D$9,2,0),"NOT RP")</f>
        <v>Amber IT Pvt Ltd</v>
      </c>
      <c r="M22" s="46" t="str">
        <f>VLOOKUP(B22,'Test 1,2'!$E$4:$N$604,9,0)</f>
        <v>E123</v>
      </c>
      <c r="N22" s="46" t="str">
        <f>VLOOKUP(B22,'Test 1,2'!$E$4:$N$604,10,0)</f>
        <v>E125</v>
      </c>
    </row>
    <row r="23" spans="2:14" x14ac:dyDescent="0.5">
      <c r="B23" s="46" t="s">
        <v>1049</v>
      </c>
      <c r="C23" s="46" t="s">
        <v>1526</v>
      </c>
      <c r="D23" s="46" t="s">
        <v>1324</v>
      </c>
      <c r="E23" s="50">
        <v>44514</v>
      </c>
      <c r="F23" s="46" t="s">
        <v>1527</v>
      </c>
      <c r="G23" s="51">
        <f>VLOOKUP(B23,'Test 1,2'!$E$4:$J$604,6,0)</f>
        <v>4441560</v>
      </c>
      <c r="H23" s="46">
        <f t="shared" si="0"/>
        <v>152</v>
      </c>
      <c r="I23" s="46" t="str">
        <f t="shared" si="1"/>
        <v>100 days and above</v>
      </c>
      <c r="J23" s="46" t="str">
        <f>VLOOKUP(B23,'Test 3'!$E$4:$U$604,15,0)</f>
        <v>Red Flag</v>
      </c>
      <c r="K23" s="46" t="str">
        <f>VLOOKUP(B23,'Test 1,2'!$E$4:$F$604,2,0)</f>
        <v>C238</v>
      </c>
      <c r="L23" s="46" t="str">
        <f>IFERROR(VLOOKUP(K23,'Test 6'!$C$4:$D$9,2,0),"NOT RP")</f>
        <v>Chartreuse Software Pvt Ltd</v>
      </c>
      <c r="M23" s="46" t="str">
        <f>VLOOKUP(B23,'Test 1,2'!$E$4:$N$604,9,0)</f>
        <v>E123</v>
      </c>
      <c r="N23" s="46" t="str">
        <f>VLOOKUP(B23,'Test 1,2'!$E$4:$N$604,10,0)</f>
        <v>E125</v>
      </c>
    </row>
    <row r="24" spans="2:14" x14ac:dyDescent="0.5">
      <c r="B24" s="46" t="s">
        <v>1082</v>
      </c>
      <c r="C24" s="46" t="s">
        <v>1526</v>
      </c>
      <c r="D24" s="46" t="s">
        <v>1324</v>
      </c>
      <c r="E24" s="50">
        <v>44535</v>
      </c>
      <c r="F24" s="46" t="s">
        <v>1527</v>
      </c>
      <c r="G24" s="51">
        <f>VLOOKUP(B24,'Test 1,2'!$E$4:$J$604,6,0)</f>
        <v>4050320</v>
      </c>
      <c r="H24" s="46">
        <f t="shared" si="0"/>
        <v>131</v>
      </c>
      <c r="I24" s="46" t="str">
        <f t="shared" si="1"/>
        <v>100 days and above</v>
      </c>
      <c r="J24" s="46" t="str">
        <f>VLOOKUP(B24,'Test 3'!$E$4:$U$604,15,0)</f>
        <v>Red Flag</v>
      </c>
      <c r="K24" s="46" t="str">
        <f>VLOOKUP(B24,'Test 1,2'!$E$4:$F$604,2,0)</f>
        <v>C238</v>
      </c>
      <c r="L24" s="46" t="str">
        <f>IFERROR(VLOOKUP(K24,'Test 6'!$C$4:$D$9,2,0),"NOT RP")</f>
        <v>Chartreuse Software Pvt Ltd</v>
      </c>
      <c r="M24" s="46" t="str">
        <f>VLOOKUP(B24,'Test 1,2'!$E$4:$N$604,9,0)</f>
        <v>E124</v>
      </c>
      <c r="N24" s="46" t="str">
        <f>VLOOKUP(B24,'Test 1,2'!$E$4:$N$604,10,0)</f>
        <v>E125</v>
      </c>
    </row>
    <row r="25" spans="2:14" x14ac:dyDescent="0.5">
      <c r="B25" s="46" t="s">
        <v>1114</v>
      </c>
      <c r="C25" s="46" t="s">
        <v>1526</v>
      </c>
      <c r="D25" s="46" t="s">
        <v>1325</v>
      </c>
      <c r="E25" s="50">
        <v>44541</v>
      </c>
      <c r="F25" s="46" t="s">
        <v>1527</v>
      </c>
      <c r="G25" s="51">
        <f>VLOOKUP(B25,'Test 1,2'!$E$4:$J$604,6,0)</f>
        <v>4918360</v>
      </c>
      <c r="H25" s="46">
        <f t="shared" si="0"/>
        <v>125</v>
      </c>
      <c r="I25" s="46" t="str">
        <f t="shared" si="1"/>
        <v>100 days and above</v>
      </c>
      <c r="J25" s="46" t="str">
        <f>VLOOKUP(B25,'Test 3'!$E$4:$U$604,15,0)</f>
        <v>Red Flag</v>
      </c>
      <c r="K25" s="46" t="str">
        <f>VLOOKUP(B25,'Test 1,2'!$E$4:$F$604,2,0)</f>
        <v>C238</v>
      </c>
      <c r="L25" s="46" t="str">
        <f>IFERROR(VLOOKUP(K25,'Test 6'!$C$4:$D$9,2,0),"NOT RP")</f>
        <v>Chartreuse Software Pvt Ltd</v>
      </c>
      <c r="M25" s="46" t="str">
        <f>VLOOKUP(B25,'Test 1,2'!$E$4:$N$604,9,0)</f>
        <v>E125</v>
      </c>
      <c r="N25" s="46" t="str">
        <f>VLOOKUP(B25,'Test 1,2'!$E$4:$N$604,10,0)</f>
        <v>E126</v>
      </c>
    </row>
    <row r="26" spans="2:14" x14ac:dyDescent="0.5">
      <c r="B26" s="46" t="s">
        <v>1096</v>
      </c>
      <c r="C26" s="46" t="s">
        <v>1526</v>
      </c>
      <c r="D26" s="46" t="s">
        <v>1324</v>
      </c>
      <c r="E26" s="50">
        <v>44542</v>
      </c>
      <c r="F26" s="46" t="s">
        <v>1527</v>
      </c>
      <c r="G26" s="51">
        <f>VLOOKUP(B26,'Test 1,2'!$E$4:$J$604,6,0)</f>
        <v>4463340</v>
      </c>
      <c r="H26" s="46">
        <f t="shared" si="0"/>
        <v>124</v>
      </c>
      <c r="I26" s="46" t="str">
        <f t="shared" si="1"/>
        <v>100 days and above</v>
      </c>
      <c r="J26" s="46" t="str">
        <f>VLOOKUP(B26,'Test 3'!$E$4:$U$604,15,0)</f>
        <v>Red Flag</v>
      </c>
      <c r="K26" s="46" t="str">
        <f>VLOOKUP(B26,'Test 1,2'!$E$4:$F$604,2,0)</f>
        <v>C240</v>
      </c>
      <c r="L26" s="46" t="str">
        <f>IFERROR(VLOOKUP(K26,'Test 6'!$C$4:$D$9,2,0),"NOT RP")</f>
        <v>Mustard IT Ltd</v>
      </c>
      <c r="M26" s="46" t="str">
        <f>VLOOKUP(B26,'Test 1,2'!$E$4:$N$604,9,0)</f>
        <v>E123</v>
      </c>
      <c r="N26" s="46" t="str">
        <f>VLOOKUP(B26,'Test 1,2'!$E$4:$N$604,10,0)</f>
        <v>E125</v>
      </c>
    </row>
    <row r="27" spans="2:14" x14ac:dyDescent="0.5">
      <c r="B27" s="46" t="s">
        <v>1128</v>
      </c>
      <c r="C27" s="46" t="s">
        <v>1526</v>
      </c>
      <c r="D27" s="46" t="s">
        <v>1325</v>
      </c>
      <c r="E27" s="50">
        <v>44548</v>
      </c>
      <c r="F27" s="46" t="s">
        <v>1527</v>
      </c>
      <c r="G27" s="51">
        <f>VLOOKUP(B27,'Test 1,2'!$E$4:$J$604,6,0)</f>
        <v>4823470</v>
      </c>
      <c r="H27" s="46">
        <f t="shared" si="0"/>
        <v>118</v>
      </c>
      <c r="I27" s="46" t="str">
        <f t="shared" si="1"/>
        <v>100 days and above</v>
      </c>
      <c r="J27" s="46" t="str">
        <f>VLOOKUP(B27,'Test 3'!$E$4:$U$604,15,0)</f>
        <v>Red Flag</v>
      </c>
      <c r="K27" s="46" t="str">
        <f>VLOOKUP(B27,'Test 1,2'!$E$4:$F$604,2,0)</f>
        <v>C240</v>
      </c>
      <c r="L27" s="46" t="str">
        <f>IFERROR(VLOOKUP(K27,'Test 6'!$C$4:$D$9,2,0),"NOT RP")</f>
        <v>Mustard IT Ltd</v>
      </c>
      <c r="M27" s="46" t="str">
        <f>VLOOKUP(B27,'Test 1,2'!$E$4:$N$604,9,0)</f>
        <v>E125</v>
      </c>
      <c r="N27" s="46" t="str">
        <f>VLOOKUP(B27,'Test 1,2'!$E$4:$N$604,10,0)</f>
        <v>E126</v>
      </c>
    </row>
    <row r="28" spans="2:14" x14ac:dyDescent="0.5">
      <c r="B28" s="46" t="s">
        <v>1126</v>
      </c>
      <c r="C28" s="46" t="s">
        <v>1526</v>
      </c>
      <c r="D28" s="46" t="s">
        <v>1325</v>
      </c>
      <c r="E28" s="50">
        <v>44549</v>
      </c>
      <c r="F28" s="46" t="s">
        <v>1527</v>
      </c>
      <c r="G28" s="51">
        <f>VLOOKUP(B28,'Test 1,2'!$E$4:$J$604,6,0)</f>
        <v>4924520</v>
      </c>
      <c r="H28" s="46">
        <f t="shared" si="0"/>
        <v>117</v>
      </c>
      <c r="I28" s="46" t="str">
        <f t="shared" si="1"/>
        <v>100 days and above</v>
      </c>
      <c r="J28" s="46" t="str">
        <f>VLOOKUP(B28,'Test 3'!$E$4:$U$604,15,0)</f>
        <v>Red Flag</v>
      </c>
      <c r="K28" s="46" t="str">
        <f>VLOOKUP(B28,'Test 1,2'!$E$4:$F$604,2,0)</f>
        <v>C238</v>
      </c>
      <c r="L28" s="46" t="str">
        <f>IFERROR(VLOOKUP(K28,'Test 6'!$C$4:$D$9,2,0),"NOT RP")</f>
        <v>Chartreuse Software Pvt Ltd</v>
      </c>
      <c r="M28" s="46" t="str">
        <f>VLOOKUP(B28,'Test 1,2'!$E$4:$N$604,9,0)</f>
        <v>E125</v>
      </c>
      <c r="N28" s="46" t="str">
        <f>VLOOKUP(B28,'Test 1,2'!$E$4:$N$604,10,0)</f>
        <v>E126</v>
      </c>
    </row>
    <row r="29" spans="2:14" x14ac:dyDescent="0.5">
      <c r="B29" s="46" t="s">
        <v>1146</v>
      </c>
      <c r="C29" s="46" t="s">
        <v>1526</v>
      </c>
      <c r="D29" s="46" t="s">
        <v>1324</v>
      </c>
      <c r="E29" s="50">
        <v>44563</v>
      </c>
      <c r="F29" s="46" t="s">
        <v>1527</v>
      </c>
      <c r="G29" s="51">
        <f>VLOOKUP(B29,'Test 1,2'!$E$4:$J$604,6,0)</f>
        <v>4363500</v>
      </c>
      <c r="H29" s="46">
        <f t="shared" si="0"/>
        <v>103</v>
      </c>
      <c r="I29" s="46" t="str">
        <f t="shared" si="1"/>
        <v>100 days and above</v>
      </c>
      <c r="J29" s="46" t="str">
        <f>VLOOKUP(B29,'Test 3'!$E$4:$U$604,15,0)</f>
        <v>Red Flag</v>
      </c>
      <c r="K29" s="46" t="str">
        <f>VLOOKUP(B29,'Test 1,2'!$E$4:$F$604,2,0)</f>
        <v>C237</v>
      </c>
      <c r="L29" s="46" t="str">
        <f>IFERROR(VLOOKUP(K29,'Test 6'!$C$4:$D$9,2,0),"NOT RP")</f>
        <v>Forest Green IT Ltd</v>
      </c>
      <c r="M29" s="46" t="str">
        <f>VLOOKUP(B29,'Test 1,2'!$E$4:$N$604,9,0)</f>
        <v>E123</v>
      </c>
      <c r="N29" s="46" t="str">
        <f>VLOOKUP(B29,'Test 1,2'!$E$4:$N$604,10,0)</f>
        <v>E125</v>
      </c>
    </row>
    <row r="30" spans="2:14" x14ac:dyDescent="0.5">
      <c r="B30" s="46" t="s">
        <v>1160</v>
      </c>
      <c r="C30" s="46" t="s">
        <v>1526</v>
      </c>
      <c r="D30" s="46" t="s">
        <v>1324</v>
      </c>
      <c r="E30" s="50">
        <v>44572</v>
      </c>
      <c r="F30" s="46" t="s">
        <v>1527</v>
      </c>
      <c r="G30" s="51">
        <f>VLOOKUP(B30,'Test 1,2'!$E$4:$J$604,6,0)</f>
        <v>303440</v>
      </c>
      <c r="H30" s="46">
        <f t="shared" si="0"/>
        <v>94</v>
      </c>
      <c r="I30" s="46" t="str">
        <f t="shared" si="1"/>
        <v>Below 100 days</v>
      </c>
      <c r="J30" s="46" t="str">
        <f>VLOOKUP(B30,'Test 3'!$E$4:$U$604,15,0)</f>
        <v>Pass</v>
      </c>
      <c r="K30" s="46" t="str">
        <f>VLOOKUP(B30,'Test 1,2'!$E$4:$F$604,2,0)</f>
        <v>C222</v>
      </c>
      <c r="L30" s="46" t="str">
        <f>IFERROR(VLOOKUP(K30,'Test 6'!$C$4:$D$9,2,0),"NOT RP")</f>
        <v>NOT RP</v>
      </c>
      <c r="M30" s="46" t="str">
        <f>VLOOKUP(B30,'Test 1,2'!$E$4:$N$604,9,0)</f>
        <v>E114</v>
      </c>
      <c r="N30" s="46" t="str">
        <f>VLOOKUP(B30,'Test 1,2'!$E$4:$N$604,10,0)</f>
        <v>E120</v>
      </c>
    </row>
    <row r="31" spans="2:14" x14ac:dyDescent="0.5">
      <c r="B31" s="46" t="s">
        <v>1166</v>
      </c>
      <c r="C31" s="46" t="s">
        <v>1526</v>
      </c>
      <c r="D31" s="46" t="s">
        <v>1325</v>
      </c>
      <c r="E31" s="50">
        <v>44577</v>
      </c>
      <c r="F31" s="46" t="s">
        <v>1527</v>
      </c>
      <c r="G31" s="51">
        <f>VLOOKUP(B31,'Test 1,2'!$E$4:$J$604,6,0)</f>
        <v>4847720</v>
      </c>
      <c r="H31" s="46">
        <f t="shared" si="0"/>
        <v>89</v>
      </c>
      <c r="I31" s="46" t="str">
        <f t="shared" si="1"/>
        <v>Below 100 days</v>
      </c>
      <c r="J31" s="46" t="str">
        <f>VLOOKUP(B31,'Test 3'!$E$4:$U$604,15,0)</f>
        <v>Red Flag</v>
      </c>
      <c r="K31" s="46" t="str">
        <f>VLOOKUP(B31,'Test 1,2'!$E$4:$F$604,2,0)</f>
        <v>C236</v>
      </c>
      <c r="L31" s="46" t="str">
        <f>IFERROR(VLOOKUP(K31,'Test 6'!$C$4:$D$9,2,0),"NOT RP")</f>
        <v>Mint IT Pvt Ltd</v>
      </c>
      <c r="M31" s="46" t="str">
        <f>VLOOKUP(B31,'Test 1,2'!$E$4:$N$604,9,0)</f>
        <v>E125</v>
      </c>
      <c r="N31" s="46" t="str">
        <f>VLOOKUP(B31,'Test 1,2'!$E$4:$N$604,10,0)</f>
        <v>E126</v>
      </c>
    </row>
    <row r="32" spans="2:14" x14ac:dyDescent="0.5">
      <c r="B32" s="46" t="s">
        <v>1176</v>
      </c>
      <c r="C32" s="46" t="s">
        <v>1526</v>
      </c>
      <c r="D32" s="46" t="s">
        <v>1324</v>
      </c>
      <c r="E32" s="50">
        <v>44578</v>
      </c>
      <c r="F32" s="46" t="s">
        <v>1527</v>
      </c>
      <c r="G32" s="51">
        <f>VLOOKUP(B32,'Test 1,2'!$E$4:$J$604,6,0)</f>
        <v>36930</v>
      </c>
      <c r="H32" s="46">
        <f t="shared" si="0"/>
        <v>88</v>
      </c>
      <c r="I32" s="46" t="str">
        <f t="shared" si="1"/>
        <v>Below 100 days</v>
      </c>
      <c r="J32" s="46" t="str">
        <f>VLOOKUP(B32,'Test 3'!$E$4:$U$604,15,0)</f>
        <v>Pass</v>
      </c>
      <c r="K32" s="46" t="str">
        <f>VLOOKUP(B32,'Test 1,2'!$E$4:$F$604,2,0)</f>
        <v>C230</v>
      </c>
      <c r="L32" s="46" t="str">
        <f>IFERROR(VLOOKUP(K32,'Test 6'!$C$4:$D$9,2,0),"NOT RP")</f>
        <v>NOT RP</v>
      </c>
      <c r="M32" s="46" t="str">
        <f>VLOOKUP(B32,'Test 1,2'!$E$4:$N$604,9,0)</f>
        <v>E104</v>
      </c>
      <c r="N32" s="46" t="str">
        <f>VLOOKUP(B32,'Test 1,2'!$E$4:$N$604,10,0)</f>
        <v>E113</v>
      </c>
    </row>
    <row r="33" spans="2:14" x14ac:dyDescent="0.5">
      <c r="B33" s="46" t="s">
        <v>1182</v>
      </c>
      <c r="C33" s="46" t="s">
        <v>1526</v>
      </c>
      <c r="D33" s="46" t="s">
        <v>1324</v>
      </c>
      <c r="E33" s="50">
        <v>44581</v>
      </c>
      <c r="F33" s="46" t="s">
        <v>1527</v>
      </c>
      <c r="G33" s="51">
        <f>VLOOKUP(B33,'Test 1,2'!$E$4:$J$604,6,0)</f>
        <v>427480</v>
      </c>
      <c r="H33" s="46">
        <f t="shared" si="0"/>
        <v>85</v>
      </c>
      <c r="I33" s="46" t="str">
        <f t="shared" si="1"/>
        <v>Below 100 days</v>
      </c>
      <c r="J33" s="46" t="str">
        <f>VLOOKUP(B33,'Test 3'!$E$4:$U$604,15,0)</f>
        <v>Pass</v>
      </c>
      <c r="K33" s="46" t="str">
        <f>VLOOKUP(B33,'Test 1,2'!$E$4:$F$604,2,0)</f>
        <v>C217</v>
      </c>
      <c r="L33" s="46" t="str">
        <f>IFERROR(VLOOKUP(K33,'Test 6'!$C$4:$D$9,2,0),"NOT RP")</f>
        <v>NOT RP</v>
      </c>
      <c r="M33" s="46" t="str">
        <f>VLOOKUP(B33,'Test 1,2'!$E$4:$N$604,9,0)</f>
        <v>E114</v>
      </c>
      <c r="N33" s="46" t="str">
        <f>VLOOKUP(B33,'Test 1,2'!$E$4:$N$604,10,0)</f>
        <v>E121</v>
      </c>
    </row>
    <row r="34" spans="2:14" x14ac:dyDescent="0.5">
      <c r="B34" s="46" t="s">
        <v>1184</v>
      </c>
      <c r="C34" s="46" t="s">
        <v>1526</v>
      </c>
      <c r="D34" s="46" t="s">
        <v>1324</v>
      </c>
      <c r="E34" s="50">
        <v>44581</v>
      </c>
      <c r="F34" s="46" t="s">
        <v>1527</v>
      </c>
      <c r="G34" s="51">
        <f>VLOOKUP(B34,'Test 1,2'!$E$4:$J$604,6,0)</f>
        <v>29260</v>
      </c>
      <c r="H34" s="46">
        <f t="shared" si="0"/>
        <v>85</v>
      </c>
      <c r="I34" s="46" t="str">
        <f t="shared" si="1"/>
        <v>Below 100 days</v>
      </c>
      <c r="J34" s="46" t="str">
        <f>VLOOKUP(B34,'Test 3'!$E$4:$U$604,15,0)</f>
        <v>Pass</v>
      </c>
      <c r="K34" s="46" t="str">
        <f>VLOOKUP(B34,'Test 1,2'!$E$4:$F$604,2,0)</f>
        <v>C218</v>
      </c>
      <c r="L34" s="46" t="str">
        <f>IFERROR(VLOOKUP(K34,'Test 6'!$C$4:$D$9,2,0),"NOT RP")</f>
        <v>NOT RP</v>
      </c>
      <c r="M34" s="46" t="str">
        <f>VLOOKUP(B34,'Test 1,2'!$E$4:$N$604,9,0)</f>
        <v>E109</v>
      </c>
      <c r="N34" s="46" t="str">
        <f>VLOOKUP(B34,'Test 1,2'!$E$4:$N$604,10,0)</f>
        <v>E111</v>
      </c>
    </row>
    <row r="35" spans="2:14" x14ac:dyDescent="0.5">
      <c r="B35" s="46" t="s">
        <v>1186</v>
      </c>
      <c r="C35" s="46" t="s">
        <v>1526</v>
      </c>
      <c r="D35" s="46" t="s">
        <v>1325</v>
      </c>
      <c r="E35" s="50">
        <v>44581</v>
      </c>
      <c r="F35" s="46" t="s">
        <v>1527</v>
      </c>
      <c r="G35" s="51">
        <f>VLOOKUP(B35,'Test 1,2'!$E$4:$J$604,6,0)</f>
        <v>6181180</v>
      </c>
      <c r="H35" s="46">
        <f t="shared" si="0"/>
        <v>85</v>
      </c>
      <c r="I35" s="46" t="str">
        <f t="shared" si="1"/>
        <v>Below 100 days</v>
      </c>
      <c r="J35" s="46" t="str">
        <f>VLOOKUP(B35,'Test 3'!$E$4:$U$604,15,0)</f>
        <v>Pass</v>
      </c>
      <c r="K35" s="46" t="str">
        <f>VLOOKUP(B35,'Test 1,2'!$E$4:$F$604,2,0)</f>
        <v>C213</v>
      </c>
      <c r="L35" s="46" t="str">
        <f>IFERROR(VLOOKUP(K35,'Test 6'!$C$4:$D$9,2,0),"NOT RP")</f>
        <v>NOT RP</v>
      </c>
      <c r="M35" s="46" t="str">
        <f>VLOOKUP(B35,'Test 1,2'!$E$4:$N$604,9,0)</f>
        <v>E125</v>
      </c>
      <c r="N35" s="46" t="str">
        <f>VLOOKUP(B35,'Test 1,2'!$E$4:$N$604,10,0)</f>
        <v>E126</v>
      </c>
    </row>
    <row r="36" spans="2:14" x14ac:dyDescent="0.5">
      <c r="B36" s="46" t="s">
        <v>1178</v>
      </c>
      <c r="C36" s="46" t="s">
        <v>1526</v>
      </c>
      <c r="D36" s="46" t="s">
        <v>1325</v>
      </c>
      <c r="E36" s="50">
        <v>44583</v>
      </c>
      <c r="F36" s="46" t="s">
        <v>1527</v>
      </c>
      <c r="G36" s="51">
        <f>VLOOKUP(B36,'Test 1,2'!$E$4:$J$604,6,0)</f>
        <v>4651520</v>
      </c>
      <c r="H36" s="46">
        <f t="shared" si="0"/>
        <v>83</v>
      </c>
      <c r="I36" s="46" t="str">
        <f t="shared" si="1"/>
        <v>Below 100 days</v>
      </c>
      <c r="J36" s="46" t="str">
        <f>VLOOKUP(B36,'Test 3'!$E$4:$U$604,15,0)</f>
        <v>Red Flag</v>
      </c>
      <c r="K36" s="46" t="str">
        <f>VLOOKUP(B36,'Test 1,2'!$E$4:$F$604,2,0)</f>
        <v>C239</v>
      </c>
      <c r="L36" s="46" t="str">
        <f>IFERROR(VLOOKUP(K36,'Test 6'!$C$4:$D$9,2,0),"NOT RP")</f>
        <v>Amber IT Pvt Ltd</v>
      </c>
      <c r="M36" s="46" t="str">
        <f>VLOOKUP(B36,'Test 1,2'!$E$4:$N$604,9,0)</f>
        <v>E125</v>
      </c>
      <c r="N36" s="46" t="str">
        <f>VLOOKUP(B36,'Test 1,2'!$E$4:$N$604,10,0)</f>
        <v>E126</v>
      </c>
    </row>
    <row r="37" spans="2:14" x14ac:dyDescent="0.5">
      <c r="B37" s="46" t="s">
        <v>1190</v>
      </c>
      <c r="C37" s="46" t="s">
        <v>1526</v>
      </c>
      <c r="D37" s="46" t="s">
        <v>1324</v>
      </c>
      <c r="E37" s="50">
        <v>44583</v>
      </c>
      <c r="F37" s="46" t="s">
        <v>1527</v>
      </c>
      <c r="G37" s="51">
        <f>VLOOKUP(B37,'Test 1,2'!$E$4:$J$604,6,0)</f>
        <v>470540</v>
      </c>
      <c r="H37" s="46">
        <f t="shared" si="0"/>
        <v>83</v>
      </c>
      <c r="I37" s="46" t="str">
        <f t="shared" si="1"/>
        <v>Below 100 days</v>
      </c>
      <c r="J37" s="46" t="str">
        <f>VLOOKUP(B37,'Test 3'!$E$4:$U$604,15,0)</f>
        <v>Pass</v>
      </c>
      <c r="K37" s="46" t="str">
        <f>VLOOKUP(B37,'Test 1,2'!$E$4:$F$604,2,0)</f>
        <v>C230</v>
      </c>
      <c r="L37" s="46" t="str">
        <f>IFERROR(VLOOKUP(K37,'Test 6'!$C$4:$D$9,2,0),"NOT RP")</f>
        <v>NOT RP</v>
      </c>
      <c r="M37" s="46" t="str">
        <f>VLOOKUP(B37,'Test 1,2'!$E$4:$N$604,9,0)</f>
        <v>E113</v>
      </c>
      <c r="N37" s="46" t="str">
        <f>VLOOKUP(B37,'Test 1,2'!$E$4:$N$604,10,0)</f>
        <v>E120</v>
      </c>
    </row>
    <row r="38" spans="2:14" x14ac:dyDescent="0.5">
      <c r="B38" s="46" t="s">
        <v>1204</v>
      </c>
      <c r="C38" s="46" t="s">
        <v>1526</v>
      </c>
      <c r="D38" s="46" t="s">
        <v>1324</v>
      </c>
      <c r="E38" s="50">
        <v>44590</v>
      </c>
      <c r="F38" s="46" t="s">
        <v>1527</v>
      </c>
      <c r="G38" s="51">
        <f>VLOOKUP(B38,'Test 1,2'!$E$4:$J$604,6,0)</f>
        <v>474250</v>
      </c>
      <c r="H38" s="46">
        <f t="shared" si="0"/>
        <v>76</v>
      </c>
      <c r="I38" s="46" t="str">
        <f t="shared" si="1"/>
        <v>Below 100 days</v>
      </c>
      <c r="J38" s="46" t="str">
        <f>VLOOKUP(B38,'Test 3'!$E$4:$U$604,15,0)</f>
        <v>Pass</v>
      </c>
      <c r="K38" s="46" t="str">
        <f>VLOOKUP(B38,'Test 1,2'!$E$4:$F$604,2,0)</f>
        <v>C204</v>
      </c>
      <c r="L38" s="46" t="str">
        <f>IFERROR(VLOOKUP(K38,'Test 6'!$C$4:$D$9,2,0),"NOT RP")</f>
        <v>NOT RP</v>
      </c>
      <c r="M38" s="46" t="str">
        <f>VLOOKUP(B38,'Test 1,2'!$E$4:$N$604,9,0)</f>
        <v>E111</v>
      </c>
      <c r="N38" s="46" t="str">
        <f>VLOOKUP(B38,'Test 1,2'!$E$4:$N$604,10,0)</f>
        <v>E121</v>
      </c>
    </row>
    <row r="39" spans="2:14" x14ac:dyDescent="0.5">
      <c r="B39" s="46" t="s">
        <v>1206</v>
      </c>
      <c r="C39" s="46" t="s">
        <v>1526</v>
      </c>
      <c r="D39" s="46" t="s">
        <v>1324</v>
      </c>
      <c r="E39" s="50">
        <v>44592</v>
      </c>
      <c r="F39" s="46" t="s">
        <v>1527</v>
      </c>
      <c r="G39" s="51">
        <f>VLOOKUP(B39,'Test 1,2'!$E$4:$J$604,6,0)</f>
        <v>469070</v>
      </c>
      <c r="H39" s="46">
        <f t="shared" si="0"/>
        <v>74</v>
      </c>
      <c r="I39" s="46" t="str">
        <f t="shared" si="1"/>
        <v>Below 100 days</v>
      </c>
      <c r="J39" s="46" t="str">
        <f>VLOOKUP(B39,'Test 3'!$E$4:$U$604,15,0)</f>
        <v>Pass</v>
      </c>
      <c r="K39" s="46" t="str">
        <f>VLOOKUP(B39,'Test 1,2'!$E$4:$F$604,2,0)</f>
        <v>C224</v>
      </c>
      <c r="L39" s="46" t="str">
        <f>IFERROR(VLOOKUP(K39,'Test 6'!$C$4:$D$9,2,0),"NOT RP")</f>
        <v>NOT RP</v>
      </c>
      <c r="M39" s="46" t="str">
        <f>VLOOKUP(B39,'Test 1,2'!$E$4:$N$604,9,0)</f>
        <v>E112</v>
      </c>
      <c r="N39" s="46" t="str">
        <f>VLOOKUP(B39,'Test 1,2'!$E$4:$N$604,10,0)</f>
        <v>E121</v>
      </c>
    </row>
    <row r="40" spans="2:14" x14ac:dyDescent="0.5">
      <c r="B40" s="46" t="s">
        <v>1218</v>
      </c>
      <c r="C40" s="46" t="s">
        <v>1526</v>
      </c>
      <c r="D40" s="46" t="s">
        <v>1324</v>
      </c>
      <c r="E40" s="50">
        <v>44596</v>
      </c>
      <c r="F40" s="46" t="s">
        <v>1527</v>
      </c>
      <c r="G40" s="51">
        <f>VLOOKUP(B40,'Test 1,2'!$E$4:$J$604,6,0)</f>
        <v>331430</v>
      </c>
      <c r="H40" s="46">
        <f t="shared" si="0"/>
        <v>70</v>
      </c>
      <c r="I40" s="46" t="str">
        <f t="shared" si="1"/>
        <v>Below 100 days</v>
      </c>
      <c r="J40" s="46" t="str">
        <f>VLOOKUP(B40,'Test 3'!$E$4:$U$604,15,0)</f>
        <v>Pass</v>
      </c>
      <c r="K40" s="46" t="str">
        <f>VLOOKUP(B40,'Test 1,2'!$E$4:$F$604,2,0)</f>
        <v>C209</v>
      </c>
      <c r="L40" s="46" t="str">
        <f>IFERROR(VLOOKUP(K40,'Test 6'!$C$4:$D$9,2,0),"NOT RP")</f>
        <v>NOT RP</v>
      </c>
      <c r="M40" s="46" t="str">
        <f>VLOOKUP(B40,'Test 1,2'!$E$4:$N$604,9,0)</f>
        <v>E114</v>
      </c>
      <c r="N40" s="46" t="str">
        <f>VLOOKUP(B40,'Test 1,2'!$E$4:$N$604,10,0)</f>
        <v>E121</v>
      </c>
    </row>
    <row r="41" spans="2:14" x14ac:dyDescent="0.5">
      <c r="B41" s="46" t="s">
        <v>1232</v>
      </c>
      <c r="C41" s="46" t="s">
        <v>1526</v>
      </c>
      <c r="D41" s="46" t="s">
        <v>1324</v>
      </c>
      <c r="E41" s="50">
        <v>44606</v>
      </c>
      <c r="F41" s="46" t="s">
        <v>1527</v>
      </c>
      <c r="G41" s="51">
        <f>VLOOKUP(B41,'Test 1,2'!$E$4:$J$604,6,0)</f>
        <v>49630</v>
      </c>
      <c r="H41" s="46">
        <f t="shared" si="0"/>
        <v>60</v>
      </c>
      <c r="I41" s="46" t="str">
        <f t="shared" si="1"/>
        <v>Below 100 days</v>
      </c>
      <c r="J41" s="46" t="str">
        <f>VLOOKUP(B41,'Test 3'!$E$4:$U$604,15,0)</f>
        <v>Pass</v>
      </c>
      <c r="K41" s="46" t="str">
        <f>VLOOKUP(B41,'Test 1,2'!$E$4:$F$604,2,0)</f>
        <v>C236</v>
      </c>
      <c r="L41" s="46" t="str">
        <f>IFERROR(VLOOKUP(K41,'Test 6'!$C$4:$D$9,2,0),"NOT RP")</f>
        <v>Mint IT Pvt Ltd</v>
      </c>
      <c r="M41" s="46" t="str">
        <f>VLOOKUP(B41,'Test 1,2'!$E$4:$N$604,9,0)</f>
        <v>E109</v>
      </c>
      <c r="N41" s="46" t="str">
        <f>VLOOKUP(B41,'Test 1,2'!$E$4:$N$604,10,0)</f>
        <v>E113</v>
      </c>
    </row>
    <row r="42" spans="2:14" x14ac:dyDescent="0.5">
      <c r="B42" s="46" t="s">
        <v>1252</v>
      </c>
      <c r="C42" s="46" t="s">
        <v>1526</v>
      </c>
      <c r="D42" s="46" t="s">
        <v>1324</v>
      </c>
      <c r="E42" s="50">
        <v>44616</v>
      </c>
      <c r="F42" s="46" t="s">
        <v>1527</v>
      </c>
      <c r="G42" s="51">
        <f>VLOOKUP(B42,'Test 1,2'!$E$4:$J$604,6,0)</f>
        <v>287210</v>
      </c>
      <c r="H42" s="46">
        <f t="shared" si="0"/>
        <v>50</v>
      </c>
      <c r="I42" s="46" t="str">
        <f t="shared" si="1"/>
        <v>Below 100 days</v>
      </c>
      <c r="J42" s="46" t="str">
        <f>VLOOKUP(B42,'Test 3'!$E$4:$U$604,15,0)</f>
        <v>Pass</v>
      </c>
      <c r="K42" s="46" t="str">
        <f>VLOOKUP(B42,'Test 1,2'!$E$4:$F$604,2,0)</f>
        <v>C247</v>
      </c>
      <c r="L42" s="46" t="str">
        <f>IFERROR(VLOOKUP(K42,'Test 6'!$C$4:$D$9,2,0),"NOT RP")</f>
        <v>NOT RP</v>
      </c>
      <c r="M42" s="46" t="str">
        <f>VLOOKUP(B42,'Test 1,2'!$E$4:$N$604,9,0)</f>
        <v>E113</v>
      </c>
      <c r="N42" s="46" t="str">
        <f>VLOOKUP(B42,'Test 1,2'!$E$4:$N$604,10,0)</f>
        <v>E120</v>
      </c>
    </row>
    <row r="43" spans="2:14" x14ac:dyDescent="0.5">
      <c r="B43" s="46" t="s">
        <v>1264</v>
      </c>
      <c r="C43" s="46" t="s">
        <v>1526</v>
      </c>
      <c r="D43" s="46" t="s">
        <v>1324</v>
      </c>
      <c r="E43" s="50">
        <v>44620</v>
      </c>
      <c r="F43" s="46" t="s">
        <v>1527</v>
      </c>
      <c r="G43" s="51">
        <f>VLOOKUP(B43,'Test 1,2'!$E$4:$J$604,6,0)</f>
        <v>464250</v>
      </c>
      <c r="H43" s="46">
        <f t="shared" si="0"/>
        <v>46</v>
      </c>
      <c r="I43" s="46" t="str">
        <f t="shared" si="1"/>
        <v>Below 50 days</v>
      </c>
      <c r="J43" s="46" t="str">
        <f>VLOOKUP(B43,'Test 3'!$E$4:$U$604,15,0)</f>
        <v>Pass</v>
      </c>
      <c r="K43" s="46" t="str">
        <f>VLOOKUP(B43,'Test 1,2'!$E$4:$F$604,2,0)</f>
        <v>C220</v>
      </c>
      <c r="L43" s="46" t="str">
        <f>IFERROR(VLOOKUP(K43,'Test 6'!$C$4:$D$9,2,0),"NOT RP")</f>
        <v>NOT RP</v>
      </c>
      <c r="M43" s="46" t="str">
        <f>VLOOKUP(B43,'Test 1,2'!$E$4:$N$604,9,0)</f>
        <v>E116</v>
      </c>
      <c r="N43" s="46" t="str">
        <f>VLOOKUP(B43,'Test 1,2'!$E$4:$N$604,10,0)</f>
        <v>E117</v>
      </c>
    </row>
    <row r="44" spans="2:14" x14ac:dyDescent="0.5">
      <c r="B44" s="46" t="s">
        <v>1258</v>
      </c>
      <c r="C44" s="46" t="s">
        <v>1526</v>
      </c>
      <c r="D44" s="46" t="s">
        <v>1324</v>
      </c>
      <c r="E44" s="50">
        <v>44620</v>
      </c>
      <c r="F44" s="46" t="s">
        <v>1527</v>
      </c>
      <c r="G44" s="51">
        <f>VLOOKUP(B44,'Test 1,2'!$E$4:$J$604,6,0)</f>
        <v>372850</v>
      </c>
      <c r="H44" s="46">
        <f t="shared" si="0"/>
        <v>46</v>
      </c>
      <c r="I44" s="46" t="str">
        <f t="shared" si="1"/>
        <v>Below 50 days</v>
      </c>
      <c r="J44" s="46" t="str">
        <f>VLOOKUP(B44,'Test 3'!$E$4:$U$604,15,0)</f>
        <v>Pass</v>
      </c>
      <c r="K44" s="46" t="str">
        <f>VLOOKUP(B44,'Test 1,2'!$E$4:$F$604,2,0)</f>
        <v>C212</v>
      </c>
      <c r="L44" s="46" t="str">
        <f>IFERROR(VLOOKUP(K44,'Test 6'!$C$4:$D$9,2,0),"NOT RP")</f>
        <v>NOT RP</v>
      </c>
      <c r="M44" s="46" t="str">
        <f>VLOOKUP(B44,'Test 1,2'!$E$4:$N$604,9,0)</f>
        <v>E110</v>
      </c>
      <c r="N44" s="46" t="str">
        <f>VLOOKUP(B44,'Test 1,2'!$E$4:$N$604,10,0)</f>
        <v>E118</v>
      </c>
    </row>
    <row r="45" spans="2:14" x14ac:dyDescent="0.5">
      <c r="B45" s="46" t="s">
        <v>1272</v>
      </c>
      <c r="C45" s="46" t="s">
        <v>1526</v>
      </c>
      <c r="D45" s="46" t="s">
        <v>1324</v>
      </c>
      <c r="E45" s="50">
        <v>44631</v>
      </c>
      <c r="F45" s="46" t="s">
        <v>1527</v>
      </c>
      <c r="G45" s="51">
        <f>VLOOKUP(B45,'Test 1,2'!$E$4:$J$604,6,0)</f>
        <v>333210</v>
      </c>
      <c r="H45" s="46">
        <f t="shared" si="0"/>
        <v>35</v>
      </c>
      <c r="I45" s="46" t="str">
        <f t="shared" si="1"/>
        <v>Below 50 days</v>
      </c>
      <c r="J45" s="46" t="str">
        <f>VLOOKUP(B45,'Test 3'!$E$4:$U$604,15,0)</f>
        <v>Pass</v>
      </c>
      <c r="K45" s="46" t="str">
        <f>VLOOKUP(B45,'Test 1,2'!$E$4:$F$604,2,0)</f>
        <v>C213</v>
      </c>
      <c r="L45" s="46" t="str">
        <f>IFERROR(VLOOKUP(K45,'Test 6'!$C$4:$D$9,2,0),"NOT RP")</f>
        <v>NOT RP</v>
      </c>
      <c r="M45" s="46" t="str">
        <f>VLOOKUP(B45,'Test 1,2'!$E$4:$N$604,9,0)</f>
        <v>E110</v>
      </c>
      <c r="N45" s="46" t="str">
        <f>VLOOKUP(B45,'Test 1,2'!$E$4:$N$604,10,0)</f>
        <v>E120</v>
      </c>
    </row>
    <row r="46" spans="2:14" x14ac:dyDescent="0.5">
      <c r="B46" s="46" t="s">
        <v>1282</v>
      </c>
      <c r="C46" s="46" t="s">
        <v>1526</v>
      </c>
      <c r="D46" s="46" t="s">
        <v>1324</v>
      </c>
      <c r="E46" s="50">
        <v>44634</v>
      </c>
      <c r="F46" s="46" t="s">
        <v>1527</v>
      </c>
      <c r="G46" s="51">
        <f>VLOOKUP(B46,'Test 1,2'!$E$4:$J$604,6,0)</f>
        <v>340200</v>
      </c>
      <c r="H46" s="46">
        <f t="shared" si="0"/>
        <v>32</v>
      </c>
      <c r="I46" s="46" t="str">
        <f t="shared" si="1"/>
        <v>Below 50 days</v>
      </c>
      <c r="J46" s="46" t="str">
        <f>VLOOKUP(B46,'Test 3'!$E$4:$U$604,15,0)</f>
        <v>Pass</v>
      </c>
      <c r="K46" s="46" t="str">
        <f>VLOOKUP(B46,'Test 1,2'!$E$4:$F$604,2,0)</f>
        <v>C204</v>
      </c>
      <c r="L46" s="46" t="str">
        <f>IFERROR(VLOOKUP(K46,'Test 6'!$C$4:$D$9,2,0),"NOT RP")</f>
        <v>NOT RP</v>
      </c>
      <c r="M46" s="46" t="str">
        <f>VLOOKUP(B46,'Test 1,2'!$E$4:$N$604,9,0)</f>
        <v>E112</v>
      </c>
      <c r="N46" s="46" t="str">
        <f>VLOOKUP(B46,'Test 1,2'!$E$4:$N$604,10,0)</f>
        <v>E117</v>
      </c>
    </row>
    <row r="47" spans="2:14" x14ac:dyDescent="0.5">
      <c r="B47" s="46" t="s">
        <v>1280</v>
      </c>
      <c r="C47" s="46" t="s">
        <v>1526</v>
      </c>
      <c r="D47" s="46" t="s">
        <v>1324</v>
      </c>
      <c r="E47" s="50">
        <v>44634</v>
      </c>
      <c r="F47" s="46" t="s">
        <v>1527</v>
      </c>
      <c r="G47" s="51">
        <f>VLOOKUP(B47,'Test 1,2'!$E$4:$J$604,6,0)</f>
        <v>371640</v>
      </c>
      <c r="H47" s="46">
        <f t="shared" si="0"/>
        <v>32</v>
      </c>
      <c r="I47" s="46" t="str">
        <f t="shared" si="1"/>
        <v>Below 50 days</v>
      </c>
      <c r="J47" s="46" t="str">
        <f>VLOOKUP(B47,'Test 3'!$E$4:$U$604,15,0)</f>
        <v>Pass</v>
      </c>
      <c r="K47" s="46" t="str">
        <f>VLOOKUP(B47,'Test 1,2'!$E$4:$F$604,2,0)</f>
        <v>C213</v>
      </c>
      <c r="L47" s="46" t="str">
        <f>IFERROR(VLOOKUP(K47,'Test 6'!$C$4:$D$9,2,0),"NOT RP")</f>
        <v>NOT RP</v>
      </c>
      <c r="M47" s="46" t="str">
        <f>VLOOKUP(B47,'Test 1,2'!$E$4:$N$604,9,0)</f>
        <v>E116</v>
      </c>
      <c r="N47" s="46" t="str">
        <f>VLOOKUP(B47,'Test 1,2'!$E$4:$N$604,10,0)</f>
        <v>E120</v>
      </c>
    </row>
    <row r="48" spans="2:14" x14ac:dyDescent="0.5">
      <c r="G48" s="18">
        <f>SUM(G5:G47)</f>
        <v>132736650</v>
      </c>
    </row>
    <row r="50" spans="2:2" x14ac:dyDescent="0.5">
      <c r="B50" s="20" t="s">
        <v>1571</v>
      </c>
    </row>
    <row r="69" spans="2:6" x14ac:dyDescent="0.5">
      <c r="B69" s="20" t="s">
        <v>1566</v>
      </c>
    </row>
    <row r="70" spans="2:6" x14ac:dyDescent="0.5">
      <c r="B70" s="14" t="s">
        <v>1554</v>
      </c>
      <c r="C70" s="14" t="s">
        <v>1350</v>
      </c>
    </row>
    <row r="71" spans="2:6" x14ac:dyDescent="0.5">
      <c r="C71" s="21" t="s">
        <v>1614</v>
      </c>
      <c r="D71" s="21" t="s">
        <v>1615</v>
      </c>
      <c r="E71" s="21"/>
      <c r="F71" s="21" t="s">
        <v>1616</v>
      </c>
    </row>
    <row r="72" spans="2:6" x14ac:dyDescent="0.5">
      <c r="B72" s="14" t="s">
        <v>1345</v>
      </c>
      <c r="C72" s="69" t="s">
        <v>1336</v>
      </c>
      <c r="D72" s="21" t="s">
        <v>1552</v>
      </c>
      <c r="E72" s="69" t="s">
        <v>1336</v>
      </c>
      <c r="F72" s="21" t="s">
        <v>1552</v>
      </c>
    </row>
    <row r="73" spans="2:6" x14ac:dyDescent="0.5">
      <c r="B73" s="15" t="s">
        <v>1445</v>
      </c>
      <c r="C73" s="70">
        <v>18433680</v>
      </c>
      <c r="D73" s="18"/>
      <c r="E73" s="70">
        <v>4651520</v>
      </c>
      <c r="F73" s="18"/>
    </row>
    <row r="74" spans="2:6" x14ac:dyDescent="0.5">
      <c r="B74" s="15" t="s">
        <v>1443</v>
      </c>
      <c r="C74" s="70">
        <v>22831820</v>
      </c>
      <c r="D74" s="18"/>
      <c r="E74" s="70"/>
      <c r="F74" s="18"/>
    </row>
    <row r="75" spans="2:6" x14ac:dyDescent="0.5">
      <c r="B75" s="15" t="s">
        <v>1441</v>
      </c>
      <c r="C75" s="70">
        <v>17973140</v>
      </c>
      <c r="D75" s="18"/>
      <c r="E75" s="70"/>
      <c r="F75" s="18"/>
    </row>
    <row r="76" spans="2:6" x14ac:dyDescent="0.5">
      <c r="B76" s="15" t="s">
        <v>1439</v>
      </c>
      <c r="C76" s="70">
        <v>18183280</v>
      </c>
      <c r="D76" s="18">
        <v>49630</v>
      </c>
      <c r="E76" s="70">
        <v>4847720</v>
      </c>
      <c r="F76" s="18"/>
    </row>
    <row r="77" spans="2:6" x14ac:dyDescent="0.5">
      <c r="B77" s="15" t="s">
        <v>1447</v>
      </c>
      <c r="C77" s="70">
        <v>34872920</v>
      </c>
      <c r="D77" s="18"/>
      <c r="E77" s="70"/>
      <c r="F77" s="18"/>
    </row>
    <row r="78" spans="2:6" x14ac:dyDescent="0.5">
      <c r="B78" s="15" t="s">
        <v>1553</v>
      </c>
      <c r="C78" s="70"/>
      <c r="D78" s="18">
        <v>9010790</v>
      </c>
      <c r="E78" s="70"/>
      <c r="F78" s="18">
        <v>1882150</v>
      </c>
    </row>
    <row r="79" spans="2:6" x14ac:dyDescent="0.5">
      <c r="B79" s="15" t="s">
        <v>1346</v>
      </c>
      <c r="C79" s="18">
        <v>112294840</v>
      </c>
      <c r="D79" s="18">
        <v>9060420</v>
      </c>
      <c r="E79" s="70">
        <v>9499240</v>
      </c>
      <c r="F79" s="18">
        <v>1882150</v>
      </c>
    </row>
    <row r="81" spans="6:6" x14ac:dyDescent="0.5">
      <c r="F81" s="18">
        <f>SUM(C79:F79)</f>
        <v>132736650</v>
      </c>
    </row>
  </sheetData>
  <autoFilter ref="B4:N47"/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133"/>
  <sheetViews>
    <sheetView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29.1796875" style="1" customWidth="1"/>
    <col min="3" max="3" width="23.81640625" style="1" customWidth="1"/>
    <col min="4" max="8" width="13.08984375" style="1" customWidth="1"/>
    <col min="9" max="9" width="19.453125" style="1" customWidth="1"/>
    <col min="10" max="10" width="18" style="1" customWidth="1"/>
    <col min="11" max="11" width="24.453125" style="1" customWidth="1"/>
    <col min="12" max="12" width="22.90625" style="1" customWidth="1"/>
    <col min="13" max="13" width="11" style="1" customWidth="1"/>
    <col min="14" max="17" width="8" style="1" customWidth="1"/>
    <col min="18" max="18" width="9" style="1" customWidth="1"/>
    <col min="19" max="19" width="9.81640625" style="1" customWidth="1"/>
    <col min="20" max="20" width="11" style="1" bestFit="1" customWidth="1"/>
    <col min="21" max="29" width="10.1796875" style="1" bestFit="1" customWidth="1"/>
    <col min="30" max="30" width="11" style="1" bestFit="1" customWidth="1"/>
    <col min="31" max="16384" width="8.7265625" style="1"/>
  </cols>
  <sheetData>
    <row r="2" spans="2:10" x14ac:dyDescent="0.5">
      <c r="B2" s="45" t="s">
        <v>1530</v>
      </c>
      <c r="C2" s="45" t="s">
        <v>1531</v>
      </c>
      <c r="D2" s="45" t="s">
        <v>1532</v>
      </c>
      <c r="E2" s="45" t="s">
        <v>1533</v>
      </c>
      <c r="F2" s="45" t="s">
        <v>1534</v>
      </c>
      <c r="G2" s="45" t="s">
        <v>1535</v>
      </c>
      <c r="H2" s="45" t="s">
        <v>1536</v>
      </c>
      <c r="J2" s="1" t="s">
        <v>1596</v>
      </c>
    </row>
    <row r="3" spans="2:10" x14ac:dyDescent="0.5">
      <c r="B3" s="46" t="s">
        <v>1537</v>
      </c>
      <c r="C3" s="46" t="s">
        <v>1324</v>
      </c>
      <c r="D3" s="46" t="s">
        <v>701</v>
      </c>
      <c r="E3" s="51">
        <v>250000</v>
      </c>
      <c r="F3" s="51">
        <v>10</v>
      </c>
      <c r="G3" s="46" t="s">
        <v>1538</v>
      </c>
      <c r="H3" s="46" t="s">
        <v>1539</v>
      </c>
      <c r="J3" s="1" t="s">
        <v>1320</v>
      </c>
    </row>
    <row r="4" spans="2:10" x14ac:dyDescent="0.5">
      <c r="B4" s="46" t="s">
        <v>1537</v>
      </c>
      <c r="C4" s="46" t="s">
        <v>1324</v>
      </c>
      <c r="D4" s="46" t="s">
        <v>69</v>
      </c>
      <c r="E4" s="51">
        <v>250000</v>
      </c>
      <c r="F4" s="51">
        <v>10</v>
      </c>
      <c r="G4" s="46" t="s">
        <v>1538</v>
      </c>
      <c r="H4" s="46" t="s">
        <v>1539</v>
      </c>
      <c r="J4" s="1" t="s">
        <v>1320</v>
      </c>
    </row>
    <row r="5" spans="2:10" x14ac:dyDescent="0.5">
      <c r="B5" s="46" t="s">
        <v>1537</v>
      </c>
      <c r="C5" s="46" t="s">
        <v>1325</v>
      </c>
      <c r="D5" s="46" t="s">
        <v>41</v>
      </c>
      <c r="E5" s="51">
        <v>500000</v>
      </c>
      <c r="F5" s="51">
        <v>10</v>
      </c>
      <c r="G5" s="46" t="s">
        <v>1538</v>
      </c>
      <c r="H5" s="46" t="s">
        <v>1539</v>
      </c>
      <c r="J5" s="1" t="s">
        <v>1320</v>
      </c>
    </row>
    <row r="6" spans="2:10" x14ac:dyDescent="0.5">
      <c r="B6" s="46" t="s">
        <v>1537</v>
      </c>
      <c r="C6" s="46" t="s">
        <v>1326</v>
      </c>
      <c r="D6" s="46" t="s">
        <v>42</v>
      </c>
      <c r="E6" s="51">
        <v>700000</v>
      </c>
      <c r="F6" s="51">
        <v>10</v>
      </c>
      <c r="G6" s="46" t="s">
        <v>1538</v>
      </c>
      <c r="H6" s="46" t="s">
        <v>1539</v>
      </c>
      <c r="J6" s="1" t="s">
        <v>1320</v>
      </c>
    </row>
    <row r="7" spans="2:10" x14ac:dyDescent="0.5">
      <c r="B7" s="46" t="s">
        <v>1537</v>
      </c>
      <c r="C7" s="46" t="s">
        <v>1327</v>
      </c>
      <c r="D7" s="46" t="s">
        <v>144</v>
      </c>
      <c r="E7" s="51">
        <v>600000</v>
      </c>
      <c r="F7" s="51">
        <v>10</v>
      </c>
      <c r="G7" s="46" t="s">
        <v>1538</v>
      </c>
      <c r="H7" s="46" t="s">
        <v>1539</v>
      </c>
      <c r="J7" s="1" t="s">
        <v>1321</v>
      </c>
    </row>
    <row r="8" spans="2:10" x14ac:dyDescent="0.5">
      <c r="B8" s="46" t="s">
        <v>1537</v>
      </c>
      <c r="C8" s="46" t="s">
        <v>1329</v>
      </c>
      <c r="D8" s="46" t="s">
        <v>1328</v>
      </c>
      <c r="E8" s="51">
        <v>600000</v>
      </c>
      <c r="F8" s="51">
        <v>10</v>
      </c>
      <c r="G8" s="46" t="s">
        <v>1538</v>
      </c>
      <c r="H8" s="46" t="s">
        <v>1539</v>
      </c>
      <c r="J8" s="1" t="s">
        <v>1321</v>
      </c>
    </row>
    <row r="9" spans="2:10" x14ac:dyDescent="0.5">
      <c r="B9" s="46" t="s">
        <v>1537</v>
      </c>
      <c r="C9" s="46" t="s">
        <v>1331</v>
      </c>
      <c r="D9" s="46" t="s">
        <v>1330</v>
      </c>
      <c r="E9" s="51">
        <v>600000</v>
      </c>
      <c r="F9" s="51">
        <v>10</v>
      </c>
      <c r="G9" s="46" t="s">
        <v>1538</v>
      </c>
      <c r="H9" s="46" t="s">
        <v>1539</v>
      </c>
      <c r="J9" s="1" t="s">
        <v>1321</v>
      </c>
    </row>
    <row r="10" spans="2:10" x14ac:dyDescent="0.5">
      <c r="B10" s="46" t="s">
        <v>1540</v>
      </c>
      <c r="C10" s="46" t="s">
        <v>1541</v>
      </c>
      <c r="D10" s="46" t="s">
        <v>1542</v>
      </c>
      <c r="E10" s="51">
        <v>600000</v>
      </c>
      <c r="F10" s="51">
        <v>10</v>
      </c>
      <c r="G10" s="46" t="s">
        <v>1538</v>
      </c>
      <c r="H10" s="46" t="s">
        <v>1539</v>
      </c>
      <c r="J10" s="1" t="s">
        <v>1542</v>
      </c>
    </row>
    <row r="11" spans="2:10" x14ac:dyDescent="0.5">
      <c r="B11" s="46" t="s">
        <v>1540</v>
      </c>
      <c r="C11" s="46" t="s">
        <v>1543</v>
      </c>
      <c r="D11" s="46" t="s">
        <v>1542</v>
      </c>
      <c r="E11" s="51">
        <v>600000</v>
      </c>
      <c r="F11" s="51">
        <v>10</v>
      </c>
      <c r="G11" s="46" t="s">
        <v>1538</v>
      </c>
      <c r="H11" s="46" t="s">
        <v>1539</v>
      </c>
      <c r="J11" s="1" t="s">
        <v>1542</v>
      </c>
    </row>
    <row r="12" spans="2:10" x14ac:dyDescent="0.5">
      <c r="B12" s="46" t="s">
        <v>1540</v>
      </c>
      <c r="C12" s="46" t="s">
        <v>1544</v>
      </c>
      <c r="D12" s="46" t="s">
        <v>1542</v>
      </c>
      <c r="E12" s="51">
        <v>800000</v>
      </c>
      <c r="F12" s="51">
        <v>10</v>
      </c>
      <c r="G12" s="46" t="s">
        <v>1538</v>
      </c>
      <c r="H12" s="46" t="s">
        <v>1539</v>
      </c>
      <c r="J12" s="1" t="s">
        <v>1542</v>
      </c>
    </row>
    <row r="13" spans="2:10" x14ac:dyDescent="0.5">
      <c r="B13" s="46" t="s">
        <v>1540</v>
      </c>
      <c r="C13" s="46" t="s">
        <v>1545</v>
      </c>
      <c r="D13" s="46" t="s">
        <v>1542</v>
      </c>
      <c r="E13" s="51">
        <v>1000000</v>
      </c>
      <c r="F13" s="51">
        <v>10</v>
      </c>
      <c r="G13" s="46" t="s">
        <v>1538</v>
      </c>
      <c r="H13" s="46" t="s">
        <v>1539</v>
      </c>
      <c r="J13" s="1" t="s">
        <v>1542</v>
      </c>
    </row>
    <row r="14" spans="2:10" x14ac:dyDescent="0.5">
      <c r="E14" s="27"/>
      <c r="F14" s="27"/>
    </row>
    <row r="15" spans="2:10" x14ac:dyDescent="0.5">
      <c r="E15" s="28">
        <f>SUM(E3:E13)</f>
        <v>6500000</v>
      </c>
      <c r="F15" s="18"/>
    </row>
    <row r="16" spans="2:10" x14ac:dyDescent="0.5">
      <c r="E16" s="28"/>
      <c r="F16" s="18"/>
    </row>
    <row r="17" spans="2:30" x14ac:dyDescent="0.5">
      <c r="B17" s="20" t="s">
        <v>1598</v>
      </c>
    </row>
    <row r="19" spans="2:30" x14ac:dyDescent="0.5">
      <c r="B19" s="10" t="s">
        <v>1597</v>
      </c>
      <c r="C19" t="s">
        <v>1336</v>
      </c>
    </row>
    <row r="21" spans="2:30" x14ac:dyDescent="0.5">
      <c r="B21" s="10" t="s">
        <v>1345</v>
      </c>
      <c r="C21" t="s">
        <v>1344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2:30" x14ac:dyDescent="0.5">
      <c r="B22" s="11" t="s">
        <v>41</v>
      </c>
      <c r="C22" s="13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2:30" x14ac:dyDescent="0.5">
      <c r="B23" s="19" t="s">
        <v>701</v>
      </c>
      <c r="C23" s="12">
        <v>38526040</v>
      </c>
      <c r="D23"/>
      <c r="E23"/>
      <c r="F23"/>
      <c r="G23"/>
      <c r="H23" s="57" t="s">
        <v>1532</v>
      </c>
      <c r="I23" s="57" t="s">
        <v>1531</v>
      </c>
      <c r="J23" s="57" t="s">
        <v>1572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2:30" x14ac:dyDescent="0.5">
      <c r="B24" s="19" t="s">
        <v>69</v>
      </c>
      <c r="C24" s="12">
        <v>21071430</v>
      </c>
      <c r="D24"/>
      <c r="E24"/>
      <c r="F24"/>
      <c r="G24"/>
      <c r="H24" s="46" t="s">
        <v>701</v>
      </c>
      <c r="I24" s="46" t="s">
        <v>1324</v>
      </c>
      <c r="J24" s="51">
        <v>250000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2:30" x14ac:dyDescent="0.5">
      <c r="B25" s="11" t="s">
        <v>42</v>
      </c>
      <c r="C25" s="12"/>
      <c r="D25"/>
      <c r="E25"/>
      <c r="F25"/>
      <c r="G25"/>
      <c r="H25" s="46" t="s">
        <v>69</v>
      </c>
      <c r="I25" s="46" t="s">
        <v>1324</v>
      </c>
      <c r="J25" s="51">
        <v>250000</v>
      </c>
      <c r="L25" s="52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2:30" x14ac:dyDescent="0.5">
      <c r="B26" s="19" t="s">
        <v>41</v>
      </c>
      <c r="C26" s="12">
        <v>62196610</v>
      </c>
      <c r="D26"/>
      <c r="E26"/>
      <c r="F26"/>
      <c r="G26"/>
      <c r="H26" s="46" t="s">
        <v>41</v>
      </c>
      <c r="I26" s="46" t="s">
        <v>1325</v>
      </c>
      <c r="J26" s="51">
        <v>500000</v>
      </c>
      <c r="L26" s="52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2:30" x14ac:dyDescent="0.5">
      <c r="B27" s="11" t="s">
        <v>1346</v>
      </c>
      <c r="C27" s="12">
        <v>121794080</v>
      </c>
      <c r="D27"/>
      <c r="E27"/>
      <c r="F27"/>
      <c r="G27"/>
      <c r="H27" s="46" t="s">
        <v>42</v>
      </c>
      <c r="I27" s="46" t="s">
        <v>1326</v>
      </c>
      <c r="J27" s="51">
        <v>700000</v>
      </c>
      <c r="L27" s="52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2:30" x14ac:dyDescent="0.5">
      <c r="B28"/>
      <c r="C28"/>
      <c r="D28"/>
      <c r="E28"/>
      <c r="F28"/>
      <c r="G28"/>
      <c r="H28"/>
      <c r="I28"/>
      <c r="J28"/>
      <c r="K28"/>
      <c r="L28" s="52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2:30" x14ac:dyDescent="0.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2:30" x14ac:dyDescent="0.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2:30" x14ac:dyDescent="0.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2:30" x14ac:dyDescent="0.5">
      <c r="B32"/>
      <c r="C32"/>
      <c r="D32"/>
      <c r="E32"/>
      <c r="F32"/>
      <c r="G32"/>
      <c r="H32"/>
      <c r="I32"/>
      <c r="J32"/>
      <c r="K32"/>
      <c r="L32"/>
      <c r="M32"/>
    </row>
    <row r="33" spans="2:13" x14ac:dyDescent="0.5">
      <c r="B33"/>
      <c r="C33"/>
      <c r="D33"/>
      <c r="E33"/>
      <c r="F33"/>
      <c r="G33"/>
      <c r="H33"/>
      <c r="I33"/>
      <c r="J33"/>
      <c r="K33"/>
      <c r="L33"/>
      <c r="M33"/>
    </row>
    <row r="34" spans="2:13" x14ac:dyDescent="0.5">
      <c r="B34"/>
      <c r="C34"/>
      <c r="D34"/>
      <c r="E34"/>
      <c r="F34"/>
      <c r="G34"/>
      <c r="H34"/>
      <c r="I34"/>
      <c r="J34"/>
      <c r="K34"/>
      <c r="L34"/>
      <c r="M34"/>
    </row>
    <row r="35" spans="2:13" x14ac:dyDescent="0.5">
      <c r="B35"/>
      <c r="C35"/>
      <c r="D35"/>
      <c r="E35"/>
      <c r="F35"/>
      <c r="G35"/>
      <c r="H35"/>
      <c r="I35"/>
      <c r="J35"/>
      <c r="K35"/>
      <c r="L35"/>
      <c r="M35"/>
    </row>
    <row r="36" spans="2:13" x14ac:dyDescent="0.5">
      <c r="B36"/>
      <c r="C36"/>
      <c r="D36"/>
      <c r="E36"/>
      <c r="F36"/>
      <c r="G36"/>
      <c r="H36"/>
      <c r="I36"/>
      <c r="J36"/>
      <c r="K36"/>
      <c r="L36"/>
      <c r="M36"/>
    </row>
    <row r="37" spans="2:13" x14ac:dyDescent="0.5">
      <c r="B37"/>
      <c r="C37"/>
      <c r="D37"/>
      <c r="E37"/>
      <c r="F37"/>
      <c r="G37"/>
      <c r="H37"/>
      <c r="I37"/>
      <c r="J37"/>
      <c r="K37"/>
      <c r="L37"/>
      <c r="M37"/>
    </row>
    <row r="38" spans="2:13" x14ac:dyDescent="0.5">
      <c r="B38"/>
      <c r="C38"/>
      <c r="D38"/>
      <c r="E38"/>
      <c r="F38"/>
      <c r="G38"/>
      <c r="H38"/>
      <c r="I38"/>
      <c r="J38"/>
      <c r="K38"/>
      <c r="L38"/>
      <c r="M38"/>
    </row>
    <row r="39" spans="2:13" x14ac:dyDescent="0.5">
      <c r="B39"/>
      <c r="C39"/>
      <c r="D39"/>
      <c r="E39"/>
      <c r="F39"/>
      <c r="G39"/>
      <c r="H39"/>
      <c r="I39"/>
      <c r="J39"/>
      <c r="K39"/>
      <c r="L39"/>
      <c r="M39"/>
    </row>
    <row r="40" spans="2:13" x14ac:dyDescent="0.5">
      <c r="B40"/>
      <c r="C40"/>
      <c r="D40"/>
      <c r="E40"/>
      <c r="F40"/>
      <c r="G40"/>
      <c r="H40"/>
      <c r="I40"/>
      <c r="J40"/>
      <c r="K40"/>
      <c r="L40"/>
      <c r="M40"/>
    </row>
    <row r="41" spans="2:13" x14ac:dyDescent="0.5">
      <c r="B41"/>
      <c r="C41"/>
      <c r="D41"/>
      <c r="E41"/>
      <c r="F41"/>
      <c r="G41"/>
      <c r="H41"/>
      <c r="I41"/>
      <c r="J41"/>
      <c r="K41"/>
      <c r="L41"/>
      <c r="M41"/>
    </row>
    <row r="42" spans="2:13" x14ac:dyDescent="0.5">
      <c r="B42"/>
      <c r="C42"/>
      <c r="D42"/>
      <c r="E42"/>
      <c r="F42"/>
      <c r="G42"/>
      <c r="H42"/>
      <c r="I42"/>
      <c r="J42"/>
      <c r="K42"/>
      <c r="L42"/>
      <c r="M42"/>
    </row>
    <row r="43" spans="2:13" x14ac:dyDescent="0.5">
      <c r="B43"/>
      <c r="C43"/>
      <c r="D43"/>
      <c r="E43"/>
      <c r="F43"/>
      <c r="G43"/>
      <c r="H43"/>
      <c r="I43"/>
      <c r="J43"/>
      <c r="K43"/>
      <c r="L43"/>
      <c r="M43"/>
    </row>
    <row r="44" spans="2:13" x14ac:dyDescent="0.5">
      <c r="B44"/>
      <c r="C44"/>
      <c r="D44"/>
      <c r="E44"/>
      <c r="F44"/>
      <c r="G44"/>
      <c r="H44"/>
      <c r="I44"/>
      <c r="J44"/>
      <c r="K44"/>
      <c r="L44"/>
      <c r="M44"/>
    </row>
    <row r="45" spans="2:13" x14ac:dyDescent="0.5">
      <c r="B45"/>
      <c r="C45"/>
      <c r="D45"/>
      <c r="E45"/>
      <c r="F45"/>
      <c r="G45"/>
      <c r="H45"/>
      <c r="I45"/>
      <c r="J45"/>
      <c r="K45"/>
      <c r="L45"/>
      <c r="M45"/>
    </row>
    <row r="46" spans="2:13" x14ac:dyDescent="0.5">
      <c r="B46"/>
      <c r="C46"/>
      <c r="D46"/>
      <c r="E46"/>
      <c r="F46"/>
      <c r="G46"/>
      <c r="H46"/>
      <c r="I46"/>
      <c r="J46"/>
      <c r="K46"/>
      <c r="L46"/>
      <c r="M46"/>
    </row>
    <row r="47" spans="2:13" x14ac:dyDescent="0.5">
      <c r="B47"/>
      <c r="C47"/>
      <c r="D47"/>
      <c r="E47"/>
      <c r="F47"/>
      <c r="G47"/>
      <c r="H47"/>
    </row>
    <row r="48" spans="2:13" x14ac:dyDescent="0.5">
      <c r="B48"/>
      <c r="C48"/>
      <c r="D48"/>
      <c r="E48"/>
      <c r="F48"/>
      <c r="G48"/>
      <c r="H48"/>
    </row>
    <row r="49" spans="2:8" x14ac:dyDescent="0.5">
      <c r="B49"/>
      <c r="C49"/>
      <c r="D49"/>
      <c r="E49"/>
      <c r="F49"/>
      <c r="G49"/>
      <c r="H49"/>
    </row>
    <row r="50" spans="2:8" x14ac:dyDescent="0.5">
      <c r="B50"/>
      <c r="C50"/>
      <c r="D50"/>
      <c r="E50"/>
      <c r="F50"/>
      <c r="G50"/>
      <c r="H50"/>
    </row>
    <row r="51" spans="2:8" x14ac:dyDescent="0.5">
      <c r="B51"/>
      <c r="C51"/>
      <c r="D51"/>
      <c r="E51"/>
      <c r="F51"/>
      <c r="G51"/>
      <c r="H51"/>
    </row>
    <row r="52" spans="2:8" x14ac:dyDescent="0.5">
      <c r="B52"/>
      <c r="C52"/>
      <c r="D52"/>
      <c r="E52"/>
      <c r="F52"/>
      <c r="G52"/>
      <c r="H52"/>
    </row>
    <row r="53" spans="2:8" x14ac:dyDescent="0.5">
      <c r="B53"/>
      <c r="C53"/>
      <c r="D53"/>
      <c r="E53"/>
      <c r="F53"/>
      <c r="G53"/>
      <c r="H53"/>
    </row>
    <row r="54" spans="2:8" x14ac:dyDescent="0.5">
      <c r="B54"/>
      <c r="C54"/>
      <c r="D54"/>
      <c r="E54"/>
      <c r="F54"/>
      <c r="G54"/>
      <c r="H54"/>
    </row>
    <row r="55" spans="2:8" x14ac:dyDescent="0.5">
      <c r="B55"/>
      <c r="C55"/>
      <c r="D55"/>
      <c r="E55"/>
      <c r="F55"/>
      <c r="G55"/>
      <c r="H55"/>
    </row>
    <row r="56" spans="2:8" x14ac:dyDescent="0.5">
      <c r="B56"/>
      <c r="C56"/>
      <c r="D56"/>
      <c r="E56"/>
      <c r="F56"/>
      <c r="G56"/>
      <c r="H56"/>
    </row>
    <row r="57" spans="2:8" x14ac:dyDescent="0.5">
      <c r="B57"/>
      <c r="C57"/>
      <c r="D57"/>
      <c r="E57"/>
      <c r="F57"/>
      <c r="G57"/>
      <c r="H57"/>
    </row>
    <row r="58" spans="2:8" x14ac:dyDescent="0.5">
      <c r="B58"/>
      <c r="C58"/>
      <c r="D58"/>
      <c r="E58"/>
      <c r="F58"/>
      <c r="G58"/>
      <c r="H58"/>
    </row>
    <row r="59" spans="2:8" x14ac:dyDescent="0.5">
      <c r="B59"/>
      <c r="C59"/>
      <c r="D59"/>
      <c r="E59"/>
      <c r="F59"/>
      <c r="G59"/>
      <c r="H59"/>
    </row>
    <row r="60" spans="2:8" x14ac:dyDescent="0.5">
      <c r="B60"/>
      <c r="C60"/>
      <c r="D60"/>
      <c r="E60"/>
      <c r="F60"/>
      <c r="G60"/>
      <c r="H60"/>
    </row>
    <row r="61" spans="2:8" x14ac:dyDescent="0.5">
      <c r="B61"/>
      <c r="C61"/>
      <c r="D61"/>
      <c r="E61"/>
      <c r="F61"/>
      <c r="G61"/>
      <c r="H61"/>
    </row>
    <row r="62" spans="2:8" x14ac:dyDescent="0.5">
      <c r="B62"/>
      <c r="C62"/>
      <c r="D62"/>
      <c r="E62"/>
      <c r="F62"/>
      <c r="G62"/>
      <c r="H62"/>
    </row>
    <row r="63" spans="2:8" x14ac:dyDescent="0.5">
      <c r="B63"/>
      <c r="C63"/>
      <c r="D63"/>
      <c r="E63"/>
      <c r="F63"/>
      <c r="G63"/>
      <c r="H63"/>
    </row>
    <row r="64" spans="2:8" x14ac:dyDescent="0.5">
      <c r="B64"/>
      <c r="C64"/>
      <c r="D64"/>
      <c r="E64"/>
      <c r="F64"/>
      <c r="G64"/>
      <c r="H64"/>
    </row>
    <row r="65" spans="2:12" x14ac:dyDescent="0.5">
      <c r="B65"/>
      <c r="C65"/>
      <c r="D65"/>
      <c r="E65"/>
      <c r="F65"/>
      <c r="G65"/>
      <c r="H65"/>
    </row>
    <row r="66" spans="2:12" x14ac:dyDescent="0.5">
      <c r="B66"/>
      <c r="C66"/>
      <c r="D66"/>
      <c r="E66"/>
      <c r="F66"/>
      <c r="G66"/>
      <c r="H66"/>
      <c r="I66"/>
      <c r="J66"/>
      <c r="K66"/>
      <c r="L66"/>
    </row>
    <row r="67" spans="2:12" x14ac:dyDescent="0.5">
      <c r="B67"/>
      <c r="C67"/>
      <c r="D67"/>
      <c r="E67"/>
      <c r="F67"/>
      <c r="G67"/>
      <c r="H67"/>
    </row>
    <row r="68" spans="2:12" x14ac:dyDescent="0.5">
      <c r="B68"/>
      <c r="C68"/>
      <c r="D68"/>
      <c r="E68"/>
      <c r="F68"/>
      <c r="G68"/>
      <c r="H68"/>
    </row>
    <row r="69" spans="2:12" x14ac:dyDescent="0.5">
      <c r="B69"/>
      <c r="C69"/>
      <c r="D69"/>
      <c r="E69"/>
      <c r="F69"/>
      <c r="G69"/>
      <c r="H69"/>
    </row>
    <row r="70" spans="2:12" x14ac:dyDescent="0.5">
      <c r="B70"/>
      <c r="C70"/>
      <c r="D70"/>
      <c r="E70"/>
      <c r="F70"/>
      <c r="G70"/>
      <c r="H70"/>
    </row>
    <row r="71" spans="2:12" x14ac:dyDescent="0.5">
      <c r="B71"/>
      <c r="C71"/>
      <c r="D71"/>
      <c r="E71"/>
      <c r="F71"/>
      <c r="G71"/>
      <c r="H71"/>
    </row>
    <row r="72" spans="2:12" x14ac:dyDescent="0.5">
      <c r="B72"/>
      <c r="C72"/>
      <c r="D72"/>
      <c r="E72"/>
      <c r="F72"/>
      <c r="G72"/>
      <c r="H72"/>
    </row>
    <row r="73" spans="2:12" x14ac:dyDescent="0.5">
      <c r="B73"/>
      <c r="C73"/>
      <c r="D73"/>
      <c r="E73"/>
      <c r="F73"/>
      <c r="G73"/>
      <c r="H73"/>
    </row>
    <row r="74" spans="2:12" x14ac:dyDescent="0.5">
      <c r="B74"/>
      <c r="C74"/>
      <c r="D74"/>
      <c r="E74"/>
      <c r="F74"/>
      <c r="G74"/>
      <c r="H74"/>
    </row>
    <row r="75" spans="2:12" x14ac:dyDescent="0.5">
      <c r="B75"/>
      <c r="C75"/>
      <c r="D75"/>
      <c r="E75"/>
      <c r="F75"/>
      <c r="G75"/>
      <c r="H75"/>
    </row>
    <row r="76" spans="2:12" x14ac:dyDescent="0.5">
      <c r="B76"/>
      <c r="C76"/>
      <c r="D76"/>
      <c r="E76"/>
      <c r="F76"/>
      <c r="G76"/>
      <c r="H76"/>
    </row>
    <row r="77" spans="2:12" x14ac:dyDescent="0.5">
      <c r="B77"/>
      <c r="C77"/>
      <c r="D77"/>
      <c r="E77"/>
      <c r="F77"/>
      <c r="G77"/>
      <c r="H77"/>
    </row>
    <row r="78" spans="2:12" x14ac:dyDescent="0.5">
      <c r="B78"/>
      <c r="C78"/>
      <c r="D78"/>
      <c r="E78"/>
      <c r="F78"/>
      <c r="G78"/>
      <c r="H78"/>
    </row>
    <row r="79" spans="2:12" x14ac:dyDescent="0.5">
      <c r="B79"/>
      <c r="C79"/>
      <c r="D79"/>
      <c r="E79"/>
      <c r="F79"/>
      <c r="G79"/>
      <c r="H79"/>
    </row>
    <row r="80" spans="2:12" x14ac:dyDescent="0.5">
      <c r="B80"/>
      <c r="C80"/>
      <c r="D80"/>
      <c r="E80"/>
      <c r="F80"/>
      <c r="G80"/>
      <c r="H80"/>
    </row>
    <row r="81" spans="2:8" x14ac:dyDescent="0.5">
      <c r="B81"/>
      <c r="C81"/>
      <c r="D81"/>
      <c r="E81"/>
      <c r="F81"/>
      <c r="G81"/>
      <c r="H81"/>
    </row>
    <row r="82" spans="2:8" x14ac:dyDescent="0.5">
      <c r="B82"/>
      <c r="C82"/>
      <c r="D82"/>
      <c r="E82"/>
      <c r="F82"/>
      <c r="G82"/>
      <c r="H82"/>
    </row>
    <row r="83" spans="2:8" x14ac:dyDescent="0.5">
      <c r="B83"/>
      <c r="C83"/>
      <c r="D83"/>
      <c r="E83"/>
      <c r="F83"/>
      <c r="G83"/>
      <c r="H83"/>
    </row>
    <row r="84" spans="2:8" x14ac:dyDescent="0.5">
      <c r="B84"/>
      <c r="C84"/>
      <c r="D84"/>
      <c r="E84"/>
      <c r="F84"/>
      <c r="G84"/>
      <c r="H84"/>
    </row>
    <row r="85" spans="2:8" x14ac:dyDescent="0.5">
      <c r="B85"/>
      <c r="C85"/>
      <c r="D85"/>
      <c r="E85"/>
      <c r="F85"/>
      <c r="G85"/>
      <c r="H85"/>
    </row>
    <row r="86" spans="2:8" x14ac:dyDescent="0.5">
      <c r="B86"/>
      <c r="C86"/>
      <c r="D86"/>
      <c r="E86"/>
      <c r="F86"/>
      <c r="G86"/>
      <c r="H86"/>
    </row>
    <row r="87" spans="2:8" x14ac:dyDescent="0.5">
      <c r="B87"/>
      <c r="C87"/>
      <c r="D87"/>
      <c r="E87"/>
      <c r="F87"/>
      <c r="G87"/>
      <c r="H87"/>
    </row>
    <row r="88" spans="2:8" x14ac:dyDescent="0.5">
      <c r="B88"/>
      <c r="C88"/>
      <c r="D88"/>
      <c r="E88"/>
      <c r="F88"/>
      <c r="G88"/>
      <c r="H88"/>
    </row>
    <row r="89" spans="2:8" x14ac:dyDescent="0.5">
      <c r="B89"/>
      <c r="C89"/>
      <c r="D89"/>
      <c r="E89"/>
      <c r="F89"/>
      <c r="G89"/>
      <c r="H89"/>
    </row>
    <row r="90" spans="2:8" x14ac:dyDescent="0.5">
      <c r="B90"/>
      <c r="C90"/>
      <c r="D90"/>
      <c r="E90"/>
      <c r="F90"/>
      <c r="G90"/>
      <c r="H90"/>
    </row>
    <row r="91" spans="2:8" x14ac:dyDescent="0.5">
      <c r="B91"/>
      <c r="C91"/>
      <c r="D91"/>
      <c r="E91"/>
      <c r="F91"/>
      <c r="G91"/>
      <c r="H91"/>
    </row>
    <row r="92" spans="2:8" x14ac:dyDescent="0.5">
      <c r="B92"/>
      <c r="C92"/>
      <c r="D92"/>
      <c r="E92"/>
      <c r="F92"/>
      <c r="G92"/>
      <c r="H92"/>
    </row>
    <row r="93" spans="2:8" x14ac:dyDescent="0.5">
      <c r="B93"/>
      <c r="C93"/>
      <c r="D93"/>
      <c r="E93"/>
      <c r="F93"/>
      <c r="G93"/>
      <c r="H93"/>
    </row>
    <row r="94" spans="2:8" x14ac:dyDescent="0.5">
      <c r="B94"/>
      <c r="C94"/>
      <c r="D94"/>
      <c r="E94"/>
      <c r="F94"/>
      <c r="G94"/>
      <c r="H94"/>
    </row>
    <row r="95" spans="2:8" x14ac:dyDescent="0.5">
      <c r="B95"/>
      <c r="C95"/>
      <c r="D95"/>
      <c r="E95"/>
      <c r="F95"/>
      <c r="G95"/>
      <c r="H95"/>
    </row>
    <row r="96" spans="2:8" x14ac:dyDescent="0.5">
      <c r="B96"/>
      <c r="C96"/>
      <c r="D96"/>
      <c r="E96"/>
      <c r="F96"/>
      <c r="G96"/>
      <c r="H96"/>
    </row>
    <row r="97" spans="2:8" x14ac:dyDescent="0.5">
      <c r="B97"/>
      <c r="C97"/>
      <c r="D97"/>
      <c r="E97"/>
      <c r="F97"/>
      <c r="G97"/>
      <c r="H97"/>
    </row>
    <row r="98" spans="2:8" x14ac:dyDescent="0.5">
      <c r="B98"/>
      <c r="C98"/>
      <c r="D98"/>
      <c r="E98"/>
      <c r="F98"/>
      <c r="G98"/>
      <c r="H98"/>
    </row>
    <row r="99" spans="2:8" x14ac:dyDescent="0.5">
      <c r="B99"/>
      <c r="C99"/>
      <c r="D99"/>
      <c r="E99"/>
      <c r="F99"/>
      <c r="G99"/>
      <c r="H99"/>
    </row>
    <row r="100" spans="2:8" x14ac:dyDescent="0.5">
      <c r="B100"/>
      <c r="C100"/>
      <c r="D100"/>
      <c r="E100"/>
      <c r="F100"/>
      <c r="G100"/>
      <c r="H100"/>
    </row>
    <row r="101" spans="2:8" x14ac:dyDescent="0.5">
      <c r="B101"/>
      <c r="C101"/>
      <c r="D101"/>
      <c r="E101"/>
      <c r="F101"/>
      <c r="G101"/>
      <c r="H101"/>
    </row>
    <row r="102" spans="2:8" x14ac:dyDescent="0.5">
      <c r="B102"/>
      <c r="C102"/>
      <c r="D102"/>
      <c r="E102"/>
      <c r="F102"/>
      <c r="G102"/>
      <c r="H102"/>
    </row>
    <row r="103" spans="2:8" x14ac:dyDescent="0.5">
      <c r="B103"/>
      <c r="C103"/>
      <c r="D103"/>
      <c r="E103"/>
      <c r="F103"/>
      <c r="G103"/>
      <c r="H103"/>
    </row>
    <row r="104" spans="2:8" x14ac:dyDescent="0.5">
      <c r="B104"/>
      <c r="C104"/>
      <c r="D104"/>
      <c r="E104"/>
      <c r="F104"/>
      <c r="G104"/>
      <c r="H104"/>
    </row>
    <row r="105" spans="2:8" x14ac:dyDescent="0.5">
      <c r="B105"/>
      <c r="C105"/>
      <c r="D105"/>
      <c r="E105"/>
      <c r="F105"/>
      <c r="G105"/>
      <c r="H105"/>
    </row>
    <row r="106" spans="2:8" x14ac:dyDescent="0.5">
      <c r="B106"/>
      <c r="C106"/>
      <c r="D106"/>
      <c r="E106"/>
      <c r="F106"/>
      <c r="G106"/>
      <c r="H106"/>
    </row>
    <row r="107" spans="2:8" x14ac:dyDescent="0.5">
      <c r="B107"/>
      <c r="C107"/>
      <c r="D107"/>
      <c r="E107"/>
      <c r="F107"/>
      <c r="G107"/>
      <c r="H107"/>
    </row>
    <row r="108" spans="2:8" x14ac:dyDescent="0.5">
      <c r="B108"/>
      <c r="C108"/>
      <c r="D108"/>
      <c r="E108"/>
      <c r="F108"/>
      <c r="G108"/>
      <c r="H108"/>
    </row>
    <row r="109" spans="2:8" x14ac:dyDescent="0.5">
      <c r="B109"/>
      <c r="C109"/>
      <c r="D109"/>
      <c r="E109"/>
      <c r="F109"/>
      <c r="G109"/>
      <c r="H109"/>
    </row>
    <row r="110" spans="2:8" x14ac:dyDescent="0.5">
      <c r="B110"/>
      <c r="C110"/>
      <c r="D110"/>
      <c r="E110"/>
      <c r="F110"/>
      <c r="G110"/>
      <c r="H110"/>
    </row>
    <row r="111" spans="2:8" x14ac:dyDescent="0.5">
      <c r="B111"/>
      <c r="C111"/>
      <c r="D111"/>
      <c r="E111"/>
      <c r="F111"/>
      <c r="G111"/>
      <c r="H111"/>
    </row>
    <row r="112" spans="2:8" x14ac:dyDescent="0.5">
      <c r="B112"/>
      <c r="C112"/>
      <c r="D112"/>
      <c r="E112"/>
      <c r="F112"/>
      <c r="G112"/>
      <c r="H112"/>
    </row>
    <row r="113" spans="2:8" x14ac:dyDescent="0.5">
      <c r="B113"/>
      <c r="C113"/>
      <c r="D113"/>
      <c r="E113"/>
      <c r="F113"/>
      <c r="G113"/>
      <c r="H113"/>
    </row>
    <row r="114" spans="2:8" x14ac:dyDescent="0.5">
      <c r="B114"/>
      <c r="C114"/>
      <c r="D114"/>
      <c r="E114"/>
      <c r="F114"/>
      <c r="G114"/>
      <c r="H114"/>
    </row>
    <row r="115" spans="2:8" x14ac:dyDescent="0.5">
      <c r="B115"/>
      <c r="C115"/>
      <c r="D115"/>
      <c r="E115"/>
      <c r="F115"/>
      <c r="G115"/>
      <c r="H115"/>
    </row>
    <row r="116" spans="2:8" x14ac:dyDescent="0.5">
      <c r="B116"/>
      <c r="C116"/>
      <c r="D116"/>
      <c r="E116"/>
      <c r="F116"/>
      <c r="G116"/>
      <c r="H116"/>
    </row>
    <row r="117" spans="2:8" x14ac:dyDescent="0.5">
      <c r="B117"/>
      <c r="C117"/>
      <c r="D117"/>
      <c r="E117"/>
      <c r="F117"/>
      <c r="G117"/>
      <c r="H117"/>
    </row>
    <row r="118" spans="2:8" x14ac:dyDescent="0.5">
      <c r="B118"/>
      <c r="C118"/>
      <c r="D118"/>
      <c r="E118"/>
      <c r="F118"/>
      <c r="G118"/>
      <c r="H118"/>
    </row>
    <row r="119" spans="2:8" x14ac:dyDescent="0.5">
      <c r="B119"/>
      <c r="C119"/>
      <c r="D119"/>
      <c r="E119"/>
      <c r="F119"/>
      <c r="G119"/>
      <c r="H119"/>
    </row>
    <row r="120" spans="2:8" x14ac:dyDescent="0.5">
      <c r="B120"/>
      <c r="C120"/>
      <c r="D120"/>
      <c r="E120"/>
      <c r="F120"/>
      <c r="G120"/>
      <c r="H120"/>
    </row>
    <row r="121" spans="2:8" x14ac:dyDescent="0.5">
      <c r="B121"/>
      <c r="C121"/>
      <c r="D121"/>
      <c r="E121"/>
      <c r="F121"/>
      <c r="G121"/>
      <c r="H121"/>
    </row>
    <row r="122" spans="2:8" x14ac:dyDescent="0.5">
      <c r="B122"/>
      <c r="C122"/>
      <c r="D122"/>
      <c r="E122"/>
      <c r="F122"/>
      <c r="G122"/>
      <c r="H122"/>
    </row>
    <row r="123" spans="2:8" x14ac:dyDescent="0.5">
      <c r="B123"/>
      <c r="C123"/>
      <c r="D123"/>
      <c r="E123"/>
      <c r="F123"/>
      <c r="G123"/>
      <c r="H123"/>
    </row>
    <row r="124" spans="2:8" x14ac:dyDescent="0.5">
      <c r="B124"/>
      <c r="C124"/>
      <c r="D124"/>
      <c r="E124"/>
      <c r="F124"/>
      <c r="G124"/>
      <c r="H124"/>
    </row>
    <row r="125" spans="2:8" x14ac:dyDescent="0.5">
      <c r="B125"/>
      <c r="C125"/>
      <c r="D125"/>
      <c r="E125"/>
      <c r="F125"/>
      <c r="G125"/>
      <c r="H125"/>
    </row>
    <row r="126" spans="2:8" x14ac:dyDescent="0.5">
      <c r="B126"/>
      <c r="C126"/>
      <c r="D126"/>
      <c r="E126"/>
      <c r="F126"/>
      <c r="G126"/>
      <c r="H126"/>
    </row>
    <row r="127" spans="2:8" x14ac:dyDescent="0.5">
      <c r="B127"/>
      <c r="C127"/>
      <c r="D127"/>
      <c r="E127"/>
      <c r="F127"/>
      <c r="G127"/>
      <c r="H127"/>
    </row>
    <row r="128" spans="2:8" x14ac:dyDescent="0.5">
      <c r="B128"/>
      <c r="C128"/>
      <c r="D128"/>
      <c r="E128"/>
    </row>
    <row r="129" spans="2:5" x14ac:dyDescent="0.5">
      <c r="B129"/>
      <c r="C129"/>
      <c r="D129"/>
      <c r="E129"/>
    </row>
    <row r="130" spans="2:5" x14ac:dyDescent="0.5">
      <c r="B130"/>
      <c r="C130"/>
      <c r="D130"/>
      <c r="E130"/>
    </row>
    <row r="131" spans="2:5" x14ac:dyDescent="0.5">
      <c r="B131"/>
      <c r="C131"/>
      <c r="D131"/>
      <c r="E131"/>
    </row>
    <row r="132" spans="2:5" x14ac:dyDescent="0.5">
      <c r="B132"/>
      <c r="C132"/>
      <c r="D132"/>
      <c r="E132"/>
    </row>
    <row r="133" spans="2:5" x14ac:dyDescent="0.5">
      <c r="B133"/>
      <c r="C133"/>
      <c r="D133"/>
      <c r="E133"/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1"/>
  <sheetViews>
    <sheetView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6.453125" style="1" customWidth="1"/>
    <col min="3" max="3" width="12.1796875" style="1" bestFit="1" customWidth="1"/>
    <col min="4" max="4" width="30.36328125" style="1" bestFit="1" customWidth="1"/>
    <col min="5" max="5" width="23.90625" style="1" bestFit="1" customWidth="1"/>
    <col min="6" max="6" width="15.6328125" style="1" bestFit="1" customWidth="1"/>
    <col min="7" max="7" width="13.81640625" style="1" bestFit="1" customWidth="1"/>
    <col min="8" max="8" width="42.08984375" style="1" bestFit="1" customWidth="1"/>
    <col min="9" max="16384" width="8.7265625" style="1"/>
  </cols>
  <sheetData>
    <row r="2" spans="2:8" x14ac:dyDescent="0.5">
      <c r="B2" s="5" t="s">
        <v>0</v>
      </c>
      <c r="C2" s="5" t="s">
        <v>1352</v>
      </c>
      <c r="D2" s="5" t="s">
        <v>1353</v>
      </c>
      <c r="E2" s="5" t="s">
        <v>1354</v>
      </c>
      <c r="F2" s="5" t="s">
        <v>1355</v>
      </c>
      <c r="G2" s="5" t="s">
        <v>1356</v>
      </c>
      <c r="H2" s="5" t="s">
        <v>1357</v>
      </c>
    </row>
    <row r="3" spans="2:8" x14ac:dyDescent="0.5">
      <c r="B3" s="1">
        <v>1</v>
      </c>
      <c r="C3" s="1" t="s">
        <v>262</v>
      </c>
      <c r="D3" s="1" t="s">
        <v>1358</v>
      </c>
      <c r="E3" s="1" t="s">
        <v>1320</v>
      </c>
      <c r="F3" s="1" t="s">
        <v>1320</v>
      </c>
      <c r="G3" s="1" t="s">
        <v>1359</v>
      </c>
      <c r="H3" s="1" t="s">
        <v>1360</v>
      </c>
    </row>
    <row r="4" spans="2:8" x14ac:dyDescent="0.5">
      <c r="B4" s="1">
        <v>2</v>
      </c>
      <c r="C4" s="1" t="s">
        <v>131</v>
      </c>
      <c r="D4" s="1" t="s">
        <v>1361</v>
      </c>
      <c r="E4" s="1" t="s">
        <v>1320</v>
      </c>
      <c r="F4" s="1" t="s">
        <v>1320</v>
      </c>
      <c r="G4" s="1" t="s">
        <v>1362</v>
      </c>
      <c r="H4" s="1" t="s">
        <v>1363</v>
      </c>
    </row>
    <row r="5" spans="2:8" x14ac:dyDescent="0.5">
      <c r="B5" s="1">
        <v>3</v>
      </c>
      <c r="C5" s="1" t="s">
        <v>57</v>
      </c>
      <c r="D5" s="1" t="s">
        <v>1364</v>
      </c>
      <c r="E5" s="1" t="s">
        <v>1320</v>
      </c>
      <c r="F5" s="1" t="s">
        <v>1320</v>
      </c>
      <c r="G5" s="1" t="s">
        <v>1365</v>
      </c>
      <c r="H5" s="1" t="s">
        <v>1366</v>
      </c>
    </row>
    <row r="6" spans="2:8" x14ac:dyDescent="0.5">
      <c r="B6" s="1">
        <v>4</v>
      </c>
      <c r="C6" s="1" t="s">
        <v>153</v>
      </c>
      <c r="D6" s="1" t="s">
        <v>1367</v>
      </c>
      <c r="E6" s="1" t="s">
        <v>1320</v>
      </c>
      <c r="F6" s="1" t="s">
        <v>1320</v>
      </c>
      <c r="G6" s="1" t="s">
        <v>1368</v>
      </c>
      <c r="H6" s="1" t="s">
        <v>1369</v>
      </c>
    </row>
    <row r="7" spans="2:8" x14ac:dyDescent="0.5">
      <c r="B7" s="1">
        <v>5</v>
      </c>
      <c r="C7" s="1" t="s">
        <v>238</v>
      </c>
      <c r="D7" s="1" t="s">
        <v>1370</v>
      </c>
      <c r="E7" s="1" t="s">
        <v>1320</v>
      </c>
      <c r="F7" s="1" t="s">
        <v>1320</v>
      </c>
      <c r="G7" s="1" t="s">
        <v>1371</v>
      </c>
      <c r="H7" s="1" t="s">
        <v>1372</v>
      </c>
    </row>
    <row r="8" spans="2:8" x14ac:dyDescent="0.5">
      <c r="B8" s="1">
        <v>6</v>
      </c>
      <c r="C8" s="1" t="s">
        <v>15</v>
      </c>
      <c r="D8" s="1" t="s">
        <v>1373</v>
      </c>
      <c r="E8" s="1" t="s">
        <v>1320</v>
      </c>
      <c r="F8" s="1" t="s">
        <v>1320</v>
      </c>
      <c r="G8" s="1" t="s">
        <v>1362</v>
      </c>
      <c r="H8" s="1" t="s">
        <v>1374</v>
      </c>
    </row>
    <row r="9" spans="2:8" x14ac:dyDescent="0.5">
      <c r="B9" s="1">
        <v>7</v>
      </c>
      <c r="C9" s="1" t="s">
        <v>84</v>
      </c>
      <c r="D9" s="1" t="s">
        <v>1375</v>
      </c>
      <c r="E9" s="1" t="s">
        <v>1320</v>
      </c>
      <c r="F9" s="1" t="s">
        <v>1320</v>
      </c>
      <c r="G9" s="1" t="s">
        <v>1359</v>
      </c>
      <c r="H9" s="1" t="s">
        <v>1376</v>
      </c>
    </row>
    <row r="10" spans="2:8" x14ac:dyDescent="0.5">
      <c r="B10" s="1">
        <v>8</v>
      </c>
      <c r="C10" s="1" t="s">
        <v>229</v>
      </c>
      <c r="D10" s="1" t="s">
        <v>1377</v>
      </c>
      <c r="E10" s="1" t="s">
        <v>1320</v>
      </c>
      <c r="F10" s="1" t="s">
        <v>1320</v>
      </c>
      <c r="G10" s="1" t="s">
        <v>1378</v>
      </c>
      <c r="H10" s="1" t="s">
        <v>1379</v>
      </c>
    </row>
    <row r="11" spans="2:8" x14ac:dyDescent="0.5">
      <c r="B11" s="1">
        <v>9</v>
      </c>
      <c r="C11" s="1" t="s">
        <v>128</v>
      </c>
      <c r="D11" s="1" t="s">
        <v>1380</v>
      </c>
      <c r="E11" s="1" t="s">
        <v>1320</v>
      </c>
      <c r="F11" s="1" t="s">
        <v>1320</v>
      </c>
      <c r="G11" s="1" t="s">
        <v>1365</v>
      </c>
      <c r="H11" s="1" t="s">
        <v>1381</v>
      </c>
    </row>
    <row r="12" spans="2:8" x14ac:dyDescent="0.5">
      <c r="B12" s="1">
        <v>10</v>
      </c>
      <c r="C12" s="1" t="s">
        <v>95</v>
      </c>
      <c r="D12" s="1" t="s">
        <v>1382</v>
      </c>
      <c r="E12" s="1" t="s">
        <v>1320</v>
      </c>
      <c r="F12" s="1" t="s">
        <v>1320</v>
      </c>
      <c r="G12" s="1" t="s">
        <v>1362</v>
      </c>
      <c r="H12" s="1" t="s">
        <v>1383</v>
      </c>
    </row>
    <row r="13" spans="2:8" x14ac:dyDescent="0.5">
      <c r="B13" s="1">
        <v>11</v>
      </c>
      <c r="C13" s="1" t="s">
        <v>175</v>
      </c>
      <c r="D13" s="1" t="s">
        <v>1384</v>
      </c>
      <c r="E13" s="1" t="s">
        <v>1320</v>
      </c>
      <c r="F13" s="1" t="s">
        <v>1320</v>
      </c>
      <c r="G13" s="1" t="s">
        <v>1385</v>
      </c>
      <c r="H13" s="1" t="s">
        <v>1386</v>
      </c>
    </row>
    <row r="14" spans="2:8" x14ac:dyDescent="0.5">
      <c r="B14" s="1">
        <v>12</v>
      </c>
      <c r="C14" s="1" t="s">
        <v>187</v>
      </c>
      <c r="D14" s="1" t="s">
        <v>1387</v>
      </c>
      <c r="E14" s="1" t="s">
        <v>1320</v>
      </c>
      <c r="F14" s="1" t="s">
        <v>1320</v>
      </c>
      <c r="G14" s="1" t="s">
        <v>1378</v>
      </c>
      <c r="H14" s="1" t="s">
        <v>1388</v>
      </c>
    </row>
    <row r="15" spans="2:8" x14ac:dyDescent="0.5">
      <c r="B15" s="1">
        <v>13</v>
      </c>
      <c r="C15" s="1" t="s">
        <v>35</v>
      </c>
      <c r="D15" s="1" t="s">
        <v>1389</v>
      </c>
      <c r="E15" s="1" t="s">
        <v>1320</v>
      </c>
      <c r="F15" s="1" t="s">
        <v>1320</v>
      </c>
      <c r="G15" s="1" t="s">
        <v>1359</v>
      </c>
      <c r="H15" s="1" t="s">
        <v>1390</v>
      </c>
    </row>
    <row r="16" spans="2:8" x14ac:dyDescent="0.5">
      <c r="B16" s="1">
        <v>14</v>
      </c>
      <c r="C16" s="1" t="s">
        <v>40</v>
      </c>
      <c r="D16" s="1" t="s">
        <v>1391</v>
      </c>
      <c r="E16" s="1" t="s">
        <v>1320</v>
      </c>
      <c r="F16" s="1" t="s">
        <v>1320</v>
      </c>
      <c r="G16" s="1" t="s">
        <v>1392</v>
      </c>
      <c r="H16" s="1" t="s">
        <v>1393</v>
      </c>
    </row>
    <row r="17" spans="2:8" x14ac:dyDescent="0.5">
      <c r="B17" s="1">
        <v>15</v>
      </c>
      <c r="C17" s="1" t="s">
        <v>190</v>
      </c>
      <c r="D17" s="1" t="s">
        <v>1394</v>
      </c>
      <c r="E17" s="1" t="s">
        <v>1320</v>
      </c>
      <c r="F17" s="1" t="s">
        <v>1320</v>
      </c>
      <c r="G17" s="1" t="s">
        <v>1395</v>
      </c>
      <c r="H17" s="1" t="s">
        <v>1396</v>
      </c>
    </row>
    <row r="18" spans="2:8" x14ac:dyDescent="0.5">
      <c r="B18" s="1">
        <v>16</v>
      </c>
      <c r="C18" s="1" t="s">
        <v>184</v>
      </c>
      <c r="D18" s="1" t="s">
        <v>1397</v>
      </c>
      <c r="E18" s="1" t="s">
        <v>1320</v>
      </c>
      <c r="F18" s="1" t="s">
        <v>1320</v>
      </c>
      <c r="G18" s="1" t="s">
        <v>1368</v>
      </c>
      <c r="H18" s="1" t="s">
        <v>1398</v>
      </c>
    </row>
    <row r="19" spans="2:8" x14ac:dyDescent="0.5">
      <c r="B19" s="1">
        <v>17</v>
      </c>
      <c r="C19" s="1" t="s">
        <v>143</v>
      </c>
      <c r="D19" s="1" t="s">
        <v>1399</v>
      </c>
      <c r="E19" s="1" t="s">
        <v>1320</v>
      </c>
      <c r="F19" s="1" t="s">
        <v>1320</v>
      </c>
      <c r="G19" s="1" t="s">
        <v>1378</v>
      </c>
      <c r="H19" s="1" t="s">
        <v>1400</v>
      </c>
    </row>
    <row r="20" spans="2:8" x14ac:dyDescent="0.5">
      <c r="B20" s="1">
        <v>18</v>
      </c>
      <c r="C20" s="1" t="s">
        <v>203</v>
      </c>
      <c r="D20" s="1" t="s">
        <v>1401</v>
      </c>
      <c r="E20" s="1" t="s">
        <v>1320</v>
      </c>
      <c r="F20" s="1" t="s">
        <v>1320</v>
      </c>
      <c r="G20" s="1" t="s">
        <v>1371</v>
      </c>
      <c r="H20" s="1" t="s">
        <v>1402</v>
      </c>
    </row>
    <row r="21" spans="2:8" x14ac:dyDescent="0.5">
      <c r="B21" s="1">
        <v>19</v>
      </c>
      <c r="C21" s="1" t="s">
        <v>114</v>
      </c>
      <c r="D21" s="1" t="s">
        <v>1403</v>
      </c>
      <c r="E21" s="1" t="s">
        <v>1320</v>
      </c>
      <c r="F21" s="1" t="s">
        <v>1320</v>
      </c>
      <c r="G21" s="1" t="s">
        <v>1378</v>
      </c>
      <c r="H21" s="1" t="s">
        <v>1404</v>
      </c>
    </row>
    <row r="22" spans="2:8" x14ac:dyDescent="0.5">
      <c r="B22" s="1">
        <v>20</v>
      </c>
      <c r="C22" s="1" t="s">
        <v>22</v>
      </c>
      <c r="D22" s="1" t="s">
        <v>1405</v>
      </c>
      <c r="E22" s="1" t="s">
        <v>1320</v>
      </c>
      <c r="F22" s="1" t="s">
        <v>1320</v>
      </c>
      <c r="G22" s="1" t="s">
        <v>1359</v>
      </c>
      <c r="H22" s="1" t="s">
        <v>1406</v>
      </c>
    </row>
    <row r="23" spans="2:8" x14ac:dyDescent="0.5">
      <c r="B23" s="1">
        <v>21</v>
      </c>
      <c r="C23" s="1" t="s">
        <v>119</v>
      </c>
      <c r="D23" s="1" t="s">
        <v>1407</v>
      </c>
      <c r="E23" s="1" t="s">
        <v>1320</v>
      </c>
      <c r="F23" s="1" t="s">
        <v>1320</v>
      </c>
      <c r="G23" s="1" t="s">
        <v>1365</v>
      </c>
      <c r="H23" s="1" t="s">
        <v>1408</v>
      </c>
    </row>
    <row r="24" spans="2:8" x14ac:dyDescent="0.5">
      <c r="B24" s="1">
        <v>22</v>
      </c>
      <c r="C24" s="1" t="s">
        <v>60</v>
      </c>
      <c r="D24" s="1" t="s">
        <v>1409</v>
      </c>
      <c r="E24" s="1" t="s">
        <v>1320</v>
      </c>
      <c r="F24" s="1" t="s">
        <v>1320</v>
      </c>
      <c r="G24" s="1" t="s">
        <v>1392</v>
      </c>
      <c r="H24" s="1" t="s">
        <v>1410</v>
      </c>
    </row>
    <row r="25" spans="2:8" x14ac:dyDescent="0.5">
      <c r="B25" s="1">
        <v>23</v>
      </c>
      <c r="C25" s="1" t="s">
        <v>103</v>
      </c>
      <c r="D25" s="1" t="s">
        <v>1411</v>
      </c>
      <c r="E25" s="1" t="s">
        <v>1320</v>
      </c>
      <c r="F25" s="1" t="s">
        <v>1320</v>
      </c>
      <c r="G25" s="1" t="s">
        <v>1392</v>
      </c>
      <c r="H25" s="1" t="s">
        <v>1412</v>
      </c>
    </row>
    <row r="26" spans="2:8" x14ac:dyDescent="0.5">
      <c r="B26" s="1">
        <v>24</v>
      </c>
      <c r="C26" s="1" t="s">
        <v>81</v>
      </c>
      <c r="D26" s="1" t="s">
        <v>1413</v>
      </c>
      <c r="E26" s="1" t="s">
        <v>1320</v>
      </c>
      <c r="F26" s="1" t="s">
        <v>1320</v>
      </c>
      <c r="G26" s="1" t="s">
        <v>1395</v>
      </c>
      <c r="H26" s="1" t="s">
        <v>1414</v>
      </c>
    </row>
    <row r="27" spans="2:8" x14ac:dyDescent="0.5">
      <c r="B27" s="1">
        <v>25</v>
      </c>
      <c r="C27" s="1" t="s">
        <v>27</v>
      </c>
      <c r="D27" s="1" t="s">
        <v>1415</v>
      </c>
      <c r="E27" s="1" t="s">
        <v>1320</v>
      </c>
      <c r="F27" s="1" t="s">
        <v>1320</v>
      </c>
      <c r="G27" s="1" t="s">
        <v>1392</v>
      </c>
      <c r="H27" s="1" t="s">
        <v>1416</v>
      </c>
    </row>
    <row r="28" spans="2:8" x14ac:dyDescent="0.5">
      <c r="B28" s="1">
        <v>26</v>
      </c>
      <c r="C28" s="1" t="s">
        <v>87</v>
      </c>
      <c r="D28" s="1" t="s">
        <v>1417</v>
      </c>
      <c r="E28" s="1" t="s">
        <v>1321</v>
      </c>
      <c r="F28" s="1" t="s">
        <v>1320</v>
      </c>
      <c r="G28" s="1" t="s">
        <v>1385</v>
      </c>
      <c r="H28" s="1" t="s">
        <v>1418</v>
      </c>
    </row>
    <row r="29" spans="2:8" x14ac:dyDescent="0.5">
      <c r="B29" s="1">
        <v>27</v>
      </c>
      <c r="C29" s="1" t="s">
        <v>54</v>
      </c>
      <c r="D29" s="1" t="s">
        <v>1419</v>
      </c>
      <c r="E29" s="1" t="s">
        <v>1320</v>
      </c>
      <c r="F29" s="1" t="s">
        <v>1320</v>
      </c>
      <c r="G29" s="1" t="s">
        <v>1359</v>
      </c>
      <c r="H29" s="1" t="s">
        <v>1420</v>
      </c>
    </row>
    <row r="30" spans="2:8" x14ac:dyDescent="0.5">
      <c r="B30" s="1">
        <v>28</v>
      </c>
      <c r="C30" s="1" t="s">
        <v>290</v>
      </c>
      <c r="D30" s="1" t="s">
        <v>1421</v>
      </c>
      <c r="E30" s="1" t="s">
        <v>1320</v>
      </c>
      <c r="F30" s="1" t="s">
        <v>1320</v>
      </c>
      <c r="G30" s="1" t="s">
        <v>1371</v>
      </c>
      <c r="H30" s="1" t="s">
        <v>1422</v>
      </c>
    </row>
    <row r="31" spans="2:8" x14ac:dyDescent="0.5">
      <c r="B31" s="1">
        <v>29</v>
      </c>
      <c r="C31" s="1" t="s">
        <v>45</v>
      </c>
      <c r="D31" s="1" t="s">
        <v>1423</v>
      </c>
      <c r="E31" s="1" t="s">
        <v>1320</v>
      </c>
      <c r="F31" s="1" t="s">
        <v>1320</v>
      </c>
      <c r="G31" s="1" t="s">
        <v>1378</v>
      </c>
      <c r="H31" s="1" t="s">
        <v>1424</v>
      </c>
    </row>
    <row r="32" spans="2:8" x14ac:dyDescent="0.5">
      <c r="B32" s="1">
        <v>30</v>
      </c>
      <c r="C32" s="1" t="s">
        <v>125</v>
      </c>
      <c r="D32" s="1" t="s">
        <v>1425</v>
      </c>
      <c r="E32" s="1" t="s">
        <v>1320</v>
      </c>
      <c r="F32" s="1" t="s">
        <v>1320</v>
      </c>
      <c r="G32" s="1" t="s">
        <v>1392</v>
      </c>
      <c r="H32" s="1" t="s">
        <v>1426</v>
      </c>
    </row>
    <row r="33" spans="2:8" x14ac:dyDescent="0.5">
      <c r="B33" s="1">
        <v>31</v>
      </c>
      <c r="C33" s="1" t="s">
        <v>67</v>
      </c>
      <c r="D33" s="1" t="s">
        <v>1427</v>
      </c>
      <c r="E33" s="1" t="s">
        <v>1320</v>
      </c>
      <c r="F33" s="1" t="s">
        <v>1320</v>
      </c>
      <c r="G33" s="1" t="s">
        <v>1368</v>
      </c>
      <c r="H33" s="1" t="s">
        <v>1428</v>
      </c>
    </row>
    <row r="34" spans="2:8" x14ac:dyDescent="0.5">
      <c r="B34" s="1">
        <v>32</v>
      </c>
      <c r="C34" s="1" t="s">
        <v>293</v>
      </c>
      <c r="D34" s="1" t="s">
        <v>1429</v>
      </c>
      <c r="E34" s="1" t="s">
        <v>1320</v>
      </c>
      <c r="F34" s="1" t="s">
        <v>1320</v>
      </c>
      <c r="G34" s="1" t="s">
        <v>1368</v>
      </c>
      <c r="H34" s="1" t="s">
        <v>1430</v>
      </c>
    </row>
    <row r="35" spans="2:8" s="2" customFormat="1" x14ac:dyDescent="0.5">
      <c r="B35" s="2">
        <v>33</v>
      </c>
      <c r="C35" s="2" t="s">
        <v>269</v>
      </c>
      <c r="D35" s="2" t="s">
        <v>1431</v>
      </c>
      <c r="E35" s="2" t="s">
        <v>1320</v>
      </c>
      <c r="F35" s="2" t="s">
        <v>1320</v>
      </c>
      <c r="G35" s="2" t="s">
        <v>1395</v>
      </c>
      <c r="H35" s="2" t="s">
        <v>1432</v>
      </c>
    </row>
    <row r="36" spans="2:8" s="2" customFormat="1" x14ac:dyDescent="0.5">
      <c r="B36" s="2">
        <v>34</v>
      </c>
      <c r="C36" s="2" t="s">
        <v>64</v>
      </c>
      <c r="D36" s="2" t="s">
        <v>1433</v>
      </c>
      <c r="E36" s="2" t="s">
        <v>1320</v>
      </c>
      <c r="F36" s="2" t="s">
        <v>1320</v>
      </c>
      <c r="G36" s="2" t="s">
        <v>1378</v>
      </c>
      <c r="H36" s="2" t="s">
        <v>1434</v>
      </c>
    </row>
    <row r="37" spans="2:8" s="2" customFormat="1" x14ac:dyDescent="0.5">
      <c r="B37" s="2">
        <v>35</v>
      </c>
      <c r="C37" s="2" t="s">
        <v>122</v>
      </c>
      <c r="D37" s="2" t="s">
        <v>1435</v>
      </c>
      <c r="E37" s="2" t="s">
        <v>1320</v>
      </c>
      <c r="F37" s="2" t="s">
        <v>1320</v>
      </c>
      <c r="G37" s="2" t="s">
        <v>1385</v>
      </c>
      <c r="H37" s="2" t="s">
        <v>1436</v>
      </c>
    </row>
    <row r="38" spans="2:8" s="2" customFormat="1" x14ac:dyDescent="0.5">
      <c r="B38" s="2">
        <v>36</v>
      </c>
      <c r="C38" s="2" t="s">
        <v>77</v>
      </c>
      <c r="D38" s="2" t="s">
        <v>1437</v>
      </c>
      <c r="E38" s="2" t="s">
        <v>1320</v>
      </c>
      <c r="F38" s="2" t="s">
        <v>1320</v>
      </c>
      <c r="G38" s="2" t="s">
        <v>1368</v>
      </c>
      <c r="H38" s="2" t="s">
        <v>1438</v>
      </c>
    </row>
    <row r="39" spans="2:8" s="2" customFormat="1" x14ac:dyDescent="0.5">
      <c r="B39" s="2">
        <v>37</v>
      </c>
      <c r="C39" s="2" t="s">
        <v>577</v>
      </c>
      <c r="D39" s="2" t="s">
        <v>1439</v>
      </c>
      <c r="E39" s="2" t="s">
        <v>1320</v>
      </c>
      <c r="F39" s="2" t="s">
        <v>1320</v>
      </c>
      <c r="G39" s="2" t="s">
        <v>1378</v>
      </c>
      <c r="H39" s="2" t="s">
        <v>1440</v>
      </c>
    </row>
    <row r="40" spans="2:8" s="2" customFormat="1" x14ac:dyDescent="0.5">
      <c r="B40" s="2">
        <v>38</v>
      </c>
      <c r="C40" s="2" t="s">
        <v>378</v>
      </c>
      <c r="D40" s="2" t="s">
        <v>1441</v>
      </c>
      <c r="E40" s="2" t="s">
        <v>1320</v>
      </c>
      <c r="F40" s="2" t="s">
        <v>1320</v>
      </c>
      <c r="G40" s="2" t="s">
        <v>1392</v>
      </c>
      <c r="H40" s="2" t="s">
        <v>1442</v>
      </c>
    </row>
    <row r="41" spans="2:8" s="2" customFormat="1" x14ac:dyDescent="0.5">
      <c r="B41" s="2">
        <v>39</v>
      </c>
      <c r="C41" s="2" t="s">
        <v>241</v>
      </c>
      <c r="D41" s="2" t="s">
        <v>1443</v>
      </c>
      <c r="E41" s="2" t="s">
        <v>1320</v>
      </c>
      <c r="F41" s="2" t="s">
        <v>1320</v>
      </c>
      <c r="G41" s="2" t="s">
        <v>1378</v>
      </c>
      <c r="H41" s="2" t="s">
        <v>1444</v>
      </c>
    </row>
    <row r="42" spans="2:8" s="2" customFormat="1" x14ac:dyDescent="0.5">
      <c r="B42" s="2">
        <v>40</v>
      </c>
      <c r="C42" s="2" t="s">
        <v>111</v>
      </c>
      <c r="D42" s="2" t="s">
        <v>1445</v>
      </c>
      <c r="E42" s="2" t="s">
        <v>1320</v>
      </c>
      <c r="F42" s="2" t="s">
        <v>1320</v>
      </c>
      <c r="G42" s="2" t="s">
        <v>1392</v>
      </c>
      <c r="H42" s="2" t="s">
        <v>1446</v>
      </c>
    </row>
    <row r="43" spans="2:8" x14ac:dyDescent="0.5">
      <c r="B43" s="1">
        <v>41</v>
      </c>
      <c r="C43" s="1" t="s">
        <v>308</v>
      </c>
      <c r="D43" s="1" t="s">
        <v>1447</v>
      </c>
      <c r="E43" s="1" t="s">
        <v>1321</v>
      </c>
      <c r="F43" s="1" t="s">
        <v>1320</v>
      </c>
      <c r="G43" s="1" t="s">
        <v>1359</v>
      </c>
      <c r="H43" s="1" t="s">
        <v>1448</v>
      </c>
    </row>
    <row r="44" spans="2:8" x14ac:dyDescent="0.5">
      <c r="B44" s="1">
        <v>42</v>
      </c>
      <c r="C44" s="1" t="s">
        <v>156</v>
      </c>
      <c r="D44" s="1" t="s">
        <v>1449</v>
      </c>
      <c r="E44" s="1" t="s">
        <v>1320</v>
      </c>
      <c r="F44" s="1" t="s">
        <v>1320</v>
      </c>
      <c r="G44" s="1" t="s">
        <v>1362</v>
      </c>
      <c r="H44" s="1" t="s">
        <v>1450</v>
      </c>
    </row>
    <row r="45" spans="2:8" x14ac:dyDescent="0.5">
      <c r="B45" s="1">
        <v>43</v>
      </c>
      <c r="C45" s="1" t="s">
        <v>50</v>
      </c>
      <c r="D45" s="1" t="s">
        <v>1451</v>
      </c>
      <c r="E45" s="1" t="s">
        <v>1321</v>
      </c>
      <c r="F45" s="1" t="s">
        <v>1320</v>
      </c>
      <c r="G45" s="1" t="s">
        <v>1385</v>
      </c>
      <c r="H45" s="1" t="s">
        <v>1452</v>
      </c>
    </row>
    <row r="46" spans="2:8" x14ac:dyDescent="0.5">
      <c r="B46" s="1">
        <v>44</v>
      </c>
      <c r="C46" s="1" t="s">
        <v>608</v>
      </c>
      <c r="D46" s="1" t="s">
        <v>1453</v>
      </c>
      <c r="E46" s="1" t="s">
        <v>1320</v>
      </c>
      <c r="F46" s="1" t="s">
        <v>1320</v>
      </c>
      <c r="G46" s="1" t="s">
        <v>1359</v>
      </c>
      <c r="H46" s="1" t="s">
        <v>1454</v>
      </c>
    </row>
    <row r="47" spans="2:8" x14ac:dyDescent="0.5">
      <c r="B47" s="1">
        <v>45</v>
      </c>
      <c r="C47" s="1" t="s">
        <v>272</v>
      </c>
      <c r="D47" s="1" t="s">
        <v>1455</v>
      </c>
      <c r="E47" s="1" t="s">
        <v>1320</v>
      </c>
      <c r="F47" s="1" t="s">
        <v>1320</v>
      </c>
      <c r="G47" s="1" t="s">
        <v>1365</v>
      </c>
      <c r="H47" s="1" t="s">
        <v>1456</v>
      </c>
    </row>
    <row r="48" spans="2:8" x14ac:dyDescent="0.5">
      <c r="B48" s="1">
        <v>46</v>
      </c>
      <c r="C48" s="1" t="s">
        <v>92</v>
      </c>
      <c r="D48" s="1" t="s">
        <v>1457</v>
      </c>
      <c r="E48" s="1" t="s">
        <v>1320</v>
      </c>
      <c r="F48" s="1" t="s">
        <v>1320</v>
      </c>
      <c r="G48" s="1" t="s">
        <v>1371</v>
      </c>
      <c r="H48" s="1" t="s">
        <v>1458</v>
      </c>
    </row>
    <row r="49" spans="2:8" x14ac:dyDescent="0.5">
      <c r="B49" s="1">
        <v>47</v>
      </c>
      <c r="C49" s="1" t="s">
        <v>72</v>
      </c>
      <c r="D49" s="1" t="s">
        <v>1459</v>
      </c>
      <c r="E49" s="1" t="s">
        <v>1320</v>
      </c>
      <c r="F49" s="1" t="s">
        <v>1320</v>
      </c>
      <c r="G49" s="1" t="s">
        <v>1365</v>
      </c>
      <c r="H49" s="1" t="s">
        <v>1460</v>
      </c>
    </row>
    <row r="50" spans="2:8" x14ac:dyDescent="0.5">
      <c r="B50" s="1">
        <v>48</v>
      </c>
      <c r="C50" s="1" t="s">
        <v>195</v>
      </c>
      <c r="D50" s="1" t="s">
        <v>1461</v>
      </c>
      <c r="E50" s="1" t="s">
        <v>1320</v>
      </c>
      <c r="F50" s="1" t="s">
        <v>1320</v>
      </c>
      <c r="G50" s="1" t="s">
        <v>1392</v>
      </c>
      <c r="H50" s="1" t="s">
        <v>1462</v>
      </c>
    </row>
    <row r="51" spans="2:8" x14ac:dyDescent="0.5">
      <c r="B51" s="1">
        <v>49</v>
      </c>
      <c r="C51" s="1" t="s">
        <v>332</v>
      </c>
      <c r="D51" s="1" t="s">
        <v>1463</v>
      </c>
      <c r="E51" s="1" t="s">
        <v>1320</v>
      </c>
      <c r="F51" s="1" t="s">
        <v>1320</v>
      </c>
      <c r="G51" s="1" t="s">
        <v>1365</v>
      </c>
      <c r="H51" s="1" t="s">
        <v>1464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2"/>
  <sheetViews>
    <sheetView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6.1796875" style="1" bestFit="1" customWidth="1"/>
    <col min="3" max="3" width="12" style="1" bestFit="1" customWidth="1"/>
    <col min="4" max="4" width="15.26953125" style="1" bestFit="1" customWidth="1"/>
    <col min="5" max="5" width="23.90625" style="1" bestFit="1" customWidth="1"/>
    <col min="6" max="6" width="15.6328125" style="1" bestFit="1" customWidth="1"/>
    <col min="7" max="16384" width="8.7265625" style="1"/>
  </cols>
  <sheetData>
    <row r="2" spans="2:6" x14ac:dyDescent="0.5">
      <c r="B2" s="5" t="s">
        <v>0</v>
      </c>
      <c r="C2" s="5" t="s">
        <v>1315</v>
      </c>
      <c r="D2" s="5" t="s">
        <v>1316</v>
      </c>
      <c r="E2" s="5" t="s">
        <v>1317</v>
      </c>
      <c r="F2" s="5" t="s">
        <v>1318</v>
      </c>
    </row>
    <row r="3" spans="2:6" x14ac:dyDescent="0.5">
      <c r="B3" s="1">
        <v>1</v>
      </c>
      <c r="C3" s="1" t="s">
        <v>737</v>
      </c>
      <c r="D3" s="1" t="s">
        <v>1319</v>
      </c>
      <c r="E3" s="1" t="s">
        <v>1320</v>
      </c>
      <c r="F3" s="1" t="s">
        <v>1321</v>
      </c>
    </row>
    <row r="4" spans="2:6" x14ac:dyDescent="0.5">
      <c r="B4" s="1">
        <v>2</v>
      </c>
      <c r="C4" s="1" t="s">
        <v>134</v>
      </c>
      <c r="D4" s="1" t="s">
        <v>1319</v>
      </c>
      <c r="E4" s="1" t="s">
        <v>1320</v>
      </c>
      <c r="F4" s="1" t="s">
        <v>1321</v>
      </c>
    </row>
    <row r="5" spans="2:6" x14ac:dyDescent="0.5">
      <c r="B5" s="1">
        <v>3</v>
      </c>
      <c r="C5" s="1" t="s">
        <v>36</v>
      </c>
      <c r="D5" s="1" t="s">
        <v>1319</v>
      </c>
      <c r="E5" s="1" t="s">
        <v>1320</v>
      </c>
      <c r="F5" s="1" t="s">
        <v>1321</v>
      </c>
    </row>
    <row r="6" spans="2:6" x14ac:dyDescent="0.5">
      <c r="B6" s="1">
        <v>4</v>
      </c>
      <c r="C6" s="1" t="s">
        <v>31</v>
      </c>
      <c r="D6" s="1" t="s">
        <v>1319</v>
      </c>
      <c r="E6" s="1" t="s">
        <v>1320</v>
      </c>
      <c r="F6" s="1" t="s">
        <v>1321</v>
      </c>
    </row>
    <row r="7" spans="2:6" x14ac:dyDescent="0.5">
      <c r="B7" s="1">
        <v>5</v>
      </c>
      <c r="C7" s="1" t="s">
        <v>923</v>
      </c>
      <c r="D7" s="1" t="s">
        <v>1319</v>
      </c>
      <c r="E7" s="1" t="s">
        <v>1320</v>
      </c>
      <c r="F7" s="1" t="s">
        <v>1321</v>
      </c>
    </row>
    <row r="8" spans="2:6" x14ac:dyDescent="0.5">
      <c r="B8" s="1">
        <v>6</v>
      </c>
      <c r="C8" s="1" t="s">
        <v>106</v>
      </c>
      <c r="D8" s="1" t="s">
        <v>1319</v>
      </c>
      <c r="E8" s="1" t="s">
        <v>1320</v>
      </c>
      <c r="F8" s="1" t="s">
        <v>1321</v>
      </c>
    </row>
    <row r="9" spans="2:6" x14ac:dyDescent="0.5">
      <c r="B9" s="1">
        <v>7</v>
      </c>
      <c r="C9" s="1" t="s">
        <v>704</v>
      </c>
      <c r="D9" s="1" t="s">
        <v>1319</v>
      </c>
      <c r="E9" s="1" t="s">
        <v>1320</v>
      </c>
      <c r="F9" s="1" t="s">
        <v>1321</v>
      </c>
    </row>
    <row r="10" spans="2:6" x14ac:dyDescent="0.5">
      <c r="B10" s="1">
        <v>8</v>
      </c>
      <c r="C10" s="1" t="s">
        <v>78</v>
      </c>
      <c r="D10" s="1" t="s">
        <v>1319</v>
      </c>
      <c r="E10" s="1" t="s">
        <v>1320</v>
      </c>
      <c r="F10" s="1" t="s">
        <v>1321</v>
      </c>
    </row>
    <row r="11" spans="2:6" x14ac:dyDescent="0.5">
      <c r="B11" s="1">
        <v>9</v>
      </c>
      <c r="C11" s="1" t="s">
        <v>200</v>
      </c>
      <c r="D11" s="1" t="s">
        <v>1319</v>
      </c>
      <c r="E11" s="1" t="s">
        <v>1320</v>
      </c>
      <c r="F11" s="1" t="s">
        <v>1321</v>
      </c>
    </row>
    <row r="12" spans="2:6" x14ac:dyDescent="0.5">
      <c r="B12" s="1">
        <v>10</v>
      </c>
      <c r="C12" s="1" t="s">
        <v>168</v>
      </c>
      <c r="D12" s="1" t="s">
        <v>1319</v>
      </c>
      <c r="E12" s="1" t="s">
        <v>1320</v>
      </c>
      <c r="F12" s="1" t="s">
        <v>1321</v>
      </c>
    </row>
    <row r="13" spans="2:6" x14ac:dyDescent="0.5">
      <c r="B13" s="1">
        <v>11</v>
      </c>
      <c r="C13" s="1" t="s">
        <v>32</v>
      </c>
      <c r="D13" s="1" t="s">
        <v>1322</v>
      </c>
      <c r="E13" s="1" t="s">
        <v>1320</v>
      </c>
      <c r="F13" s="1" t="s">
        <v>1320</v>
      </c>
    </row>
    <row r="14" spans="2:6" x14ac:dyDescent="0.5">
      <c r="B14" s="1">
        <v>12</v>
      </c>
      <c r="C14" s="1" t="s">
        <v>23</v>
      </c>
      <c r="D14" s="1" t="s">
        <v>1322</v>
      </c>
      <c r="E14" s="1" t="s">
        <v>1320</v>
      </c>
      <c r="F14" s="1" t="s">
        <v>1320</v>
      </c>
    </row>
    <row r="15" spans="2:6" x14ac:dyDescent="0.5">
      <c r="B15" s="1">
        <v>13</v>
      </c>
      <c r="C15" s="1" t="s">
        <v>46</v>
      </c>
      <c r="D15" s="1" t="s">
        <v>1322</v>
      </c>
      <c r="E15" s="1" t="s">
        <v>1320</v>
      </c>
      <c r="F15" s="1" t="s">
        <v>1320</v>
      </c>
    </row>
    <row r="16" spans="2:6" x14ac:dyDescent="0.5">
      <c r="B16" s="1">
        <v>14</v>
      </c>
      <c r="C16" s="1" t="s">
        <v>61</v>
      </c>
      <c r="D16" s="1" t="s">
        <v>1322</v>
      </c>
      <c r="E16" s="1" t="s">
        <v>1320</v>
      </c>
      <c r="F16" s="1" t="s">
        <v>1320</v>
      </c>
    </row>
    <row r="17" spans="2:6" x14ac:dyDescent="0.5">
      <c r="B17" s="1">
        <v>15</v>
      </c>
      <c r="C17" s="1" t="s">
        <v>37</v>
      </c>
      <c r="D17" s="1" t="s">
        <v>1322</v>
      </c>
      <c r="E17" s="1" t="s">
        <v>1320</v>
      </c>
      <c r="F17" s="1" t="s">
        <v>1320</v>
      </c>
    </row>
    <row r="18" spans="2:6" x14ac:dyDescent="0.5">
      <c r="B18" s="1">
        <v>16</v>
      </c>
      <c r="C18" s="1" t="s">
        <v>18</v>
      </c>
      <c r="D18" s="1" t="s">
        <v>1322</v>
      </c>
      <c r="E18" s="1" t="s">
        <v>1320</v>
      </c>
      <c r="F18" s="1" t="s">
        <v>1320</v>
      </c>
    </row>
    <row r="19" spans="2:6" x14ac:dyDescent="0.5">
      <c r="B19" s="1">
        <v>17</v>
      </c>
      <c r="C19" s="1" t="s">
        <v>28</v>
      </c>
      <c r="D19" s="1" t="s">
        <v>1322</v>
      </c>
      <c r="E19" s="1" t="s">
        <v>1320</v>
      </c>
      <c r="F19" s="1" t="s">
        <v>1320</v>
      </c>
    </row>
    <row r="20" spans="2:6" x14ac:dyDescent="0.5">
      <c r="B20" s="1">
        <v>18</v>
      </c>
      <c r="C20" s="1" t="s">
        <v>24</v>
      </c>
      <c r="D20" s="1" t="s">
        <v>1323</v>
      </c>
      <c r="E20" s="1" t="s">
        <v>1320</v>
      </c>
      <c r="F20" s="1" t="s">
        <v>1320</v>
      </c>
    </row>
    <row r="21" spans="2:6" x14ac:dyDescent="0.5">
      <c r="B21" s="1">
        <v>19</v>
      </c>
      <c r="C21" s="1" t="s">
        <v>19</v>
      </c>
      <c r="D21" s="1" t="s">
        <v>1323</v>
      </c>
      <c r="E21" s="1" t="s">
        <v>1320</v>
      </c>
      <c r="F21" s="1" t="s">
        <v>1320</v>
      </c>
    </row>
    <row r="22" spans="2:6" x14ac:dyDescent="0.5">
      <c r="B22" s="1">
        <v>20</v>
      </c>
      <c r="C22" s="1" t="s">
        <v>68</v>
      </c>
      <c r="D22" s="1" t="s">
        <v>1323</v>
      </c>
      <c r="E22" s="1" t="s">
        <v>1320</v>
      </c>
      <c r="F22" s="1" t="s">
        <v>1320</v>
      </c>
    </row>
    <row r="23" spans="2:6" x14ac:dyDescent="0.5">
      <c r="B23" s="1">
        <v>21</v>
      </c>
      <c r="C23" s="1" t="s">
        <v>51</v>
      </c>
      <c r="D23" s="1" t="s">
        <v>1323</v>
      </c>
      <c r="E23" s="1" t="s">
        <v>1320</v>
      </c>
      <c r="F23" s="1" t="s">
        <v>1320</v>
      </c>
    </row>
    <row r="24" spans="2:6" x14ac:dyDescent="0.5">
      <c r="B24" s="1">
        <v>22</v>
      </c>
      <c r="C24" s="1" t="s">
        <v>47</v>
      </c>
      <c r="D24" s="1" t="s">
        <v>1323</v>
      </c>
      <c r="E24" s="1" t="s">
        <v>1320</v>
      </c>
      <c r="F24" s="1" t="s">
        <v>1320</v>
      </c>
    </row>
    <row r="25" spans="2:6" x14ac:dyDescent="0.5">
      <c r="B25" s="1">
        <v>23</v>
      </c>
      <c r="C25" s="1" t="s">
        <v>1078</v>
      </c>
      <c r="D25" s="1" t="s">
        <v>1324</v>
      </c>
      <c r="E25" s="1" t="s">
        <v>1320</v>
      </c>
      <c r="F25" s="1" t="s">
        <v>1320</v>
      </c>
    </row>
    <row r="26" spans="2:6" x14ac:dyDescent="0.5">
      <c r="B26" s="1">
        <v>24</v>
      </c>
      <c r="C26" s="58" t="s">
        <v>701</v>
      </c>
      <c r="D26" s="58" t="s">
        <v>1324</v>
      </c>
      <c r="E26" s="1" t="s">
        <v>1320</v>
      </c>
      <c r="F26" s="1" t="s">
        <v>1320</v>
      </c>
    </row>
    <row r="27" spans="2:6" x14ac:dyDescent="0.5">
      <c r="B27" s="1">
        <v>25</v>
      </c>
      <c r="C27" s="58" t="s">
        <v>69</v>
      </c>
      <c r="D27" s="58" t="s">
        <v>1324</v>
      </c>
      <c r="E27" s="1" t="s">
        <v>1320</v>
      </c>
      <c r="F27" s="1" t="s">
        <v>1320</v>
      </c>
    </row>
    <row r="28" spans="2:6" x14ac:dyDescent="0.5">
      <c r="B28" s="1">
        <v>26</v>
      </c>
      <c r="C28" s="58" t="s">
        <v>41</v>
      </c>
      <c r="D28" s="58" t="s">
        <v>1325</v>
      </c>
      <c r="E28" s="1" t="s">
        <v>1320</v>
      </c>
      <c r="F28" s="1" t="s">
        <v>1320</v>
      </c>
    </row>
    <row r="29" spans="2:6" x14ac:dyDescent="0.5">
      <c r="B29" s="1">
        <v>27</v>
      </c>
      <c r="C29" s="58" t="s">
        <v>42</v>
      </c>
      <c r="D29" s="58" t="s">
        <v>1326</v>
      </c>
      <c r="E29" s="1" t="s">
        <v>1321</v>
      </c>
      <c r="F29" s="1" t="s">
        <v>1320</v>
      </c>
    </row>
    <row r="30" spans="2:6" x14ac:dyDescent="0.5">
      <c r="B30" s="1">
        <v>28</v>
      </c>
      <c r="C30" s="1" t="s">
        <v>144</v>
      </c>
      <c r="D30" s="1" t="s">
        <v>1327</v>
      </c>
      <c r="E30" s="1" t="s">
        <v>1321</v>
      </c>
      <c r="F30" s="1" t="s">
        <v>1320</v>
      </c>
    </row>
    <row r="31" spans="2:6" x14ac:dyDescent="0.5">
      <c r="B31" s="1">
        <v>29</v>
      </c>
      <c r="C31" s="1" t="s">
        <v>1328</v>
      </c>
      <c r="D31" s="1" t="s">
        <v>1329</v>
      </c>
      <c r="E31" s="1" t="s">
        <v>1321</v>
      </c>
      <c r="F31" s="1" t="s">
        <v>1320</v>
      </c>
    </row>
    <row r="32" spans="2:6" x14ac:dyDescent="0.5">
      <c r="B32" s="1">
        <v>30</v>
      </c>
      <c r="C32" s="1" t="s">
        <v>1330</v>
      </c>
      <c r="D32" s="1" t="s">
        <v>1331</v>
      </c>
      <c r="E32" s="1" t="s">
        <v>1321</v>
      </c>
      <c r="F32" s="1" t="s">
        <v>1320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G625"/>
  <sheetViews>
    <sheetView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37.08984375" style="1" bestFit="1" customWidth="1"/>
    <col min="3" max="3" width="22.36328125" style="1" bestFit="1" customWidth="1"/>
    <col min="4" max="4" width="20.54296875" style="1" bestFit="1" customWidth="1"/>
    <col min="5" max="5" width="20.54296875" style="1" customWidth="1"/>
    <col min="6" max="6" width="24.54296875" style="1" bestFit="1" customWidth="1"/>
    <col min="7" max="7" width="11.1796875" style="1" bestFit="1" customWidth="1"/>
    <col min="8" max="16384" width="8.7265625" style="1"/>
  </cols>
  <sheetData>
    <row r="2" spans="2:7" x14ac:dyDescent="0.5">
      <c r="B2" s="24" t="s">
        <v>1475</v>
      </c>
      <c r="C2" s="5" t="s">
        <v>1479</v>
      </c>
      <c r="D2" s="5" t="s">
        <v>1480</v>
      </c>
      <c r="E2" s="5" t="s">
        <v>1524</v>
      </c>
      <c r="F2" s="5" t="s">
        <v>1525</v>
      </c>
    </row>
    <row r="3" spans="2:7" hidden="1" x14ac:dyDescent="0.5">
      <c r="B3" s="1" t="s">
        <v>14</v>
      </c>
      <c r="C3" s="1" t="s">
        <v>1526</v>
      </c>
      <c r="D3" s="1" t="s">
        <v>1324</v>
      </c>
      <c r="E3" s="26">
        <v>43922</v>
      </c>
      <c r="F3" s="26">
        <v>43952</v>
      </c>
      <c r="G3" s="25"/>
    </row>
    <row r="4" spans="2:7" hidden="1" x14ac:dyDescent="0.5">
      <c r="B4" s="1" t="s">
        <v>26</v>
      </c>
      <c r="C4" s="1" t="s">
        <v>1526</v>
      </c>
      <c r="D4" s="1" t="s">
        <v>1324</v>
      </c>
      <c r="E4" s="26">
        <v>43924</v>
      </c>
      <c r="F4" s="26">
        <v>43955</v>
      </c>
      <c r="G4" s="26"/>
    </row>
    <row r="5" spans="2:7" hidden="1" x14ac:dyDescent="0.5">
      <c r="B5" s="1" t="s">
        <v>21</v>
      </c>
      <c r="C5" s="1" t="s">
        <v>1526</v>
      </c>
      <c r="D5" s="1" t="s">
        <v>1324</v>
      </c>
      <c r="E5" s="26">
        <v>43924</v>
      </c>
      <c r="F5" s="26">
        <v>43962</v>
      </c>
      <c r="G5" s="26"/>
    </row>
    <row r="6" spans="2:7" hidden="1" x14ac:dyDescent="0.5">
      <c r="B6" s="1" t="s">
        <v>39</v>
      </c>
      <c r="C6" s="1" t="s">
        <v>1526</v>
      </c>
      <c r="D6" s="1" t="s">
        <v>1325</v>
      </c>
      <c r="E6" s="26">
        <v>43925</v>
      </c>
      <c r="F6" s="26">
        <v>43965</v>
      </c>
      <c r="G6" s="26"/>
    </row>
    <row r="7" spans="2:7" hidden="1" x14ac:dyDescent="0.5">
      <c r="B7" s="1" t="s">
        <v>44</v>
      </c>
      <c r="C7" s="1" t="s">
        <v>1526</v>
      </c>
      <c r="D7" s="1" t="s">
        <v>1324</v>
      </c>
      <c r="E7" s="26">
        <v>43925</v>
      </c>
      <c r="F7" s="26">
        <v>43950</v>
      </c>
      <c r="G7" s="26"/>
    </row>
    <row r="8" spans="2:7" hidden="1" x14ac:dyDescent="0.5">
      <c r="B8" s="1" t="s">
        <v>34</v>
      </c>
      <c r="C8" s="1" t="s">
        <v>1526</v>
      </c>
      <c r="D8" s="1" t="s">
        <v>1324</v>
      </c>
      <c r="E8" s="26">
        <v>43925</v>
      </c>
      <c r="F8" s="26">
        <v>43965</v>
      </c>
      <c r="G8" s="26"/>
    </row>
    <row r="9" spans="2:7" hidden="1" x14ac:dyDescent="0.5">
      <c r="B9" s="1" t="s">
        <v>30</v>
      </c>
      <c r="C9" s="1" t="s">
        <v>1526</v>
      </c>
      <c r="D9" s="1" t="s">
        <v>1324</v>
      </c>
      <c r="E9" s="26">
        <v>43925</v>
      </c>
      <c r="F9" s="26">
        <v>43954</v>
      </c>
      <c r="G9" s="26"/>
    </row>
    <row r="10" spans="2:7" hidden="1" x14ac:dyDescent="0.5">
      <c r="B10" s="1" t="s">
        <v>49</v>
      </c>
      <c r="C10" s="1" t="s">
        <v>1526</v>
      </c>
      <c r="D10" s="1" t="s">
        <v>1324</v>
      </c>
      <c r="E10" s="26">
        <v>43928</v>
      </c>
      <c r="F10" s="26">
        <v>43971</v>
      </c>
      <c r="G10" s="26"/>
    </row>
    <row r="11" spans="2:7" hidden="1" x14ac:dyDescent="0.5">
      <c r="B11" s="1" t="s">
        <v>53</v>
      </c>
      <c r="C11" s="1" t="s">
        <v>1526</v>
      </c>
      <c r="D11" s="1" t="s">
        <v>1324</v>
      </c>
      <c r="E11" s="26">
        <v>43929</v>
      </c>
      <c r="F11" s="26">
        <v>43956</v>
      </c>
      <c r="G11" s="26"/>
    </row>
    <row r="12" spans="2:7" hidden="1" x14ac:dyDescent="0.5">
      <c r="B12" s="1" t="s">
        <v>56</v>
      </c>
      <c r="C12" s="1" t="s">
        <v>1526</v>
      </c>
      <c r="D12" s="1" t="s">
        <v>1324</v>
      </c>
      <c r="E12" s="26">
        <v>43930</v>
      </c>
      <c r="F12" s="26">
        <v>43971</v>
      </c>
      <c r="G12" s="26"/>
    </row>
    <row r="13" spans="2:7" hidden="1" x14ac:dyDescent="0.5">
      <c r="B13" s="1" t="s">
        <v>59</v>
      </c>
      <c r="C13" s="1" t="s">
        <v>1526</v>
      </c>
      <c r="D13" s="1" t="s">
        <v>1324</v>
      </c>
      <c r="E13" s="26">
        <v>43932</v>
      </c>
      <c r="F13" s="26">
        <v>43957</v>
      </c>
      <c r="G13" s="26"/>
    </row>
    <row r="14" spans="2:7" hidden="1" x14ac:dyDescent="0.5">
      <c r="B14" s="1" t="s">
        <v>63</v>
      </c>
      <c r="C14" s="1" t="s">
        <v>1526</v>
      </c>
      <c r="D14" s="1" t="s">
        <v>1324</v>
      </c>
      <c r="E14" s="26">
        <v>43937</v>
      </c>
      <c r="F14" s="26">
        <v>43972</v>
      </c>
      <c r="G14" s="26"/>
    </row>
    <row r="15" spans="2:7" hidden="1" x14ac:dyDescent="0.5">
      <c r="B15" s="1" t="s">
        <v>66</v>
      </c>
      <c r="C15" s="1" t="s">
        <v>1526</v>
      </c>
      <c r="D15" s="1" t="s">
        <v>1324</v>
      </c>
      <c r="E15" s="26">
        <v>43939</v>
      </c>
      <c r="F15" s="26">
        <v>43971</v>
      </c>
      <c r="G15" s="26"/>
    </row>
    <row r="16" spans="2:7" hidden="1" x14ac:dyDescent="0.5">
      <c r="B16" s="1" t="s">
        <v>74</v>
      </c>
      <c r="C16" s="1" t="s">
        <v>1526</v>
      </c>
      <c r="D16" s="1" t="s">
        <v>1324</v>
      </c>
      <c r="E16" s="26">
        <v>43942</v>
      </c>
      <c r="F16" s="26">
        <v>43980</v>
      </c>
      <c r="G16" s="26"/>
    </row>
    <row r="17" spans="2:7" hidden="1" x14ac:dyDescent="0.5">
      <c r="B17" s="1" t="s">
        <v>71</v>
      </c>
      <c r="C17" s="1" t="s">
        <v>1526</v>
      </c>
      <c r="D17" s="1" t="s">
        <v>1324</v>
      </c>
      <c r="E17" s="26">
        <v>43942</v>
      </c>
      <c r="F17" s="26">
        <v>43976</v>
      </c>
      <c r="G17" s="26"/>
    </row>
    <row r="18" spans="2:7" hidden="1" x14ac:dyDescent="0.5">
      <c r="B18" s="1" t="s">
        <v>76</v>
      </c>
      <c r="C18" s="1" t="s">
        <v>1526</v>
      </c>
      <c r="D18" s="1" t="s">
        <v>1324</v>
      </c>
      <c r="E18" s="26">
        <v>43943</v>
      </c>
      <c r="F18" s="26">
        <v>43974</v>
      </c>
      <c r="G18" s="26"/>
    </row>
    <row r="19" spans="2:7" hidden="1" x14ac:dyDescent="0.5">
      <c r="B19" s="1" t="s">
        <v>80</v>
      </c>
      <c r="C19" s="1" t="s">
        <v>1526</v>
      </c>
      <c r="D19" s="1" t="s">
        <v>1324</v>
      </c>
      <c r="E19" s="26">
        <v>43945</v>
      </c>
      <c r="F19" s="26">
        <v>43978</v>
      </c>
      <c r="G19" s="26"/>
    </row>
    <row r="20" spans="2:7" hidden="1" x14ac:dyDescent="0.5">
      <c r="B20" s="1" t="s">
        <v>83</v>
      </c>
      <c r="C20" s="1" t="s">
        <v>1526</v>
      </c>
      <c r="D20" s="1" t="s">
        <v>1324</v>
      </c>
      <c r="E20" s="26">
        <v>43946</v>
      </c>
      <c r="F20" s="26">
        <v>43973</v>
      </c>
      <c r="G20" s="26"/>
    </row>
    <row r="21" spans="2:7" hidden="1" x14ac:dyDescent="0.5">
      <c r="B21" s="1" t="s">
        <v>86</v>
      </c>
      <c r="C21" s="1" t="s">
        <v>1526</v>
      </c>
      <c r="D21" s="1" t="s">
        <v>1324</v>
      </c>
      <c r="E21" s="26">
        <v>43948</v>
      </c>
      <c r="F21" s="26">
        <v>43980</v>
      </c>
      <c r="G21" s="26"/>
    </row>
    <row r="22" spans="2:7" hidden="1" x14ac:dyDescent="0.5">
      <c r="B22" s="1" t="s">
        <v>89</v>
      </c>
      <c r="C22" s="1" t="s">
        <v>1526</v>
      </c>
      <c r="D22" s="1" t="s">
        <v>1324</v>
      </c>
      <c r="E22" s="26">
        <v>43949</v>
      </c>
      <c r="F22" s="26">
        <v>43988</v>
      </c>
      <c r="G22" s="26"/>
    </row>
    <row r="23" spans="2:7" hidden="1" x14ac:dyDescent="0.5">
      <c r="B23" s="1" t="s">
        <v>91</v>
      </c>
      <c r="C23" s="1" t="s">
        <v>1526</v>
      </c>
      <c r="D23" s="1" t="s">
        <v>1324</v>
      </c>
      <c r="E23" s="26">
        <v>43952</v>
      </c>
      <c r="F23" s="26">
        <v>43984</v>
      </c>
      <c r="G23" s="26"/>
    </row>
    <row r="24" spans="2:7" hidden="1" x14ac:dyDescent="0.5">
      <c r="B24" s="1" t="s">
        <v>94</v>
      </c>
      <c r="C24" s="1" t="s">
        <v>1526</v>
      </c>
      <c r="D24" s="1" t="s">
        <v>1324</v>
      </c>
      <c r="E24" s="26">
        <v>43955</v>
      </c>
      <c r="F24" s="26">
        <v>43989</v>
      </c>
      <c r="G24" s="26"/>
    </row>
    <row r="25" spans="2:7" hidden="1" x14ac:dyDescent="0.5">
      <c r="B25" s="1" t="s">
        <v>98</v>
      </c>
      <c r="C25" s="1" t="s">
        <v>1526</v>
      </c>
      <c r="D25" s="1" t="s">
        <v>1324</v>
      </c>
      <c r="E25" s="26">
        <v>43955</v>
      </c>
      <c r="F25" s="26">
        <v>43990</v>
      </c>
      <c r="G25" s="26"/>
    </row>
    <row r="26" spans="2:7" hidden="1" x14ac:dyDescent="0.5">
      <c r="B26" s="1" t="s">
        <v>100</v>
      </c>
      <c r="C26" s="1" t="s">
        <v>1526</v>
      </c>
      <c r="D26" s="1" t="s">
        <v>1324</v>
      </c>
      <c r="E26" s="26">
        <v>43955</v>
      </c>
      <c r="F26" s="26">
        <v>43990</v>
      </c>
      <c r="G26" s="26"/>
    </row>
    <row r="27" spans="2:7" hidden="1" x14ac:dyDescent="0.5">
      <c r="B27" s="1" t="s">
        <v>102</v>
      </c>
      <c r="C27" s="1" t="s">
        <v>1526</v>
      </c>
      <c r="D27" s="1" t="s">
        <v>1324</v>
      </c>
      <c r="E27" s="26">
        <v>43956</v>
      </c>
      <c r="F27" s="26">
        <v>43981</v>
      </c>
      <c r="G27" s="26"/>
    </row>
    <row r="28" spans="2:7" hidden="1" x14ac:dyDescent="0.5">
      <c r="B28" s="1" t="s">
        <v>105</v>
      </c>
      <c r="C28" s="1" t="s">
        <v>1526</v>
      </c>
      <c r="D28" s="1" t="s">
        <v>1324</v>
      </c>
      <c r="E28" s="26">
        <v>43957</v>
      </c>
      <c r="F28" s="26">
        <v>43984</v>
      </c>
      <c r="G28" s="26"/>
    </row>
    <row r="29" spans="2:7" hidden="1" x14ac:dyDescent="0.5">
      <c r="B29" s="1" t="s">
        <v>110</v>
      </c>
      <c r="C29" s="1" t="s">
        <v>1526</v>
      </c>
      <c r="D29" s="1" t="s">
        <v>1325</v>
      </c>
      <c r="E29" s="26">
        <v>43958</v>
      </c>
      <c r="F29" s="26">
        <v>43990</v>
      </c>
      <c r="G29" s="26"/>
    </row>
    <row r="30" spans="2:7" hidden="1" x14ac:dyDescent="0.5">
      <c r="B30" s="1" t="s">
        <v>108</v>
      </c>
      <c r="C30" s="1" t="s">
        <v>1526</v>
      </c>
      <c r="D30" s="1" t="s">
        <v>1324</v>
      </c>
      <c r="E30" s="26">
        <v>43958</v>
      </c>
      <c r="F30" s="26">
        <v>43983</v>
      </c>
      <c r="G30" s="26"/>
    </row>
    <row r="31" spans="2:7" hidden="1" x14ac:dyDescent="0.5">
      <c r="B31" s="1" t="s">
        <v>113</v>
      </c>
      <c r="C31" s="1" t="s">
        <v>1526</v>
      </c>
      <c r="D31" s="1" t="s">
        <v>1324</v>
      </c>
      <c r="E31" s="26">
        <v>43960</v>
      </c>
      <c r="F31" s="26">
        <v>43989</v>
      </c>
      <c r="G31" s="26"/>
    </row>
    <row r="32" spans="2:7" hidden="1" x14ac:dyDescent="0.5">
      <c r="B32" s="1" t="s">
        <v>116</v>
      </c>
      <c r="C32" s="1" t="s">
        <v>1526</v>
      </c>
      <c r="D32" s="1" t="s">
        <v>1324</v>
      </c>
      <c r="E32" s="26">
        <v>43962</v>
      </c>
      <c r="F32" s="26">
        <v>44002</v>
      </c>
      <c r="G32" s="26"/>
    </row>
    <row r="33" spans="2:7" hidden="1" x14ac:dyDescent="0.5">
      <c r="B33" s="1" t="s">
        <v>121</v>
      </c>
      <c r="C33" s="1" t="s">
        <v>1526</v>
      </c>
      <c r="D33" s="1" t="s">
        <v>1324</v>
      </c>
      <c r="E33" s="26">
        <v>43962</v>
      </c>
      <c r="F33" s="26">
        <v>43988</v>
      </c>
      <c r="G33" s="26"/>
    </row>
    <row r="34" spans="2:7" hidden="1" x14ac:dyDescent="0.5">
      <c r="B34" s="1" t="s">
        <v>118</v>
      </c>
      <c r="C34" s="1" t="s">
        <v>1526</v>
      </c>
      <c r="D34" s="1" t="s">
        <v>1324</v>
      </c>
      <c r="E34" s="26">
        <v>43962</v>
      </c>
      <c r="F34" s="26">
        <v>43998</v>
      </c>
      <c r="G34" s="26"/>
    </row>
    <row r="35" spans="2:7" hidden="1" x14ac:dyDescent="0.5">
      <c r="B35" s="1" t="s">
        <v>124</v>
      </c>
      <c r="C35" s="1" t="s">
        <v>1526</v>
      </c>
      <c r="D35" s="1" t="s">
        <v>1324</v>
      </c>
      <c r="E35" s="26">
        <v>43965</v>
      </c>
      <c r="F35" s="26">
        <v>44008</v>
      </c>
      <c r="G35" s="26"/>
    </row>
    <row r="36" spans="2:7" hidden="1" x14ac:dyDescent="0.5">
      <c r="B36" s="1" t="s">
        <v>127</v>
      </c>
      <c r="C36" s="1" t="s">
        <v>1526</v>
      </c>
      <c r="D36" s="1" t="s">
        <v>1324</v>
      </c>
      <c r="E36" s="26">
        <v>43966</v>
      </c>
      <c r="F36" s="26">
        <v>43991</v>
      </c>
      <c r="G36" s="26"/>
    </row>
    <row r="37" spans="2:7" hidden="1" x14ac:dyDescent="0.5">
      <c r="B37" s="1" t="s">
        <v>130</v>
      </c>
      <c r="C37" s="1" t="s">
        <v>1526</v>
      </c>
      <c r="D37" s="1" t="s">
        <v>1324</v>
      </c>
      <c r="E37" s="26">
        <v>43969</v>
      </c>
      <c r="F37" s="26">
        <v>43998</v>
      </c>
      <c r="G37" s="26"/>
    </row>
    <row r="38" spans="2:7" hidden="1" x14ac:dyDescent="0.5">
      <c r="B38" s="1" t="s">
        <v>136</v>
      </c>
      <c r="C38" s="1" t="s">
        <v>1526</v>
      </c>
      <c r="D38" s="1" t="s">
        <v>1324</v>
      </c>
      <c r="E38" s="26">
        <v>43970</v>
      </c>
      <c r="F38" s="26">
        <v>44006</v>
      </c>
      <c r="G38" s="26"/>
    </row>
    <row r="39" spans="2:7" hidden="1" x14ac:dyDescent="0.5">
      <c r="B39" s="1" t="s">
        <v>133</v>
      </c>
      <c r="C39" s="1" t="s">
        <v>1526</v>
      </c>
      <c r="D39" s="1" t="s">
        <v>1324</v>
      </c>
      <c r="E39" s="26">
        <v>43970</v>
      </c>
      <c r="F39" s="26">
        <v>44010</v>
      </c>
      <c r="G39" s="26"/>
    </row>
    <row r="40" spans="2:7" hidden="1" x14ac:dyDescent="0.5">
      <c r="B40" s="1" t="s">
        <v>138</v>
      </c>
      <c r="C40" s="1" t="s">
        <v>1526</v>
      </c>
      <c r="D40" s="1" t="s">
        <v>1324</v>
      </c>
      <c r="E40" s="26">
        <v>43973</v>
      </c>
      <c r="F40" s="26">
        <v>44011</v>
      </c>
      <c r="G40" s="26"/>
    </row>
    <row r="41" spans="2:7" hidden="1" x14ac:dyDescent="0.5">
      <c r="B41" s="1" t="s">
        <v>140</v>
      </c>
      <c r="C41" s="1" t="s">
        <v>1526</v>
      </c>
      <c r="D41" s="1" t="s">
        <v>1324</v>
      </c>
      <c r="E41" s="26">
        <v>43973</v>
      </c>
      <c r="F41" s="26">
        <v>44016</v>
      </c>
      <c r="G41" s="26"/>
    </row>
    <row r="42" spans="2:7" hidden="1" x14ac:dyDescent="0.5">
      <c r="B42" s="1" t="s">
        <v>142</v>
      </c>
      <c r="C42" s="1" t="s">
        <v>1526</v>
      </c>
      <c r="D42" s="1" t="s">
        <v>1325</v>
      </c>
      <c r="E42" s="26">
        <v>43974</v>
      </c>
      <c r="F42" s="26">
        <v>44000</v>
      </c>
      <c r="G42" s="26"/>
    </row>
    <row r="43" spans="2:7" hidden="1" x14ac:dyDescent="0.5">
      <c r="B43" s="1" t="s">
        <v>146</v>
      </c>
      <c r="C43" s="1" t="s">
        <v>1526</v>
      </c>
      <c r="D43" s="1" t="s">
        <v>1324</v>
      </c>
      <c r="E43" s="26">
        <v>43976</v>
      </c>
      <c r="F43" s="26">
        <v>44010</v>
      </c>
      <c r="G43" s="26"/>
    </row>
    <row r="44" spans="2:7" hidden="1" x14ac:dyDescent="0.5">
      <c r="B44" s="1" t="s">
        <v>148</v>
      </c>
      <c r="C44" s="1" t="s">
        <v>1526</v>
      </c>
      <c r="D44" s="1" t="s">
        <v>1324</v>
      </c>
      <c r="E44" s="26">
        <v>43979</v>
      </c>
      <c r="F44" s="26">
        <v>44015</v>
      </c>
      <c r="G44" s="26"/>
    </row>
    <row r="45" spans="2:7" hidden="1" x14ac:dyDescent="0.5">
      <c r="B45" s="1" t="s">
        <v>152</v>
      </c>
      <c r="C45" s="1" t="s">
        <v>1526</v>
      </c>
      <c r="D45" s="1" t="s">
        <v>1324</v>
      </c>
      <c r="E45" s="26">
        <v>43979</v>
      </c>
      <c r="F45" s="26">
        <v>44018</v>
      </c>
      <c r="G45" s="26"/>
    </row>
    <row r="46" spans="2:7" hidden="1" x14ac:dyDescent="0.5">
      <c r="B46" s="1" t="s">
        <v>150</v>
      </c>
      <c r="C46" s="1" t="s">
        <v>1526</v>
      </c>
      <c r="D46" s="1" t="s">
        <v>1324</v>
      </c>
      <c r="E46" s="26">
        <v>43979</v>
      </c>
      <c r="F46" s="26">
        <v>44009</v>
      </c>
      <c r="G46" s="26"/>
    </row>
    <row r="47" spans="2:7" hidden="1" x14ac:dyDescent="0.5">
      <c r="B47" s="1" t="s">
        <v>155</v>
      </c>
      <c r="C47" s="1" t="s">
        <v>1526</v>
      </c>
      <c r="D47" s="1" t="s">
        <v>1324</v>
      </c>
      <c r="E47" s="26">
        <v>43980</v>
      </c>
      <c r="F47" s="26">
        <v>44007</v>
      </c>
      <c r="G47" s="26"/>
    </row>
    <row r="48" spans="2:7" hidden="1" x14ac:dyDescent="0.5">
      <c r="B48" s="1" t="s">
        <v>158</v>
      </c>
      <c r="C48" s="1" t="s">
        <v>1526</v>
      </c>
      <c r="D48" s="1" t="s">
        <v>1324</v>
      </c>
      <c r="E48" s="26">
        <v>43981</v>
      </c>
      <c r="F48" s="26">
        <v>44016</v>
      </c>
      <c r="G48" s="26"/>
    </row>
    <row r="49" spans="2:7" hidden="1" x14ac:dyDescent="0.5">
      <c r="B49" s="1" t="s">
        <v>160</v>
      </c>
      <c r="C49" s="1" t="s">
        <v>1526</v>
      </c>
      <c r="D49" s="1" t="s">
        <v>1324</v>
      </c>
      <c r="E49" s="26">
        <v>43981</v>
      </c>
      <c r="F49" s="26">
        <v>44019</v>
      </c>
      <c r="G49" s="26"/>
    </row>
    <row r="50" spans="2:7" hidden="1" x14ac:dyDescent="0.5">
      <c r="B50" s="1" t="s">
        <v>162</v>
      </c>
      <c r="C50" s="1" t="s">
        <v>1526</v>
      </c>
      <c r="D50" s="1" t="s">
        <v>1324</v>
      </c>
      <c r="E50" s="26">
        <v>43983</v>
      </c>
      <c r="F50" s="26">
        <v>44021</v>
      </c>
      <c r="G50" s="26"/>
    </row>
    <row r="51" spans="2:7" hidden="1" x14ac:dyDescent="0.5">
      <c r="B51" s="1" t="s">
        <v>165</v>
      </c>
      <c r="C51" s="1" t="s">
        <v>1526</v>
      </c>
      <c r="D51" s="1" t="s">
        <v>1324</v>
      </c>
      <c r="E51" s="26">
        <v>43984</v>
      </c>
      <c r="F51" s="26">
        <v>44014</v>
      </c>
      <c r="G51" s="26"/>
    </row>
    <row r="52" spans="2:7" hidden="1" x14ac:dyDescent="0.5">
      <c r="B52" s="1" t="s">
        <v>167</v>
      </c>
      <c r="C52" s="1" t="s">
        <v>1526</v>
      </c>
      <c r="D52" s="1" t="s">
        <v>1324</v>
      </c>
      <c r="E52" s="26">
        <v>43984</v>
      </c>
      <c r="F52" s="26">
        <v>44016</v>
      </c>
      <c r="G52" s="26"/>
    </row>
    <row r="53" spans="2:7" hidden="1" x14ac:dyDescent="0.5">
      <c r="B53" s="1" t="s">
        <v>170</v>
      </c>
      <c r="C53" s="1" t="s">
        <v>1526</v>
      </c>
      <c r="D53" s="1" t="s">
        <v>1324</v>
      </c>
      <c r="E53" s="26">
        <v>43987</v>
      </c>
      <c r="F53" s="26">
        <v>44018</v>
      </c>
      <c r="G53" s="26"/>
    </row>
    <row r="54" spans="2:7" hidden="1" x14ac:dyDescent="0.5">
      <c r="B54" s="1" t="s">
        <v>172</v>
      </c>
      <c r="C54" s="1" t="s">
        <v>1526</v>
      </c>
      <c r="D54" s="1" t="s">
        <v>1324</v>
      </c>
      <c r="E54" s="26">
        <v>43987</v>
      </c>
      <c r="F54" s="26">
        <v>44029</v>
      </c>
      <c r="G54" s="26"/>
    </row>
    <row r="55" spans="2:7" hidden="1" x14ac:dyDescent="0.5">
      <c r="B55" s="1" t="s">
        <v>174</v>
      </c>
      <c r="C55" s="1" t="s">
        <v>1526</v>
      </c>
      <c r="D55" s="1" t="s">
        <v>1324</v>
      </c>
      <c r="E55" s="26">
        <v>43988</v>
      </c>
      <c r="F55" s="26">
        <v>44022</v>
      </c>
      <c r="G55" s="26"/>
    </row>
    <row r="56" spans="2:7" hidden="1" x14ac:dyDescent="0.5">
      <c r="B56" s="1" t="s">
        <v>177</v>
      </c>
      <c r="C56" s="1" t="s">
        <v>1526</v>
      </c>
      <c r="D56" s="1" t="s">
        <v>1324</v>
      </c>
      <c r="E56" s="26">
        <v>43988</v>
      </c>
      <c r="F56" s="26">
        <v>44015</v>
      </c>
      <c r="G56" s="26"/>
    </row>
    <row r="57" spans="2:7" hidden="1" x14ac:dyDescent="0.5">
      <c r="B57" s="1" t="s">
        <v>179</v>
      </c>
      <c r="C57" s="1" t="s">
        <v>1526</v>
      </c>
      <c r="D57" s="1" t="s">
        <v>1324</v>
      </c>
      <c r="E57" s="26">
        <v>43990</v>
      </c>
      <c r="F57" s="26">
        <v>44020</v>
      </c>
      <c r="G57" s="26"/>
    </row>
    <row r="58" spans="2:7" hidden="1" x14ac:dyDescent="0.5">
      <c r="B58" s="1" t="s">
        <v>181</v>
      </c>
      <c r="C58" s="1" t="s">
        <v>1526</v>
      </c>
      <c r="D58" s="1" t="s">
        <v>1325</v>
      </c>
      <c r="E58" s="26">
        <v>43991</v>
      </c>
      <c r="F58" s="26">
        <v>44021</v>
      </c>
      <c r="G58" s="26"/>
    </row>
    <row r="59" spans="2:7" hidden="1" x14ac:dyDescent="0.5">
      <c r="B59" s="1" t="s">
        <v>183</v>
      </c>
      <c r="C59" s="1" t="s">
        <v>1526</v>
      </c>
      <c r="D59" s="1" t="s">
        <v>1324</v>
      </c>
      <c r="E59" s="26">
        <v>43993</v>
      </c>
      <c r="F59" s="26">
        <v>44028</v>
      </c>
      <c r="G59" s="26"/>
    </row>
    <row r="60" spans="2:7" hidden="1" x14ac:dyDescent="0.5">
      <c r="B60" s="1" t="s">
        <v>186</v>
      </c>
      <c r="C60" s="1" t="s">
        <v>1526</v>
      </c>
      <c r="D60" s="1" t="s">
        <v>1324</v>
      </c>
      <c r="E60" s="26">
        <v>43994</v>
      </c>
      <c r="F60" s="26">
        <v>44030</v>
      </c>
      <c r="G60" s="26"/>
    </row>
    <row r="61" spans="2:7" hidden="1" x14ac:dyDescent="0.5">
      <c r="B61" s="1" t="s">
        <v>189</v>
      </c>
      <c r="C61" s="1" t="s">
        <v>1526</v>
      </c>
      <c r="D61" s="1" t="s">
        <v>1324</v>
      </c>
      <c r="E61" s="26">
        <v>43997</v>
      </c>
      <c r="F61" s="26">
        <v>44022</v>
      </c>
      <c r="G61" s="26"/>
    </row>
    <row r="62" spans="2:7" hidden="1" x14ac:dyDescent="0.5">
      <c r="B62" s="1" t="s">
        <v>192</v>
      </c>
      <c r="C62" s="1" t="s">
        <v>1526</v>
      </c>
      <c r="D62" s="1" t="s">
        <v>1324</v>
      </c>
      <c r="E62" s="26">
        <v>44000</v>
      </c>
      <c r="F62" s="26">
        <v>44034</v>
      </c>
      <c r="G62" s="26"/>
    </row>
    <row r="63" spans="2:7" hidden="1" x14ac:dyDescent="0.5">
      <c r="B63" s="1" t="s">
        <v>197</v>
      </c>
      <c r="C63" s="1" t="s">
        <v>1526</v>
      </c>
      <c r="D63" s="1" t="s">
        <v>1324</v>
      </c>
      <c r="E63" s="26">
        <v>44001</v>
      </c>
      <c r="F63" s="26">
        <v>44044</v>
      </c>
      <c r="G63" s="26"/>
    </row>
    <row r="64" spans="2:7" hidden="1" x14ac:dyDescent="0.5">
      <c r="B64" s="1" t="s">
        <v>194</v>
      </c>
      <c r="C64" s="1" t="s">
        <v>1526</v>
      </c>
      <c r="D64" s="1" t="s">
        <v>1324</v>
      </c>
      <c r="E64" s="26">
        <v>44001</v>
      </c>
      <c r="F64" s="26">
        <v>44031</v>
      </c>
      <c r="G64" s="26"/>
    </row>
    <row r="65" spans="2:7" hidden="1" x14ac:dyDescent="0.5">
      <c r="B65" s="1" t="s">
        <v>202</v>
      </c>
      <c r="C65" s="1" t="s">
        <v>1526</v>
      </c>
      <c r="D65" s="1" t="s">
        <v>1324</v>
      </c>
      <c r="E65" s="26">
        <v>44005</v>
      </c>
      <c r="F65" s="26">
        <v>44032</v>
      </c>
      <c r="G65" s="26"/>
    </row>
    <row r="66" spans="2:7" hidden="1" x14ac:dyDescent="0.5">
      <c r="B66" s="1" t="s">
        <v>199</v>
      </c>
      <c r="C66" s="1" t="s">
        <v>1526</v>
      </c>
      <c r="D66" s="1" t="s">
        <v>1324</v>
      </c>
      <c r="E66" s="26">
        <v>44005</v>
      </c>
      <c r="F66" s="26">
        <v>44032</v>
      </c>
      <c r="G66" s="26"/>
    </row>
    <row r="67" spans="2:7" hidden="1" x14ac:dyDescent="0.5">
      <c r="B67" s="1" t="s">
        <v>205</v>
      </c>
      <c r="C67" s="1" t="s">
        <v>1526</v>
      </c>
      <c r="D67" s="1" t="s">
        <v>1324</v>
      </c>
      <c r="E67" s="26">
        <v>44006</v>
      </c>
      <c r="F67" s="26">
        <v>44041</v>
      </c>
      <c r="G67" s="26"/>
    </row>
    <row r="68" spans="2:7" hidden="1" x14ac:dyDescent="0.5">
      <c r="B68" s="1" t="s">
        <v>207</v>
      </c>
      <c r="C68" s="1" t="s">
        <v>1526</v>
      </c>
      <c r="D68" s="1" t="s">
        <v>1324</v>
      </c>
      <c r="E68" s="26">
        <v>44009</v>
      </c>
      <c r="F68" s="26">
        <v>44050</v>
      </c>
      <c r="G68" s="26"/>
    </row>
    <row r="69" spans="2:7" hidden="1" x14ac:dyDescent="0.5">
      <c r="B69" s="1" t="s">
        <v>209</v>
      </c>
      <c r="C69" s="1" t="s">
        <v>1526</v>
      </c>
      <c r="D69" s="1" t="s">
        <v>1324</v>
      </c>
      <c r="E69" s="26">
        <v>44011</v>
      </c>
      <c r="F69" s="26">
        <v>44045</v>
      </c>
      <c r="G69" s="26"/>
    </row>
    <row r="70" spans="2:7" hidden="1" x14ac:dyDescent="0.5">
      <c r="B70" s="1" t="s">
        <v>213</v>
      </c>
      <c r="C70" s="1" t="s">
        <v>1526</v>
      </c>
      <c r="D70" s="1" t="s">
        <v>1324</v>
      </c>
      <c r="E70" s="26">
        <v>44012</v>
      </c>
      <c r="F70" s="26">
        <v>44048</v>
      </c>
      <c r="G70" s="26"/>
    </row>
    <row r="71" spans="2:7" hidden="1" x14ac:dyDescent="0.5">
      <c r="B71" s="1" t="s">
        <v>211</v>
      </c>
      <c r="C71" s="1" t="s">
        <v>1526</v>
      </c>
      <c r="D71" s="1" t="s">
        <v>1324</v>
      </c>
      <c r="E71" s="26">
        <v>44012</v>
      </c>
      <c r="F71" s="26">
        <v>44041</v>
      </c>
      <c r="G71" s="26"/>
    </row>
    <row r="72" spans="2:7" hidden="1" x14ac:dyDescent="0.5">
      <c r="B72" s="1" t="s">
        <v>215</v>
      </c>
      <c r="C72" s="1" t="s">
        <v>1526</v>
      </c>
      <c r="D72" s="1" t="s">
        <v>1324</v>
      </c>
      <c r="E72" s="26">
        <v>44015</v>
      </c>
      <c r="F72" s="26">
        <v>44045</v>
      </c>
      <c r="G72" s="26"/>
    </row>
    <row r="73" spans="2:7" hidden="1" x14ac:dyDescent="0.5">
      <c r="B73" s="1" t="s">
        <v>218</v>
      </c>
      <c r="C73" s="1" t="s">
        <v>1526</v>
      </c>
      <c r="D73" s="1" t="s">
        <v>1324</v>
      </c>
      <c r="E73" s="26">
        <v>44018</v>
      </c>
      <c r="F73" s="26">
        <v>44055</v>
      </c>
      <c r="G73" s="26"/>
    </row>
    <row r="74" spans="2:7" hidden="1" x14ac:dyDescent="0.5">
      <c r="B74" s="1" t="s">
        <v>220</v>
      </c>
      <c r="C74" s="1" t="s">
        <v>1526</v>
      </c>
      <c r="D74" s="1" t="s">
        <v>1324</v>
      </c>
      <c r="E74" s="26">
        <v>44019</v>
      </c>
      <c r="F74" s="26">
        <v>44050</v>
      </c>
      <c r="G74" s="26"/>
    </row>
    <row r="75" spans="2:7" hidden="1" x14ac:dyDescent="0.5">
      <c r="B75" s="1" t="s">
        <v>224</v>
      </c>
      <c r="C75" s="1" t="s">
        <v>1526</v>
      </c>
      <c r="D75" s="1" t="s">
        <v>1324</v>
      </c>
      <c r="E75" s="26">
        <v>44020</v>
      </c>
      <c r="F75" s="26">
        <v>44062</v>
      </c>
      <c r="G75" s="26"/>
    </row>
    <row r="76" spans="2:7" hidden="1" x14ac:dyDescent="0.5">
      <c r="B76" s="1" t="s">
        <v>226</v>
      </c>
      <c r="C76" s="1" t="s">
        <v>1526</v>
      </c>
      <c r="D76" s="1" t="s">
        <v>1324</v>
      </c>
      <c r="E76" s="26">
        <v>44020</v>
      </c>
      <c r="F76" s="26">
        <v>44056</v>
      </c>
      <c r="G76" s="26"/>
    </row>
    <row r="77" spans="2:7" hidden="1" x14ac:dyDescent="0.5">
      <c r="B77" s="1" t="s">
        <v>222</v>
      </c>
      <c r="C77" s="1" t="s">
        <v>1526</v>
      </c>
      <c r="D77" s="1" t="s">
        <v>1324</v>
      </c>
      <c r="E77" s="26">
        <v>44020</v>
      </c>
      <c r="F77" s="26">
        <v>44048</v>
      </c>
      <c r="G77" s="26"/>
    </row>
    <row r="78" spans="2:7" hidden="1" x14ac:dyDescent="0.5">
      <c r="B78" s="1" t="s">
        <v>228</v>
      </c>
      <c r="C78" s="1" t="s">
        <v>1526</v>
      </c>
      <c r="D78" s="1" t="s">
        <v>1324</v>
      </c>
      <c r="E78" s="26">
        <v>44021</v>
      </c>
      <c r="F78" s="26">
        <v>44053</v>
      </c>
      <c r="G78" s="26"/>
    </row>
    <row r="79" spans="2:7" hidden="1" x14ac:dyDescent="0.5">
      <c r="B79" s="1" t="s">
        <v>231</v>
      </c>
      <c r="C79" s="1" t="s">
        <v>1526</v>
      </c>
      <c r="D79" s="1" t="s">
        <v>1324</v>
      </c>
      <c r="E79" s="26">
        <v>44023</v>
      </c>
      <c r="F79" s="26">
        <v>44059</v>
      </c>
      <c r="G79" s="26"/>
    </row>
    <row r="80" spans="2:7" hidden="1" x14ac:dyDescent="0.5">
      <c r="B80" s="1" t="s">
        <v>233</v>
      </c>
      <c r="C80" s="1" t="s">
        <v>1526</v>
      </c>
      <c r="D80" s="1" t="s">
        <v>1324</v>
      </c>
      <c r="E80" s="26">
        <v>44023</v>
      </c>
      <c r="F80" s="26">
        <v>44051</v>
      </c>
      <c r="G80" s="26"/>
    </row>
    <row r="81" spans="2:7" hidden="1" x14ac:dyDescent="0.5">
      <c r="B81" s="1" t="s">
        <v>235</v>
      </c>
      <c r="C81" s="1" t="s">
        <v>1526</v>
      </c>
      <c r="D81" s="1" t="s">
        <v>1324</v>
      </c>
      <c r="E81" s="26">
        <v>44025</v>
      </c>
      <c r="F81" s="26">
        <v>44068</v>
      </c>
      <c r="G81" s="26"/>
    </row>
    <row r="82" spans="2:7" hidden="1" x14ac:dyDescent="0.5">
      <c r="B82" s="1" t="s">
        <v>237</v>
      </c>
      <c r="C82" s="1" t="s">
        <v>1526</v>
      </c>
      <c r="D82" s="1" t="s">
        <v>1324</v>
      </c>
      <c r="E82" s="26">
        <v>44025</v>
      </c>
      <c r="F82" s="26">
        <v>44055</v>
      </c>
      <c r="G82" s="26"/>
    </row>
    <row r="83" spans="2:7" hidden="1" x14ac:dyDescent="0.5">
      <c r="B83" s="1" t="s">
        <v>245</v>
      </c>
      <c r="C83" s="1" t="s">
        <v>1526</v>
      </c>
      <c r="D83" s="1" t="s">
        <v>1324</v>
      </c>
      <c r="E83" s="26">
        <v>44027</v>
      </c>
      <c r="F83" s="26">
        <v>44061</v>
      </c>
      <c r="G83" s="26"/>
    </row>
    <row r="84" spans="2:7" hidden="1" x14ac:dyDescent="0.5">
      <c r="B84" s="1" t="s">
        <v>240</v>
      </c>
      <c r="C84" s="1" t="s">
        <v>1526</v>
      </c>
      <c r="D84" s="1" t="s">
        <v>1324</v>
      </c>
      <c r="E84" s="26">
        <v>44027</v>
      </c>
      <c r="F84" s="26">
        <v>44060</v>
      </c>
      <c r="G84" s="26"/>
    </row>
    <row r="85" spans="2:7" hidden="1" x14ac:dyDescent="0.5">
      <c r="B85" s="1" t="s">
        <v>243</v>
      </c>
      <c r="C85" s="1" t="s">
        <v>1526</v>
      </c>
      <c r="D85" s="1" t="s">
        <v>1324</v>
      </c>
      <c r="E85" s="26">
        <v>44027</v>
      </c>
      <c r="F85" s="26">
        <v>44063</v>
      </c>
      <c r="G85" s="26"/>
    </row>
    <row r="86" spans="2:7" hidden="1" x14ac:dyDescent="0.5">
      <c r="B86" s="1" t="s">
        <v>247</v>
      </c>
      <c r="C86" s="1" t="s">
        <v>1526</v>
      </c>
      <c r="D86" s="1" t="s">
        <v>1324</v>
      </c>
      <c r="E86" s="26">
        <v>44028</v>
      </c>
      <c r="F86" s="26">
        <v>44056</v>
      </c>
      <c r="G86" s="26"/>
    </row>
    <row r="87" spans="2:7" hidden="1" x14ac:dyDescent="0.5">
      <c r="B87" s="1" t="s">
        <v>249</v>
      </c>
      <c r="C87" s="1" t="s">
        <v>1526</v>
      </c>
      <c r="D87" s="1" t="s">
        <v>1324</v>
      </c>
      <c r="E87" s="26">
        <v>44028</v>
      </c>
      <c r="F87" s="26">
        <v>44060</v>
      </c>
      <c r="G87" s="26"/>
    </row>
    <row r="88" spans="2:7" hidden="1" x14ac:dyDescent="0.5">
      <c r="B88" s="1" t="s">
        <v>251</v>
      </c>
      <c r="C88" s="1" t="s">
        <v>1526</v>
      </c>
      <c r="D88" s="1" t="s">
        <v>1324</v>
      </c>
      <c r="E88" s="26">
        <v>44029</v>
      </c>
      <c r="F88" s="26">
        <v>44071</v>
      </c>
      <c r="G88" s="26"/>
    </row>
    <row r="89" spans="2:7" hidden="1" x14ac:dyDescent="0.5">
      <c r="B89" s="1" t="s">
        <v>253</v>
      </c>
      <c r="C89" s="1" t="s">
        <v>1526</v>
      </c>
      <c r="D89" s="1" t="s">
        <v>1324</v>
      </c>
      <c r="E89" s="26">
        <v>44030</v>
      </c>
      <c r="F89" s="26">
        <v>44064</v>
      </c>
      <c r="G89" s="26"/>
    </row>
    <row r="90" spans="2:7" hidden="1" x14ac:dyDescent="0.5">
      <c r="B90" s="1" t="s">
        <v>255</v>
      </c>
      <c r="C90" s="1" t="s">
        <v>1526</v>
      </c>
      <c r="D90" s="1" t="s">
        <v>1324</v>
      </c>
      <c r="E90" s="26">
        <v>44030</v>
      </c>
      <c r="F90" s="26">
        <v>44059</v>
      </c>
      <c r="G90" s="26"/>
    </row>
    <row r="91" spans="2:7" hidden="1" x14ac:dyDescent="0.5">
      <c r="B91" s="1" t="s">
        <v>259</v>
      </c>
      <c r="C91" s="1" t="s">
        <v>1526</v>
      </c>
      <c r="D91" s="1" t="s">
        <v>1325</v>
      </c>
      <c r="E91" s="26">
        <v>44032</v>
      </c>
      <c r="F91" s="26">
        <v>44071</v>
      </c>
      <c r="G91" s="26"/>
    </row>
    <row r="92" spans="2:7" hidden="1" x14ac:dyDescent="0.5">
      <c r="B92" s="1" t="s">
        <v>257</v>
      </c>
      <c r="C92" s="1" t="s">
        <v>1526</v>
      </c>
      <c r="D92" s="1" t="s">
        <v>1324</v>
      </c>
      <c r="E92" s="26">
        <v>44032</v>
      </c>
      <c r="F92" s="26">
        <v>44072</v>
      </c>
      <c r="G92" s="26"/>
    </row>
    <row r="93" spans="2:7" hidden="1" x14ac:dyDescent="0.5">
      <c r="B93" s="1" t="s">
        <v>261</v>
      </c>
      <c r="C93" s="1" t="s">
        <v>1526</v>
      </c>
      <c r="D93" s="1" t="s">
        <v>1324</v>
      </c>
      <c r="E93" s="26">
        <v>44032</v>
      </c>
      <c r="F93" s="26">
        <v>44064</v>
      </c>
      <c r="G93" s="26"/>
    </row>
    <row r="94" spans="2:7" hidden="1" x14ac:dyDescent="0.5">
      <c r="B94" s="1" t="s">
        <v>264</v>
      </c>
      <c r="C94" s="1" t="s">
        <v>1526</v>
      </c>
      <c r="D94" s="1" t="s">
        <v>1324</v>
      </c>
      <c r="E94" s="26">
        <v>44034</v>
      </c>
      <c r="F94" s="26">
        <v>44067</v>
      </c>
      <c r="G94" s="26"/>
    </row>
    <row r="95" spans="2:7" hidden="1" x14ac:dyDescent="0.5">
      <c r="B95" s="1" t="s">
        <v>266</v>
      </c>
      <c r="C95" s="1" t="s">
        <v>1526</v>
      </c>
      <c r="D95" s="1" t="s">
        <v>1324</v>
      </c>
      <c r="E95" s="26">
        <v>44035</v>
      </c>
      <c r="F95" s="26">
        <v>44077</v>
      </c>
      <c r="G95" s="26"/>
    </row>
    <row r="96" spans="2:7" hidden="1" x14ac:dyDescent="0.5">
      <c r="B96" s="1" t="s">
        <v>268</v>
      </c>
      <c r="C96" s="1" t="s">
        <v>1526</v>
      </c>
      <c r="D96" s="1" t="s">
        <v>1324</v>
      </c>
      <c r="E96" s="26">
        <v>44039</v>
      </c>
      <c r="F96" s="26">
        <v>44079</v>
      </c>
      <c r="G96" s="26"/>
    </row>
    <row r="97" spans="2:7" hidden="1" x14ac:dyDescent="0.5">
      <c r="B97" s="1" t="s">
        <v>271</v>
      </c>
      <c r="C97" s="1" t="s">
        <v>1526</v>
      </c>
      <c r="D97" s="1" t="s">
        <v>1324</v>
      </c>
      <c r="E97" s="26">
        <v>44040</v>
      </c>
      <c r="F97" s="26">
        <v>44072</v>
      </c>
      <c r="G97" s="26"/>
    </row>
    <row r="98" spans="2:7" hidden="1" x14ac:dyDescent="0.5">
      <c r="B98" s="1" t="s">
        <v>274</v>
      </c>
      <c r="C98" s="1" t="s">
        <v>1526</v>
      </c>
      <c r="D98" s="1" t="s">
        <v>1324</v>
      </c>
      <c r="E98" s="26">
        <v>44041</v>
      </c>
      <c r="F98" s="26">
        <v>44080</v>
      </c>
      <c r="G98" s="26"/>
    </row>
    <row r="99" spans="2:7" hidden="1" x14ac:dyDescent="0.5">
      <c r="B99" s="1" t="s">
        <v>276</v>
      </c>
      <c r="C99" s="1" t="s">
        <v>1526</v>
      </c>
      <c r="D99" s="1" t="s">
        <v>1324</v>
      </c>
      <c r="E99" s="26">
        <v>44044</v>
      </c>
      <c r="F99" s="26">
        <v>44081</v>
      </c>
      <c r="G99" s="26"/>
    </row>
    <row r="100" spans="2:7" hidden="1" x14ac:dyDescent="0.5">
      <c r="B100" s="1" t="s">
        <v>279</v>
      </c>
      <c r="C100" s="1" t="s">
        <v>1526</v>
      </c>
      <c r="D100" s="1" t="s">
        <v>1324</v>
      </c>
      <c r="E100" s="26">
        <v>44046</v>
      </c>
      <c r="F100" s="26">
        <v>44080</v>
      </c>
      <c r="G100" s="26"/>
    </row>
    <row r="101" spans="2:7" hidden="1" x14ac:dyDescent="0.5">
      <c r="B101" s="1" t="s">
        <v>281</v>
      </c>
      <c r="C101" s="1" t="s">
        <v>1526</v>
      </c>
      <c r="D101" s="1" t="s">
        <v>1324</v>
      </c>
      <c r="E101" s="26">
        <v>44046</v>
      </c>
      <c r="F101" s="26">
        <v>44079</v>
      </c>
      <c r="G101" s="26"/>
    </row>
    <row r="102" spans="2:7" hidden="1" x14ac:dyDescent="0.5">
      <c r="B102" s="1" t="s">
        <v>283</v>
      </c>
      <c r="C102" s="1" t="s">
        <v>1526</v>
      </c>
      <c r="D102" s="1" t="s">
        <v>1324</v>
      </c>
      <c r="E102" s="26">
        <v>44048</v>
      </c>
      <c r="F102" s="26">
        <v>44081</v>
      </c>
      <c r="G102" s="26"/>
    </row>
    <row r="103" spans="2:7" hidden="1" x14ac:dyDescent="0.5">
      <c r="B103" s="1" t="s">
        <v>285</v>
      </c>
      <c r="C103" s="1" t="s">
        <v>1526</v>
      </c>
      <c r="D103" s="1" t="s">
        <v>1324</v>
      </c>
      <c r="E103" s="26">
        <v>44050</v>
      </c>
      <c r="F103" s="26">
        <v>44091</v>
      </c>
      <c r="G103" s="26"/>
    </row>
    <row r="104" spans="2:7" hidden="1" x14ac:dyDescent="0.5">
      <c r="B104" s="1" t="s">
        <v>287</v>
      </c>
      <c r="C104" s="1" t="s">
        <v>1526</v>
      </c>
      <c r="D104" s="1" t="s">
        <v>1324</v>
      </c>
      <c r="E104" s="26">
        <v>44055</v>
      </c>
      <c r="F104" s="26">
        <v>44089</v>
      </c>
      <c r="G104" s="26"/>
    </row>
    <row r="105" spans="2:7" hidden="1" x14ac:dyDescent="0.5">
      <c r="B105" s="1" t="s">
        <v>289</v>
      </c>
      <c r="C105" s="1" t="s">
        <v>1526</v>
      </c>
      <c r="D105" s="1" t="s">
        <v>1324</v>
      </c>
      <c r="E105" s="26">
        <v>44057</v>
      </c>
      <c r="F105" s="26">
        <v>44096</v>
      </c>
      <c r="G105" s="26"/>
    </row>
    <row r="106" spans="2:7" hidden="1" x14ac:dyDescent="0.5">
      <c r="B106" s="1" t="s">
        <v>292</v>
      </c>
      <c r="C106" s="1" t="s">
        <v>1526</v>
      </c>
      <c r="D106" s="1" t="s">
        <v>1324</v>
      </c>
      <c r="E106" s="26">
        <v>44060</v>
      </c>
      <c r="F106" s="26">
        <v>44091</v>
      </c>
      <c r="G106" s="26"/>
    </row>
    <row r="107" spans="2:7" hidden="1" x14ac:dyDescent="0.5">
      <c r="B107" s="1" t="s">
        <v>299</v>
      </c>
      <c r="C107" s="1" t="s">
        <v>1526</v>
      </c>
      <c r="D107" s="1" t="s">
        <v>1324</v>
      </c>
      <c r="E107" s="26">
        <v>44061</v>
      </c>
      <c r="F107" s="26">
        <v>44104</v>
      </c>
      <c r="G107" s="26"/>
    </row>
    <row r="108" spans="2:7" hidden="1" x14ac:dyDescent="0.5">
      <c r="B108" s="1" t="s">
        <v>295</v>
      </c>
      <c r="C108" s="1" t="s">
        <v>1526</v>
      </c>
      <c r="D108" s="1" t="s">
        <v>1324</v>
      </c>
      <c r="E108" s="26">
        <v>44061</v>
      </c>
      <c r="F108" s="26">
        <v>44100</v>
      </c>
      <c r="G108" s="26"/>
    </row>
    <row r="109" spans="2:7" hidden="1" x14ac:dyDescent="0.5">
      <c r="B109" s="1" t="s">
        <v>297</v>
      </c>
      <c r="C109" s="1" t="s">
        <v>1526</v>
      </c>
      <c r="D109" s="1" t="s">
        <v>1324</v>
      </c>
      <c r="E109" s="26">
        <v>44061</v>
      </c>
      <c r="F109" s="26">
        <v>44095</v>
      </c>
      <c r="G109" s="26"/>
    </row>
    <row r="110" spans="2:7" hidden="1" x14ac:dyDescent="0.5">
      <c r="B110" s="1" t="s">
        <v>301</v>
      </c>
      <c r="C110" s="1" t="s">
        <v>1526</v>
      </c>
      <c r="D110" s="1" t="s">
        <v>1325</v>
      </c>
      <c r="E110" s="26">
        <v>44062</v>
      </c>
      <c r="F110" s="26">
        <v>44094</v>
      </c>
      <c r="G110" s="26"/>
    </row>
    <row r="111" spans="2:7" hidden="1" x14ac:dyDescent="0.5">
      <c r="B111" s="1" t="s">
        <v>307</v>
      </c>
      <c r="C111" s="1" t="s">
        <v>1526</v>
      </c>
      <c r="D111" s="1" t="s">
        <v>1324</v>
      </c>
      <c r="E111" s="26">
        <v>44063</v>
      </c>
      <c r="F111" s="26">
        <v>44100</v>
      </c>
      <c r="G111" s="26"/>
    </row>
    <row r="112" spans="2:7" hidden="1" x14ac:dyDescent="0.5">
      <c r="B112" s="1" t="s">
        <v>305</v>
      </c>
      <c r="C112" s="1" t="s">
        <v>1526</v>
      </c>
      <c r="D112" s="1" t="s">
        <v>1324</v>
      </c>
      <c r="E112" s="26">
        <v>44063</v>
      </c>
      <c r="F112" s="26">
        <v>44103</v>
      </c>
      <c r="G112" s="26"/>
    </row>
    <row r="113" spans="2:7" hidden="1" x14ac:dyDescent="0.5">
      <c r="B113" s="1" t="s">
        <v>303</v>
      </c>
      <c r="C113" s="1" t="s">
        <v>1526</v>
      </c>
      <c r="D113" s="1" t="s">
        <v>1324</v>
      </c>
      <c r="E113" s="26">
        <v>44063</v>
      </c>
      <c r="F113" s="26">
        <v>44095</v>
      </c>
      <c r="G113" s="26"/>
    </row>
    <row r="114" spans="2:7" hidden="1" x14ac:dyDescent="0.5">
      <c r="B114" s="1" t="s">
        <v>310</v>
      </c>
      <c r="C114" s="1" t="s">
        <v>1526</v>
      </c>
      <c r="D114" s="1" t="s">
        <v>1324</v>
      </c>
      <c r="E114" s="26">
        <v>44069</v>
      </c>
      <c r="F114" s="26">
        <v>44103</v>
      </c>
      <c r="G114" s="26"/>
    </row>
    <row r="115" spans="2:7" hidden="1" x14ac:dyDescent="0.5">
      <c r="B115" s="1" t="s">
        <v>312</v>
      </c>
      <c r="C115" s="1" t="s">
        <v>1526</v>
      </c>
      <c r="D115" s="1" t="s">
        <v>1324</v>
      </c>
      <c r="E115" s="26">
        <v>44069</v>
      </c>
      <c r="F115" s="26">
        <v>44103</v>
      </c>
      <c r="G115" s="26"/>
    </row>
    <row r="116" spans="2:7" hidden="1" x14ac:dyDescent="0.5">
      <c r="B116" s="1" t="s">
        <v>314</v>
      </c>
      <c r="C116" s="1" t="s">
        <v>1526</v>
      </c>
      <c r="D116" s="1" t="s">
        <v>1324</v>
      </c>
      <c r="E116" s="26">
        <v>44070</v>
      </c>
      <c r="F116" s="26">
        <v>44095</v>
      </c>
      <c r="G116" s="26"/>
    </row>
    <row r="117" spans="2:7" hidden="1" x14ac:dyDescent="0.5">
      <c r="B117" s="1" t="s">
        <v>318</v>
      </c>
      <c r="C117" s="1" t="s">
        <v>1526</v>
      </c>
      <c r="D117" s="1" t="s">
        <v>1324</v>
      </c>
      <c r="E117" s="26">
        <v>44074</v>
      </c>
      <c r="F117" s="26">
        <v>44109</v>
      </c>
      <c r="G117" s="26"/>
    </row>
    <row r="118" spans="2:7" hidden="1" x14ac:dyDescent="0.5">
      <c r="B118" s="1" t="s">
        <v>316</v>
      </c>
      <c r="C118" s="1" t="s">
        <v>1526</v>
      </c>
      <c r="D118" s="1" t="s">
        <v>1324</v>
      </c>
      <c r="E118" s="26">
        <v>44074</v>
      </c>
      <c r="F118" s="26">
        <v>44116</v>
      </c>
      <c r="G118" s="26"/>
    </row>
    <row r="119" spans="2:7" hidden="1" x14ac:dyDescent="0.5">
      <c r="B119" s="1" t="s">
        <v>325</v>
      </c>
      <c r="C119" s="1" t="s">
        <v>1526</v>
      </c>
      <c r="D119" s="1" t="s">
        <v>1324</v>
      </c>
      <c r="E119" s="26">
        <v>44075</v>
      </c>
      <c r="F119" s="26">
        <v>44104</v>
      </c>
      <c r="G119" s="26"/>
    </row>
    <row r="120" spans="2:7" hidden="1" x14ac:dyDescent="0.5">
      <c r="B120" s="1" t="s">
        <v>323</v>
      </c>
      <c r="C120" s="1" t="s">
        <v>1526</v>
      </c>
      <c r="D120" s="1" t="s">
        <v>1324</v>
      </c>
      <c r="E120" s="26">
        <v>44075</v>
      </c>
      <c r="F120" s="26">
        <v>44118</v>
      </c>
      <c r="G120" s="26"/>
    </row>
    <row r="121" spans="2:7" hidden="1" x14ac:dyDescent="0.5">
      <c r="B121" s="1" t="s">
        <v>320</v>
      </c>
      <c r="C121" s="1" t="s">
        <v>1526</v>
      </c>
      <c r="D121" s="1" t="s">
        <v>1324</v>
      </c>
      <c r="E121" s="26">
        <v>44075</v>
      </c>
      <c r="F121" s="26">
        <v>44100</v>
      </c>
      <c r="G121" s="26"/>
    </row>
    <row r="122" spans="2:7" hidden="1" x14ac:dyDescent="0.5">
      <c r="B122" s="1" t="s">
        <v>327</v>
      </c>
      <c r="C122" s="1" t="s">
        <v>1526</v>
      </c>
      <c r="D122" s="1" t="s">
        <v>1324</v>
      </c>
      <c r="E122" s="26">
        <v>44078</v>
      </c>
      <c r="F122" s="26">
        <v>44107</v>
      </c>
      <c r="G122" s="26"/>
    </row>
    <row r="123" spans="2:7" hidden="1" x14ac:dyDescent="0.5">
      <c r="B123" s="1" t="s">
        <v>331</v>
      </c>
      <c r="C123" s="1" t="s">
        <v>1526</v>
      </c>
      <c r="D123" s="1" t="s">
        <v>1324</v>
      </c>
      <c r="E123" s="26">
        <v>44081</v>
      </c>
      <c r="F123" s="26">
        <v>44124</v>
      </c>
      <c r="G123" s="26"/>
    </row>
    <row r="124" spans="2:7" hidden="1" x14ac:dyDescent="0.5">
      <c r="B124" s="1" t="s">
        <v>329</v>
      </c>
      <c r="C124" s="1" t="s">
        <v>1526</v>
      </c>
      <c r="D124" s="1" t="s">
        <v>1324</v>
      </c>
      <c r="E124" s="26">
        <v>44081</v>
      </c>
      <c r="F124" s="26">
        <v>44118</v>
      </c>
      <c r="G124" s="26"/>
    </row>
    <row r="125" spans="2:7" hidden="1" x14ac:dyDescent="0.5">
      <c r="B125" s="1" t="s">
        <v>334</v>
      </c>
      <c r="C125" s="1" t="s">
        <v>1526</v>
      </c>
      <c r="D125" s="1" t="s">
        <v>1324</v>
      </c>
      <c r="E125" s="26">
        <v>44082</v>
      </c>
      <c r="F125" s="26">
        <v>44121</v>
      </c>
      <c r="G125" s="26"/>
    </row>
    <row r="126" spans="2:7" hidden="1" x14ac:dyDescent="0.5">
      <c r="B126" s="1" t="s">
        <v>336</v>
      </c>
      <c r="C126" s="1" t="s">
        <v>1526</v>
      </c>
      <c r="D126" s="1" t="s">
        <v>1324</v>
      </c>
      <c r="E126" s="26">
        <v>44083</v>
      </c>
      <c r="F126" s="26">
        <v>44120</v>
      </c>
      <c r="G126" s="26"/>
    </row>
    <row r="127" spans="2:7" hidden="1" x14ac:dyDescent="0.5">
      <c r="B127" s="1" t="s">
        <v>338</v>
      </c>
      <c r="C127" s="1" t="s">
        <v>1526</v>
      </c>
      <c r="D127" s="1" t="s">
        <v>1324</v>
      </c>
      <c r="E127" s="26">
        <v>44085</v>
      </c>
      <c r="F127" s="26">
        <v>44114</v>
      </c>
      <c r="G127" s="26"/>
    </row>
    <row r="128" spans="2:7" hidden="1" x14ac:dyDescent="0.5">
      <c r="B128" s="1" t="s">
        <v>340</v>
      </c>
      <c r="C128" s="1" t="s">
        <v>1526</v>
      </c>
      <c r="D128" s="1" t="s">
        <v>1324</v>
      </c>
      <c r="E128" s="26">
        <v>44085</v>
      </c>
      <c r="F128" s="26">
        <v>44124</v>
      </c>
      <c r="G128" s="26"/>
    </row>
    <row r="129" spans="2:7" hidden="1" x14ac:dyDescent="0.5">
      <c r="B129" s="1" t="s">
        <v>344</v>
      </c>
      <c r="C129" s="1" t="s">
        <v>1526</v>
      </c>
      <c r="D129" s="1" t="s">
        <v>1324</v>
      </c>
      <c r="E129" s="26">
        <v>44090</v>
      </c>
      <c r="F129" s="26">
        <v>44125</v>
      </c>
      <c r="G129" s="26"/>
    </row>
    <row r="130" spans="2:7" hidden="1" x14ac:dyDescent="0.5">
      <c r="B130" s="1" t="s">
        <v>342</v>
      </c>
      <c r="C130" s="1" t="s">
        <v>1526</v>
      </c>
      <c r="D130" s="1" t="s">
        <v>1324</v>
      </c>
      <c r="E130" s="26">
        <v>44090</v>
      </c>
      <c r="F130" s="26">
        <v>44125</v>
      </c>
      <c r="G130" s="26"/>
    </row>
    <row r="131" spans="2:7" hidden="1" x14ac:dyDescent="0.5">
      <c r="B131" s="1" t="s">
        <v>346</v>
      </c>
      <c r="C131" s="1" t="s">
        <v>1526</v>
      </c>
      <c r="D131" s="1" t="s">
        <v>1324</v>
      </c>
      <c r="E131" s="26">
        <v>44092</v>
      </c>
      <c r="F131" s="26">
        <v>44131</v>
      </c>
      <c r="G131" s="26"/>
    </row>
    <row r="132" spans="2:7" hidden="1" x14ac:dyDescent="0.5">
      <c r="B132" s="1" t="s">
        <v>348</v>
      </c>
      <c r="C132" s="1" t="s">
        <v>1526</v>
      </c>
      <c r="D132" s="1" t="s">
        <v>1324</v>
      </c>
      <c r="E132" s="26">
        <v>44093</v>
      </c>
      <c r="F132" s="26">
        <v>44120</v>
      </c>
      <c r="G132" s="26"/>
    </row>
    <row r="133" spans="2:7" hidden="1" x14ac:dyDescent="0.5">
      <c r="B133" s="1" t="s">
        <v>350</v>
      </c>
      <c r="C133" s="1" t="s">
        <v>1526</v>
      </c>
      <c r="D133" s="1" t="s">
        <v>1324</v>
      </c>
      <c r="E133" s="26">
        <v>44095</v>
      </c>
      <c r="F133" s="26">
        <v>44120</v>
      </c>
      <c r="G133" s="26"/>
    </row>
    <row r="134" spans="2:7" hidden="1" x14ac:dyDescent="0.5">
      <c r="B134" s="1" t="s">
        <v>352</v>
      </c>
      <c r="C134" s="1" t="s">
        <v>1526</v>
      </c>
      <c r="D134" s="1" t="s">
        <v>1324</v>
      </c>
      <c r="E134" s="26">
        <v>44095</v>
      </c>
      <c r="F134" s="26">
        <v>44137</v>
      </c>
      <c r="G134" s="26"/>
    </row>
    <row r="135" spans="2:7" hidden="1" x14ac:dyDescent="0.5">
      <c r="B135" s="1" t="s">
        <v>353</v>
      </c>
      <c r="C135" s="1" t="s">
        <v>1526</v>
      </c>
      <c r="D135" s="1" t="s">
        <v>1324</v>
      </c>
      <c r="E135" s="26">
        <v>44096</v>
      </c>
      <c r="F135" s="26">
        <v>44129</v>
      </c>
      <c r="G135" s="26"/>
    </row>
    <row r="136" spans="2:7" hidden="1" x14ac:dyDescent="0.5">
      <c r="B136" s="1" t="s">
        <v>355</v>
      </c>
      <c r="C136" s="1" t="s">
        <v>1526</v>
      </c>
      <c r="D136" s="1" t="s">
        <v>1324</v>
      </c>
      <c r="E136" s="26">
        <v>44097</v>
      </c>
      <c r="F136" s="26">
        <v>44135</v>
      </c>
      <c r="G136" s="26"/>
    </row>
    <row r="137" spans="2:7" hidden="1" x14ac:dyDescent="0.5">
      <c r="B137" s="1" t="s">
        <v>359</v>
      </c>
      <c r="C137" s="1" t="s">
        <v>1526</v>
      </c>
      <c r="D137" s="1" t="s">
        <v>1324</v>
      </c>
      <c r="E137" s="26">
        <v>44098</v>
      </c>
      <c r="F137" s="26">
        <v>44139</v>
      </c>
      <c r="G137" s="26"/>
    </row>
    <row r="138" spans="2:7" hidden="1" x14ac:dyDescent="0.5">
      <c r="B138" s="1" t="s">
        <v>357</v>
      </c>
      <c r="C138" s="1" t="s">
        <v>1526</v>
      </c>
      <c r="D138" s="1" t="s">
        <v>1324</v>
      </c>
      <c r="E138" s="26">
        <v>44098</v>
      </c>
      <c r="F138" s="26">
        <v>44126</v>
      </c>
      <c r="G138" s="26"/>
    </row>
    <row r="139" spans="2:7" hidden="1" x14ac:dyDescent="0.5">
      <c r="B139" s="1" t="s">
        <v>361</v>
      </c>
      <c r="C139" s="1" t="s">
        <v>1526</v>
      </c>
      <c r="D139" s="1" t="s">
        <v>1324</v>
      </c>
      <c r="E139" s="26">
        <v>44099</v>
      </c>
      <c r="F139" s="26">
        <v>44135</v>
      </c>
      <c r="G139" s="26"/>
    </row>
    <row r="140" spans="2:7" hidden="1" x14ac:dyDescent="0.5">
      <c r="B140" s="1" t="s">
        <v>363</v>
      </c>
      <c r="C140" s="1" t="s">
        <v>1526</v>
      </c>
      <c r="D140" s="1" t="s">
        <v>1324</v>
      </c>
      <c r="E140" s="26">
        <v>44100</v>
      </c>
      <c r="F140" s="26">
        <v>44129</v>
      </c>
      <c r="G140" s="26"/>
    </row>
    <row r="141" spans="2:7" hidden="1" x14ac:dyDescent="0.5">
      <c r="B141" s="1" t="s">
        <v>365</v>
      </c>
      <c r="C141" s="1" t="s">
        <v>1526</v>
      </c>
      <c r="D141" s="1" t="s">
        <v>1324</v>
      </c>
      <c r="E141" s="26">
        <v>44102</v>
      </c>
      <c r="F141" s="26">
        <v>44134</v>
      </c>
      <c r="G141" s="26"/>
    </row>
    <row r="142" spans="2:7" hidden="1" x14ac:dyDescent="0.5">
      <c r="B142" s="1" t="s">
        <v>367</v>
      </c>
      <c r="C142" s="1" t="s">
        <v>1526</v>
      </c>
      <c r="D142" s="1" t="s">
        <v>1324</v>
      </c>
      <c r="E142" s="26">
        <v>44103</v>
      </c>
      <c r="F142" s="26">
        <v>44134</v>
      </c>
      <c r="G142" s="26"/>
    </row>
    <row r="143" spans="2:7" hidden="1" x14ac:dyDescent="0.5">
      <c r="B143" s="1" t="s">
        <v>369</v>
      </c>
      <c r="C143" s="1" t="s">
        <v>1526</v>
      </c>
      <c r="D143" s="1" t="s">
        <v>1324</v>
      </c>
      <c r="E143" s="26">
        <v>44103</v>
      </c>
      <c r="F143" s="26">
        <v>44128</v>
      </c>
      <c r="G143" s="26"/>
    </row>
    <row r="144" spans="2:7" hidden="1" x14ac:dyDescent="0.5">
      <c r="B144" s="1" t="s">
        <v>375</v>
      </c>
      <c r="C144" s="1" t="s">
        <v>1526</v>
      </c>
      <c r="D144" s="1" t="s">
        <v>1324</v>
      </c>
      <c r="E144" s="26">
        <v>44104</v>
      </c>
      <c r="F144" s="26">
        <v>44144</v>
      </c>
      <c r="G144" s="26"/>
    </row>
    <row r="145" spans="2:7" hidden="1" x14ac:dyDescent="0.5">
      <c r="B145" s="1" t="s">
        <v>373</v>
      </c>
      <c r="C145" s="1" t="s">
        <v>1526</v>
      </c>
      <c r="D145" s="1" t="s">
        <v>1324</v>
      </c>
      <c r="E145" s="26">
        <v>44104</v>
      </c>
      <c r="F145" s="26">
        <v>44139</v>
      </c>
      <c r="G145" s="26"/>
    </row>
    <row r="146" spans="2:7" hidden="1" x14ac:dyDescent="0.5">
      <c r="B146" s="1" t="s">
        <v>380</v>
      </c>
      <c r="C146" s="1" t="s">
        <v>1526</v>
      </c>
      <c r="D146" s="1" t="s">
        <v>1324</v>
      </c>
      <c r="E146" s="26">
        <v>44104</v>
      </c>
      <c r="F146" s="26">
        <v>44139</v>
      </c>
      <c r="G146" s="26"/>
    </row>
    <row r="147" spans="2:7" hidden="1" x14ac:dyDescent="0.5">
      <c r="B147" s="1" t="s">
        <v>377</v>
      </c>
      <c r="C147" s="1" t="s">
        <v>1526</v>
      </c>
      <c r="D147" s="1" t="s">
        <v>1324</v>
      </c>
      <c r="E147" s="26">
        <v>44104</v>
      </c>
      <c r="F147" s="26">
        <v>44137</v>
      </c>
      <c r="G147" s="26"/>
    </row>
    <row r="148" spans="2:7" hidden="1" x14ac:dyDescent="0.5">
      <c r="B148" s="1" t="s">
        <v>371</v>
      </c>
      <c r="C148" s="1" t="s">
        <v>1526</v>
      </c>
      <c r="D148" s="1" t="s">
        <v>1324</v>
      </c>
      <c r="E148" s="26">
        <v>44104</v>
      </c>
      <c r="F148" s="26">
        <v>44137</v>
      </c>
      <c r="G148" s="26"/>
    </row>
    <row r="149" spans="2:7" hidden="1" x14ac:dyDescent="0.5">
      <c r="B149" s="1" t="s">
        <v>382</v>
      </c>
      <c r="C149" s="1" t="s">
        <v>1526</v>
      </c>
      <c r="D149" s="1" t="s">
        <v>1324</v>
      </c>
      <c r="E149" s="26">
        <v>44105</v>
      </c>
      <c r="F149" s="26">
        <v>44143</v>
      </c>
      <c r="G149" s="26"/>
    </row>
    <row r="150" spans="2:7" hidden="1" x14ac:dyDescent="0.5">
      <c r="B150" s="1" t="s">
        <v>387</v>
      </c>
      <c r="C150" s="1" t="s">
        <v>1526</v>
      </c>
      <c r="D150" s="1" t="s">
        <v>1324</v>
      </c>
      <c r="E150" s="26">
        <v>44106</v>
      </c>
      <c r="F150" s="26">
        <v>44134</v>
      </c>
      <c r="G150" s="26"/>
    </row>
    <row r="151" spans="2:7" hidden="1" x14ac:dyDescent="0.5">
      <c r="B151" s="1" t="s">
        <v>385</v>
      </c>
      <c r="C151" s="1" t="s">
        <v>1526</v>
      </c>
      <c r="D151" s="1" t="s">
        <v>1324</v>
      </c>
      <c r="E151" s="26">
        <v>44106</v>
      </c>
      <c r="F151" s="26">
        <v>44140</v>
      </c>
      <c r="G151" s="26"/>
    </row>
    <row r="152" spans="2:7" hidden="1" x14ac:dyDescent="0.5">
      <c r="B152" s="1" t="s">
        <v>389</v>
      </c>
      <c r="C152" s="1" t="s">
        <v>1526</v>
      </c>
      <c r="D152" s="1" t="s">
        <v>1324</v>
      </c>
      <c r="E152" s="26">
        <v>44113</v>
      </c>
      <c r="F152" s="26">
        <v>44154</v>
      </c>
      <c r="G152" s="26"/>
    </row>
    <row r="153" spans="2:7" hidden="1" x14ac:dyDescent="0.5">
      <c r="B153" s="1" t="s">
        <v>391</v>
      </c>
      <c r="C153" s="1" t="s">
        <v>1526</v>
      </c>
      <c r="D153" s="1" t="s">
        <v>1324</v>
      </c>
      <c r="E153" s="26">
        <v>44114</v>
      </c>
      <c r="F153" s="26">
        <v>44147</v>
      </c>
      <c r="G153" s="26"/>
    </row>
    <row r="154" spans="2:7" hidden="1" x14ac:dyDescent="0.5">
      <c r="B154" s="1" t="s">
        <v>395</v>
      </c>
      <c r="C154" s="1" t="s">
        <v>1526</v>
      </c>
      <c r="D154" s="1" t="s">
        <v>1324</v>
      </c>
      <c r="E154" s="26">
        <v>44114</v>
      </c>
      <c r="F154" s="26">
        <v>44157</v>
      </c>
      <c r="G154" s="26"/>
    </row>
    <row r="155" spans="2:7" hidden="1" x14ac:dyDescent="0.5">
      <c r="B155" s="1" t="s">
        <v>393</v>
      </c>
      <c r="C155" s="1" t="s">
        <v>1526</v>
      </c>
      <c r="D155" s="1" t="s">
        <v>1324</v>
      </c>
      <c r="E155" s="26">
        <v>44114</v>
      </c>
      <c r="F155" s="26">
        <v>44139</v>
      </c>
      <c r="G155" s="26"/>
    </row>
    <row r="156" spans="2:7" hidden="1" x14ac:dyDescent="0.5">
      <c r="B156" s="1" t="s">
        <v>397</v>
      </c>
      <c r="C156" s="1" t="s">
        <v>1526</v>
      </c>
      <c r="D156" s="1" t="s">
        <v>1325</v>
      </c>
      <c r="E156" s="26">
        <v>44116</v>
      </c>
      <c r="F156" s="26">
        <v>44146</v>
      </c>
      <c r="G156" s="26"/>
    </row>
    <row r="157" spans="2:7" hidden="1" x14ac:dyDescent="0.5">
      <c r="B157" s="1" t="s">
        <v>399</v>
      </c>
      <c r="C157" s="1" t="s">
        <v>1526</v>
      </c>
      <c r="D157" s="1" t="s">
        <v>1324</v>
      </c>
      <c r="E157" s="26">
        <v>44116</v>
      </c>
      <c r="F157" s="26">
        <v>44158</v>
      </c>
      <c r="G157" s="26"/>
    </row>
    <row r="158" spans="2:7" hidden="1" x14ac:dyDescent="0.5">
      <c r="B158" s="1" t="s">
        <v>401</v>
      </c>
      <c r="C158" s="1" t="s">
        <v>1526</v>
      </c>
      <c r="D158" s="1" t="s">
        <v>1324</v>
      </c>
      <c r="E158" s="26">
        <v>44120</v>
      </c>
      <c r="F158" s="26">
        <v>44161</v>
      </c>
      <c r="G158" s="26"/>
    </row>
    <row r="159" spans="2:7" hidden="1" x14ac:dyDescent="0.5">
      <c r="B159" s="1" t="s">
        <v>403</v>
      </c>
      <c r="C159" s="1" t="s">
        <v>1526</v>
      </c>
      <c r="D159" s="1" t="s">
        <v>1324</v>
      </c>
      <c r="E159" s="26">
        <v>44121</v>
      </c>
      <c r="F159" s="26">
        <v>44149</v>
      </c>
      <c r="G159" s="26"/>
    </row>
    <row r="160" spans="2:7" hidden="1" x14ac:dyDescent="0.5">
      <c r="B160" s="1" t="s">
        <v>405</v>
      </c>
      <c r="C160" s="1" t="s">
        <v>1526</v>
      </c>
      <c r="D160" s="1" t="s">
        <v>1324</v>
      </c>
      <c r="E160" s="26">
        <v>44125</v>
      </c>
      <c r="F160" s="26">
        <v>44150</v>
      </c>
      <c r="G160" s="26"/>
    </row>
    <row r="161" spans="2:7" hidden="1" x14ac:dyDescent="0.5">
      <c r="B161" s="1" t="s">
        <v>407</v>
      </c>
      <c r="C161" s="1" t="s">
        <v>1526</v>
      </c>
      <c r="D161" s="1" t="s">
        <v>1324</v>
      </c>
      <c r="E161" s="26">
        <v>44125</v>
      </c>
      <c r="F161" s="26">
        <v>44155</v>
      </c>
      <c r="G161" s="26"/>
    </row>
    <row r="162" spans="2:7" hidden="1" x14ac:dyDescent="0.5">
      <c r="B162" s="1" t="s">
        <v>409</v>
      </c>
      <c r="C162" s="1" t="s">
        <v>1526</v>
      </c>
      <c r="D162" s="1" t="s">
        <v>1324</v>
      </c>
      <c r="E162" s="26">
        <v>44126</v>
      </c>
      <c r="F162" s="26">
        <v>44154</v>
      </c>
      <c r="G162" s="26"/>
    </row>
    <row r="163" spans="2:7" hidden="1" x14ac:dyDescent="0.5">
      <c r="B163" s="1" t="s">
        <v>411</v>
      </c>
      <c r="C163" s="1" t="s">
        <v>1526</v>
      </c>
      <c r="D163" s="1" t="s">
        <v>1324</v>
      </c>
      <c r="E163" s="26">
        <v>44127</v>
      </c>
      <c r="F163" s="26">
        <v>44155</v>
      </c>
      <c r="G163" s="26"/>
    </row>
    <row r="164" spans="2:7" hidden="1" x14ac:dyDescent="0.5">
      <c r="B164" s="1" t="s">
        <v>413</v>
      </c>
      <c r="C164" s="1" t="s">
        <v>1526</v>
      </c>
      <c r="D164" s="1" t="s">
        <v>1324</v>
      </c>
      <c r="E164" s="26">
        <v>44127</v>
      </c>
      <c r="F164" s="26">
        <v>44159</v>
      </c>
      <c r="G164" s="26"/>
    </row>
    <row r="165" spans="2:7" hidden="1" x14ac:dyDescent="0.5">
      <c r="B165" s="1" t="s">
        <v>415</v>
      </c>
      <c r="C165" s="1" t="s">
        <v>1526</v>
      </c>
      <c r="D165" s="1" t="s">
        <v>1324</v>
      </c>
      <c r="E165" s="26">
        <v>44130</v>
      </c>
      <c r="F165" s="26">
        <v>44170</v>
      </c>
      <c r="G165" s="26"/>
    </row>
    <row r="166" spans="2:7" hidden="1" x14ac:dyDescent="0.5">
      <c r="B166" s="1" t="s">
        <v>417</v>
      </c>
      <c r="C166" s="1" t="s">
        <v>1526</v>
      </c>
      <c r="D166" s="1" t="s">
        <v>1324</v>
      </c>
      <c r="E166" s="26">
        <v>44131</v>
      </c>
      <c r="F166" s="26">
        <v>44172</v>
      </c>
      <c r="G166" s="26"/>
    </row>
    <row r="167" spans="2:7" hidden="1" x14ac:dyDescent="0.5">
      <c r="B167" s="1" t="s">
        <v>419</v>
      </c>
      <c r="C167" s="1" t="s">
        <v>1526</v>
      </c>
      <c r="D167" s="1" t="s">
        <v>1324</v>
      </c>
      <c r="E167" s="26">
        <v>44132</v>
      </c>
      <c r="F167" s="26">
        <v>44158</v>
      </c>
      <c r="G167" s="26"/>
    </row>
    <row r="168" spans="2:7" hidden="1" x14ac:dyDescent="0.5">
      <c r="B168" s="1" t="s">
        <v>421</v>
      </c>
      <c r="C168" s="1" t="s">
        <v>1526</v>
      </c>
      <c r="D168" s="1" t="s">
        <v>1324</v>
      </c>
      <c r="E168" s="26">
        <v>44133</v>
      </c>
      <c r="F168" s="26">
        <v>44175</v>
      </c>
      <c r="G168" s="26"/>
    </row>
    <row r="169" spans="2:7" hidden="1" x14ac:dyDescent="0.5">
      <c r="B169" s="1" t="s">
        <v>425</v>
      </c>
      <c r="C169" s="1" t="s">
        <v>1526</v>
      </c>
      <c r="D169" s="1" t="s">
        <v>1324</v>
      </c>
      <c r="E169" s="26">
        <v>44135</v>
      </c>
      <c r="F169" s="26">
        <v>44178</v>
      </c>
      <c r="G169" s="26"/>
    </row>
    <row r="170" spans="2:7" hidden="1" x14ac:dyDescent="0.5">
      <c r="B170" s="1" t="s">
        <v>423</v>
      </c>
      <c r="C170" s="1" t="s">
        <v>1526</v>
      </c>
      <c r="D170" s="1" t="s">
        <v>1324</v>
      </c>
      <c r="E170" s="26">
        <v>44135</v>
      </c>
      <c r="F170" s="26">
        <v>44161</v>
      </c>
      <c r="G170" s="26"/>
    </row>
    <row r="171" spans="2:7" hidden="1" x14ac:dyDescent="0.5">
      <c r="B171" s="1" t="s">
        <v>430</v>
      </c>
      <c r="C171" s="1" t="s">
        <v>1526</v>
      </c>
      <c r="D171" s="1" t="s">
        <v>1324</v>
      </c>
      <c r="E171" s="26">
        <v>44140</v>
      </c>
      <c r="F171" s="26">
        <v>44182</v>
      </c>
      <c r="G171" s="26"/>
    </row>
    <row r="172" spans="2:7" hidden="1" x14ac:dyDescent="0.5">
      <c r="B172" s="1" t="s">
        <v>427</v>
      </c>
      <c r="C172" s="1" t="s">
        <v>1526</v>
      </c>
      <c r="D172" s="1" t="s">
        <v>1324</v>
      </c>
      <c r="E172" s="26">
        <v>44140</v>
      </c>
      <c r="F172" s="26">
        <v>44169</v>
      </c>
      <c r="G172" s="26"/>
    </row>
    <row r="173" spans="2:7" hidden="1" x14ac:dyDescent="0.5">
      <c r="B173" s="1" t="s">
        <v>432</v>
      </c>
      <c r="C173" s="1" t="s">
        <v>1526</v>
      </c>
      <c r="D173" s="1" t="s">
        <v>1324</v>
      </c>
      <c r="E173" s="26">
        <v>44140</v>
      </c>
      <c r="F173" s="26">
        <v>44169</v>
      </c>
      <c r="G173" s="26"/>
    </row>
    <row r="174" spans="2:7" hidden="1" x14ac:dyDescent="0.5">
      <c r="B174" s="1" t="s">
        <v>434</v>
      </c>
      <c r="C174" s="1" t="s">
        <v>1526</v>
      </c>
      <c r="D174" s="1" t="s">
        <v>1324</v>
      </c>
      <c r="E174" s="26">
        <v>44141</v>
      </c>
      <c r="F174" s="26">
        <v>44176</v>
      </c>
      <c r="G174" s="26"/>
    </row>
    <row r="175" spans="2:7" hidden="1" x14ac:dyDescent="0.5">
      <c r="B175" s="1" t="s">
        <v>438</v>
      </c>
      <c r="C175" s="1" t="s">
        <v>1526</v>
      </c>
      <c r="D175" s="1" t="s">
        <v>1324</v>
      </c>
      <c r="E175" s="26">
        <v>44142</v>
      </c>
      <c r="F175" s="26">
        <v>44181</v>
      </c>
      <c r="G175" s="26"/>
    </row>
    <row r="176" spans="2:7" hidden="1" x14ac:dyDescent="0.5">
      <c r="B176" s="1" t="s">
        <v>436</v>
      </c>
      <c r="C176" s="1" t="s">
        <v>1526</v>
      </c>
      <c r="D176" s="1" t="s">
        <v>1324</v>
      </c>
      <c r="E176" s="26">
        <v>44142</v>
      </c>
      <c r="F176" s="26">
        <v>44175</v>
      </c>
      <c r="G176" s="26"/>
    </row>
    <row r="177" spans="2:7" hidden="1" x14ac:dyDescent="0.5">
      <c r="B177" s="1" t="s">
        <v>444</v>
      </c>
      <c r="C177" s="1" t="s">
        <v>1526</v>
      </c>
      <c r="D177" s="1" t="s">
        <v>1324</v>
      </c>
      <c r="E177" s="26">
        <v>44148</v>
      </c>
      <c r="F177" s="26">
        <v>44182</v>
      </c>
      <c r="G177" s="26"/>
    </row>
    <row r="178" spans="2:7" hidden="1" x14ac:dyDescent="0.5">
      <c r="B178" s="1" t="s">
        <v>440</v>
      </c>
      <c r="C178" s="1" t="s">
        <v>1526</v>
      </c>
      <c r="D178" s="1" t="s">
        <v>1324</v>
      </c>
      <c r="E178" s="26">
        <v>44148</v>
      </c>
      <c r="F178" s="26">
        <v>44188</v>
      </c>
      <c r="G178" s="26"/>
    </row>
    <row r="179" spans="2:7" hidden="1" x14ac:dyDescent="0.5">
      <c r="B179" s="1" t="s">
        <v>442</v>
      </c>
      <c r="C179" s="1" t="s">
        <v>1526</v>
      </c>
      <c r="D179" s="1" t="s">
        <v>1324</v>
      </c>
      <c r="E179" s="26">
        <v>44148</v>
      </c>
      <c r="F179" s="26">
        <v>44179</v>
      </c>
      <c r="G179" s="26"/>
    </row>
    <row r="180" spans="2:7" hidden="1" x14ac:dyDescent="0.5">
      <c r="B180" s="1" t="s">
        <v>446</v>
      </c>
      <c r="C180" s="1" t="s">
        <v>1526</v>
      </c>
      <c r="D180" s="1" t="s">
        <v>1324</v>
      </c>
      <c r="E180" s="26">
        <v>44153</v>
      </c>
      <c r="F180" s="26">
        <v>44186</v>
      </c>
      <c r="G180" s="26"/>
    </row>
    <row r="181" spans="2:7" hidden="1" x14ac:dyDescent="0.5">
      <c r="B181" s="1" t="s">
        <v>448</v>
      </c>
      <c r="C181" s="1" t="s">
        <v>1526</v>
      </c>
      <c r="D181" s="1" t="s">
        <v>1324</v>
      </c>
      <c r="E181" s="26">
        <v>44154</v>
      </c>
      <c r="F181" s="26">
        <v>44181</v>
      </c>
      <c r="G181" s="26"/>
    </row>
    <row r="182" spans="2:7" hidden="1" x14ac:dyDescent="0.5">
      <c r="B182" s="1" t="s">
        <v>450</v>
      </c>
      <c r="C182" s="1" t="s">
        <v>1526</v>
      </c>
      <c r="D182" s="1" t="s">
        <v>1324</v>
      </c>
      <c r="E182" s="26">
        <v>44155</v>
      </c>
      <c r="F182" s="26">
        <v>44189</v>
      </c>
      <c r="G182" s="26"/>
    </row>
    <row r="183" spans="2:7" hidden="1" x14ac:dyDescent="0.5">
      <c r="B183" s="1" t="s">
        <v>452</v>
      </c>
      <c r="C183" s="1" t="s">
        <v>1526</v>
      </c>
      <c r="D183" s="1" t="s">
        <v>1324</v>
      </c>
      <c r="E183" s="26">
        <v>44160</v>
      </c>
      <c r="F183" s="26">
        <v>44199</v>
      </c>
      <c r="G183" s="26"/>
    </row>
    <row r="184" spans="2:7" hidden="1" x14ac:dyDescent="0.5">
      <c r="B184" s="1" t="s">
        <v>454</v>
      </c>
      <c r="C184" s="1" t="s">
        <v>1526</v>
      </c>
      <c r="D184" s="1" t="s">
        <v>1324</v>
      </c>
      <c r="E184" s="26">
        <v>44161</v>
      </c>
      <c r="F184" s="26">
        <v>44197</v>
      </c>
      <c r="G184" s="26"/>
    </row>
    <row r="185" spans="2:7" hidden="1" x14ac:dyDescent="0.5">
      <c r="B185" s="1" t="s">
        <v>456</v>
      </c>
      <c r="C185" s="1" t="s">
        <v>1526</v>
      </c>
      <c r="D185" s="1" t="s">
        <v>1324</v>
      </c>
      <c r="E185" s="26">
        <v>44162</v>
      </c>
      <c r="F185" s="26">
        <v>44205</v>
      </c>
      <c r="G185" s="26"/>
    </row>
    <row r="186" spans="2:7" hidden="1" x14ac:dyDescent="0.5">
      <c r="B186" s="1" t="s">
        <v>458</v>
      </c>
      <c r="C186" s="1" t="s">
        <v>1526</v>
      </c>
      <c r="D186" s="1" t="s">
        <v>1324</v>
      </c>
      <c r="E186" s="26">
        <v>44162</v>
      </c>
      <c r="F186" s="26">
        <v>44196</v>
      </c>
      <c r="G186" s="26"/>
    </row>
    <row r="187" spans="2:7" hidden="1" x14ac:dyDescent="0.5">
      <c r="B187" s="1" t="s">
        <v>460</v>
      </c>
      <c r="C187" s="1" t="s">
        <v>1526</v>
      </c>
      <c r="D187" s="1" t="s">
        <v>1324</v>
      </c>
      <c r="E187" s="26">
        <v>44162</v>
      </c>
      <c r="F187" s="26">
        <v>44187</v>
      </c>
      <c r="G187" s="26"/>
    </row>
    <row r="188" spans="2:7" hidden="1" x14ac:dyDescent="0.5">
      <c r="B188" s="1" t="s">
        <v>462</v>
      </c>
      <c r="C188" s="1" t="s">
        <v>1526</v>
      </c>
      <c r="D188" s="1" t="s">
        <v>1324</v>
      </c>
      <c r="E188" s="26">
        <v>44163</v>
      </c>
      <c r="F188" s="26">
        <v>44202</v>
      </c>
      <c r="G188" s="26"/>
    </row>
    <row r="189" spans="2:7" hidden="1" x14ac:dyDescent="0.5">
      <c r="B189" s="1" t="s">
        <v>464</v>
      </c>
      <c r="C189" s="1" t="s">
        <v>1526</v>
      </c>
      <c r="D189" s="1" t="s">
        <v>1324</v>
      </c>
      <c r="E189" s="26">
        <v>44165</v>
      </c>
      <c r="F189" s="26">
        <v>44193</v>
      </c>
      <c r="G189" s="26"/>
    </row>
    <row r="190" spans="2:7" hidden="1" x14ac:dyDescent="0.5">
      <c r="B190" s="1" t="s">
        <v>466</v>
      </c>
      <c r="C190" s="1" t="s">
        <v>1526</v>
      </c>
      <c r="D190" s="1" t="s">
        <v>1324</v>
      </c>
      <c r="E190" s="26">
        <v>44165</v>
      </c>
      <c r="F190" s="26">
        <v>44204</v>
      </c>
      <c r="G190" s="26"/>
    </row>
    <row r="191" spans="2:7" hidden="1" x14ac:dyDescent="0.5">
      <c r="B191" s="1" t="s">
        <v>468</v>
      </c>
      <c r="C191" s="1" t="s">
        <v>1526</v>
      </c>
      <c r="D191" s="1" t="s">
        <v>1324</v>
      </c>
      <c r="E191" s="26">
        <v>44170</v>
      </c>
      <c r="F191" s="26">
        <v>44208</v>
      </c>
      <c r="G191" s="26"/>
    </row>
    <row r="192" spans="2:7" hidden="1" x14ac:dyDescent="0.5">
      <c r="B192" s="1" t="s">
        <v>471</v>
      </c>
      <c r="C192" s="1" t="s">
        <v>1526</v>
      </c>
      <c r="D192" s="1" t="s">
        <v>1324</v>
      </c>
      <c r="E192" s="26">
        <v>44170</v>
      </c>
      <c r="F192" s="26">
        <v>44208</v>
      </c>
      <c r="G192" s="26"/>
    </row>
    <row r="193" spans="2:7" hidden="1" x14ac:dyDescent="0.5">
      <c r="B193" s="1" t="s">
        <v>473</v>
      </c>
      <c r="C193" s="1" t="s">
        <v>1526</v>
      </c>
      <c r="D193" s="1" t="s">
        <v>1325</v>
      </c>
      <c r="E193" s="26">
        <v>44170</v>
      </c>
      <c r="F193" s="26">
        <v>44195</v>
      </c>
      <c r="G193" s="26"/>
    </row>
    <row r="194" spans="2:7" hidden="1" x14ac:dyDescent="0.5">
      <c r="B194" s="1" t="s">
        <v>475</v>
      </c>
      <c r="C194" s="1" t="s">
        <v>1526</v>
      </c>
      <c r="D194" s="1" t="s">
        <v>1324</v>
      </c>
      <c r="E194" s="26">
        <v>44172</v>
      </c>
      <c r="F194" s="26">
        <v>44210</v>
      </c>
      <c r="G194" s="26"/>
    </row>
    <row r="195" spans="2:7" hidden="1" x14ac:dyDescent="0.5">
      <c r="B195" s="1" t="s">
        <v>477</v>
      </c>
      <c r="C195" s="1" t="s">
        <v>1526</v>
      </c>
      <c r="D195" s="1" t="s">
        <v>1324</v>
      </c>
      <c r="E195" s="26">
        <v>44172</v>
      </c>
      <c r="F195" s="26">
        <v>44206</v>
      </c>
      <c r="G195" s="26"/>
    </row>
    <row r="196" spans="2:7" hidden="1" x14ac:dyDescent="0.5">
      <c r="B196" s="1" t="s">
        <v>479</v>
      </c>
      <c r="C196" s="1" t="s">
        <v>1526</v>
      </c>
      <c r="D196" s="1" t="s">
        <v>1325</v>
      </c>
      <c r="E196" s="26">
        <v>44173</v>
      </c>
      <c r="F196" s="26">
        <v>44214</v>
      </c>
      <c r="G196" s="26"/>
    </row>
    <row r="197" spans="2:7" hidden="1" x14ac:dyDescent="0.5">
      <c r="B197" s="1" t="s">
        <v>481</v>
      </c>
      <c r="C197" s="1" t="s">
        <v>1526</v>
      </c>
      <c r="D197" s="1" t="s">
        <v>1324</v>
      </c>
      <c r="E197" s="26">
        <v>44182</v>
      </c>
      <c r="F197" s="26">
        <v>44224</v>
      </c>
      <c r="G197" s="26"/>
    </row>
    <row r="198" spans="2:7" hidden="1" x14ac:dyDescent="0.5">
      <c r="B198" s="1" t="s">
        <v>483</v>
      </c>
      <c r="C198" s="1" t="s">
        <v>1526</v>
      </c>
      <c r="D198" s="1" t="s">
        <v>1324</v>
      </c>
      <c r="E198" s="26">
        <v>44183</v>
      </c>
      <c r="F198" s="26">
        <v>44217</v>
      </c>
      <c r="G198" s="26"/>
    </row>
    <row r="199" spans="2:7" hidden="1" x14ac:dyDescent="0.5">
      <c r="B199" s="1" t="s">
        <v>489</v>
      </c>
      <c r="C199" s="1" t="s">
        <v>1526</v>
      </c>
      <c r="D199" s="1" t="s">
        <v>1324</v>
      </c>
      <c r="E199" s="26">
        <v>44186</v>
      </c>
      <c r="F199" s="26">
        <v>44228</v>
      </c>
      <c r="G199" s="26"/>
    </row>
    <row r="200" spans="2:7" hidden="1" x14ac:dyDescent="0.5">
      <c r="B200" s="1" t="s">
        <v>485</v>
      </c>
      <c r="C200" s="1" t="s">
        <v>1526</v>
      </c>
      <c r="D200" s="1" t="s">
        <v>1324</v>
      </c>
      <c r="E200" s="26">
        <v>44186</v>
      </c>
      <c r="F200" s="26">
        <v>44228</v>
      </c>
      <c r="G200" s="26"/>
    </row>
    <row r="201" spans="2:7" hidden="1" x14ac:dyDescent="0.5">
      <c r="B201" s="1" t="s">
        <v>487</v>
      </c>
      <c r="C201" s="1" t="s">
        <v>1526</v>
      </c>
      <c r="D201" s="1" t="s">
        <v>1324</v>
      </c>
      <c r="E201" s="26">
        <v>44186</v>
      </c>
      <c r="F201" s="26">
        <v>44215</v>
      </c>
      <c r="G201" s="26"/>
    </row>
    <row r="202" spans="2:7" hidden="1" x14ac:dyDescent="0.5">
      <c r="B202" s="1" t="s">
        <v>491</v>
      </c>
      <c r="C202" s="1" t="s">
        <v>1526</v>
      </c>
      <c r="D202" s="1" t="s">
        <v>1324</v>
      </c>
      <c r="E202" s="26">
        <v>44186</v>
      </c>
      <c r="F202" s="26">
        <v>44220</v>
      </c>
      <c r="G202" s="26"/>
    </row>
    <row r="203" spans="2:7" hidden="1" x14ac:dyDescent="0.5">
      <c r="B203" s="1" t="s">
        <v>495</v>
      </c>
      <c r="C203" s="1" t="s">
        <v>1526</v>
      </c>
      <c r="D203" s="1" t="s">
        <v>1324</v>
      </c>
      <c r="E203" s="26">
        <v>44187</v>
      </c>
      <c r="F203" s="26">
        <v>44229</v>
      </c>
      <c r="G203" s="26"/>
    </row>
    <row r="204" spans="2:7" hidden="1" x14ac:dyDescent="0.5">
      <c r="B204" s="1" t="s">
        <v>493</v>
      </c>
      <c r="C204" s="1" t="s">
        <v>1526</v>
      </c>
      <c r="D204" s="1" t="s">
        <v>1324</v>
      </c>
      <c r="E204" s="26">
        <v>44187</v>
      </c>
      <c r="F204" s="26">
        <v>44220</v>
      </c>
      <c r="G204" s="26"/>
    </row>
    <row r="205" spans="2:7" hidden="1" x14ac:dyDescent="0.5">
      <c r="B205" s="1" t="s">
        <v>497</v>
      </c>
      <c r="C205" s="1" t="s">
        <v>1526</v>
      </c>
      <c r="D205" s="1" t="s">
        <v>1324</v>
      </c>
      <c r="E205" s="26">
        <v>44193</v>
      </c>
      <c r="F205" s="26">
        <v>44234</v>
      </c>
      <c r="G205" s="26"/>
    </row>
    <row r="206" spans="2:7" hidden="1" x14ac:dyDescent="0.5">
      <c r="B206" s="1" t="s">
        <v>499</v>
      </c>
      <c r="C206" s="1" t="s">
        <v>1526</v>
      </c>
      <c r="D206" s="1" t="s">
        <v>1324</v>
      </c>
      <c r="E206" s="26">
        <v>44196</v>
      </c>
      <c r="F206" s="26">
        <v>44231</v>
      </c>
      <c r="G206" s="26"/>
    </row>
    <row r="207" spans="2:7" hidden="1" x14ac:dyDescent="0.5">
      <c r="B207" s="1" t="s">
        <v>501</v>
      </c>
      <c r="C207" s="1" t="s">
        <v>1526</v>
      </c>
      <c r="D207" s="1" t="s">
        <v>1324</v>
      </c>
      <c r="E207" s="26">
        <v>44197</v>
      </c>
      <c r="F207" s="26">
        <v>44236</v>
      </c>
      <c r="G207" s="26"/>
    </row>
    <row r="208" spans="2:7" hidden="1" x14ac:dyDescent="0.5">
      <c r="B208" s="1" t="s">
        <v>504</v>
      </c>
      <c r="C208" s="1" t="s">
        <v>1526</v>
      </c>
      <c r="D208" s="1" t="s">
        <v>1324</v>
      </c>
      <c r="E208" s="26">
        <v>44203</v>
      </c>
      <c r="F208" s="26">
        <v>44228</v>
      </c>
      <c r="G208" s="26"/>
    </row>
    <row r="209" spans="2:7" hidden="1" x14ac:dyDescent="0.5">
      <c r="B209" s="1" t="s">
        <v>508</v>
      </c>
      <c r="C209" s="1" t="s">
        <v>1526</v>
      </c>
      <c r="D209" s="1" t="s">
        <v>1324</v>
      </c>
      <c r="E209" s="26">
        <v>44203</v>
      </c>
      <c r="F209" s="26">
        <v>44244</v>
      </c>
      <c r="G209" s="26"/>
    </row>
    <row r="210" spans="2:7" hidden="1" x14ac:dyDescent="0.5">
      <c r="B210" s="1" t="s">
        <v>506</v>
      </c>
      <c r="C210" s="1" t="s">
        <v>1526</v>
      </c>
      <c r="D210" s="1" t="s">
        <v>1324</v>
      </c>
      <c r="E210" s="26">
        <v>44203</v>
      </c>
      <c r="F210" s="26">
        <v>44242</v>
      </c>
      <c r="G210" s="26"/>
    </row>
    <row r="211" spans="2:7" hidden="1" x14ac:dyDescent="0.5">
      <c r="B211" s="1" t="s">
        <v>510</v>
      </c>
      <c r="C211" s="1" t="s">
        <v>1526</v>
      </c>
      <c r="D211" s="1" t="s">
        <v>1324</v>
      </c>
      <c r="E211" s="26">
        <v>44205</v>
      </c>
      <c r="F211" s="26">
        <v>44247</v>
      </c>
      <c r="G211" s="26"/>
    </row>
    <row r="212" spans="2:7" hidden="1" x14ac:dyDescent="0.5">
      <c r="B212" s="1" t="s">
        <v>512</v>
      </c>
      <c r="C212" s="1" t="s">
        <v>1526</v>
      </c>
      <c r="D212" s="1" t="s">
        <v>1324</v>
      </c>
      <c r="E212" s="26">
        <v>44211</v>
      </c>
      <c r="F212" s="26">
        <v>44246</v>
      </c>
      <c r="G212" s="26"/>
    </row>
    <row r="213" spans="2:7" hidden="1" x14ac:dyDescent="0.5">
      <c r="B213" s="1" t="s">
        <v>514</v>
      </c>
      <c r="C213" s="1" t="s">
        <v>1526</v>
      </c>
      <c r="D213" s="1" t="s">
        <v>1324</v>
      </c>
      <c r="E213" s="26">
        <v>44212</v>
      </c>
      <c r="F213" s="26">
        <v>44243</v>
      </c>
      <c r="G213" s="26"/>
    </row>
    <row r="214" spans="2:7" hidden="1" x14ac:dyDescent="0.5">
      <c r="B214" s="1" t="s">
        <v>518</v>
      </c>
      <c r="C214" s="1" t="s">
        <v>1526</v>
      </c>
      <c r="D214" s="1" t="s">
        <v>1324</v>
      </c>
      <c r="E214" s="26">
        <v>44214</v>
      </c>
      <c r="F214" s="26">
        <v>44251</v>
      </c>
      <c r="G214" s="26"/>
    </row>
    <row r="215" spans="2:7" hidden="1" x14ac:dyDescent="0.5">
      <c r="B215" s="1" t="s">
        <v>516</v>
      </c>
      <c r="C215" s="1" t="s">
        <v>1526</v>
      </c>
      <c r="D215" s="1" t="s">
        <v>1324</v>
      </c>
      <c r="E215" s="26">
        <v>44214</v>
      </c>
      <c r="F215" s="26">
        <v>44242</v>
      </c>
      <c r="G215" s="26"/>
    </row>
    <row r="216" spans="2:7" hidden="1" x14ac:dyDescent="0.5">
      <c r="B216" s="1" t="s">
        <v>520</v>
      </c>
      <c r="C216" s="1" t="s">
        <v>1526</v>
      </c>
      <c r="D216" s="1" t="s">
        <v>1324</v>
      </c>
      <c r="E216" s="26">
        <v>44218</v>
      </c>
      <c r="F216" s="26">
        <v>44256</v>
      </c>
      <c r="G216" s="26"/>
    </row>
    <row r="217" spans="2:7" hidden="1" x14ac:dyDescent="0.5">
      <c r="B217" s="1" t="s">
        <v>522</v>
      </c>
      <c r="C217" s="1" t="s">
        <v>1526</v>
      </c>
      <c r="D217" s="1" t="s">
        <v>1324</v>
      </c>
      <c r="E217" s="26">
        <v>44219</v>
      </c>
      <c r="F217" s="26">
        <v>44250</v>
      </c>
      <c r="G217" s="26"/>
    </row>
    <row r="218" spans="2:7" hidden="1" x14ac:dyDescent="0.5">
      <c r="B218" s="1" t="s">
        <v>524</v>
      </c>
      <c r="C218" s="1" t="s">
        <v>1526</v>
      </c>
      <c r="D218" s="1" t="s">
        <v>1324</v>
      </c>
      <c r="E218" s="26">
        <v>44221</v>
      </c>
      <c r="F218" s="26">
        <v>44252</v>
      </c>
      <c r="G218" s="26"/>
    </row>
    <row r="219" spans="2:7" hidden="1" x14ac:dyDescent="0.5">
      <c r="B219" s="1" t="s">
        <v>526</v>
      </c>
      <c r="C219" s="1" t="s">
        <v>1526</v>
      </c>
      <c r="D219" s="1" t="s">
        <v>1324</v>
      </c>
      <c r="E219" s="26">
        <v>44221</v>
      </c>
      <c r="F219" s="26">
        <v>44263</v>
      </c>
      <c r="G219" s="26"/>
    </row>
    <row r="220" spans="2:7" hidden="1" x14ac:dyDescent="0.5">
      <c r="B220" s="1" t="s">
        <v>528</v>
      </c>
      <c r="C220" s="1" t="s">
        <v>1526</v>
      </c>
      <c r="D220" s="1" t="s">
        <v>1324</v>
      </c>
      <c r="E220" s="26">
        <v>44221</v>
      </c>
      <c r="F220" s="26">
        <v>44263</v>
      </c>
      <c r="G220" s="26"/>
    </row>
    <row r="221" spans="2:7" hidden="1" x14ac:dyDescent="0.5">
      <c r="B221" s="1" t="s">
        <v>530</v>
      </c>
      <c r="C221" s="1" t="s">
        <v>1526</v>
      </c>
      <c r="D221" s="1" t="s">
        <v>1324</v>
      </c>
      <c r="E221" s="26">
        <v>44223</v>
      </c>
      <c r="F221" s="26">
        <v>44266</v>
      </c>
      <c r="G221" s="26"/>
    </row>
    <row r="222" spans="2:7" hidden="1" x14ac:dyDescent="0.5">
      <c r="B222" s="1" t="s">
        <v>532</v>
      </c>
      <c r="C222" s="1" t="s">
        <v>1526</v>
      </c>
      <c r="D222" s="1" t="s">
        <v>1324</v>
      </c>
      <c r="E222" s="26">
        <v>44225</v>
      </c>
      <c r="F222" s="26">
        <v>44258</v>
      </c>
      <c r="G222" s="26"/>
    </row>
    <row r="223" spans="2:7" hidden="1" x14ac:dyDescent="0.5">
      <c r="B223" s="1" t="s">
        <v>534</v>
      </c>
      <c r="C223" s="1" t="s">
        <v>1526</v>
      </c>
      <c r="D223" s="1" t="s">
        <v>1324</v>
      </c>
      <c r="E223" s="26">
        <v>44229</v>
      </c>
      <c r="F223" s="26">
        <v>44257</v>
      </c>
      <c r="G223" s="26"/>
    </row>
    <row r="224" spans="2:7" hidden="1" x14ac:dyDescent="0.5">
      <c r="B224" s="1" t="s">
        <v>537</v>
      </c>
      <c r="C224" s="1" t="s">
        <v>1526</v>
      </c>
      <c r="D224" s="1" t="s">
        <v>1324</v>
      </c>
      <c r="E224" s="26">
        <v>44230</v>
      </c>
      <c r="F224" s="26">
        <v>44258</v>
      </c>
      <c r="G224" s="26"/>
    </row>
    <row r="225" spans="2:7" hidden="1" x14ac:dyDescent="0.5">
      <c r="B225" s="1" t="s">
        <v>539</v>
      </c>
      <c r="C225" s="1" t="s">
        <v>1526</v>
      </c>
      <c r="D225" s="1" t="s">
        <v>1324</v>
      </c>
      <c r="E225" s="26">
        <v>44231</v>
      </c>
      <c r="F225" s="26">
        <v>44257</v>
      </c>
      <c r="G225" s="26"/>
    </row>
    <row r="226" spans="2:7" hidden="1" x14ac:dyDescent="0.5">
      <c r="B226" s="1" t="s">
        <v>543</v>
      </c>
      <c r="C226" s="1" t="s">
        <v>1526</v>
      </c>
      <c r="D226" s="1" t="s">
        <v>1324</v>
      </c>
      <c r="E226" s="26">
        <v>44231</v>
      </c>
      <c r="F226" s="26">
        <v>44257</v>
      </c>
      <c r="G226" s="26"/>
    </row>
    <row r="227" spans="2:7" hidden="1" x14ac:dyDescent="0.5">
      <c r="B227" s="1" t="s">
        <v>545</v>
      </c>
      <c r="C227" s="1" t="s">
        <v>1526</v>
      </c>
      <c r="D227" s="1" t="s">
        <v>1324</v>
      </c>
      <c r="E227" s="26">
        <v>44231</v>
      </c>
      <c r="F227" s="26">
        <v>44265</v>
      </c>
      <c r="G227" s="26"/>
    </row>
    <row r="228" spans="2:7" hidden="1" x14ac:dyDescent="0.5">
      <c r="B228" s="1" t="s">
        <v>541</v>
      </c>
      <c r="C228" s="1" t="s">
        <v>1526</v>
      </c>
      <c r="D228" s="1" t="s">
        <v>1324</v>
      </c>
      <c r="E228" s="26">
        <v>44231</v>
      </c>
      <c r="F228" s="26">
        <v>44256</v>
      </c>
      <c r="G228" s="26"/>
    </row>
    <row r="229" spans="2:7" hidden="1" x14ac:dyDescent="0.5">
      <c r="B229" s="1" t="s">
        <v>547</v>
      </c>
      <c r="C229" s="1" t="s">
        <v>1526</v>
      </c>
      <c r="D229" s="1" t="s">
        <v>1324</v>
      </c>
      <c r="E229" s="26">
        <v>44232</v>
      </c>
      <c r="F229" s="26">
        <v>44269</v>
      </c>
      <c r="G229" s="26"/>
    </row>
    <row r="230" spans="2:7" hidden="1" x14ac:dyDescent="0.5">
      <c r="B230" s="1" t="s">
        <v>549</v>
      </c>
      <c r="C230" s="1" t="s">
        <v>1526</v>
      </c>
      <c r="D230" s="1" t="s">
        <v>1324</v>
      </c>
      <c r="E230" s="26">
        <v>44235</v>
      </c>
      <c r="F230" s="26">
        <v>44265</v>
      </c>
      <c r="G230" s="26"/>
    </row>
    <row r="231" spans="2:7" hidden="1" x14ac:dyDescent="0.5">
      <c r="B231" s="1" t="s">
        <v>553</v>
      </c>
      <c r="C231" s="1" t="s">
        <v>1526</v>
      </c>
      <c r="D231" s="1" t="s">
        <v>1325</v>
      </c>
      <c r="E231" s="26">
        <v>44239</v>
      </c>
      <c r="F231" s="26">
        <v>44276</v>
      </c>
      <c r="G231" s="26"/>
    </row>
    <row r="232" spans="2:7" hidden="1" x14ac:dyDescent="0.5">
      <c r="B232" s="1" t="s">
        <v>551</v>
      </c>
      <c r="C232" s="1" t="s">
        <v>1526</v>
      </c>
      <c r="D232" s="1" t="s">
        <v>1324</v>
      </c>
      <c r="E232" s="26">
        <v>44239</v>
      </c>
      <c r="F232" s="26">
        <v>44267</v>
      </c>
      <c r="G232" s="26"/>
    </row>
    <row r="233" spans="2:7" hidden="1" x14ac:dyDescent="0.5">
      <c r="B233" s="1" t="s">
        <v>555</v>
      </c>
      <c r="C233" s="1" t="s">
        <v>1526</v>
      </c>
      <c r="D233" s="1" t="s">
        <v>1324</v>
      </c>
      <c r="E233" s="26">
        <v>44240</v>
      </c>
      <c r="F233" s="26">
        <v>44275</v>
      </c>
      <c r="G233" s="26"/>
    </row>
    <row r="234" spans="2:7" hidden="1" x14ac:dyDescent="0.5">
      <c r="B234" s="1" t="s">
        <v>559</v>
      </c>
      <c r="C234" s="1" t="s">
        <v>1526</v>
      </c>
      <c r="D234" s="1" t="s">
        <v>1324</v>
      </c>
      <c r="E234" s="26">
        <v>44242</v>
      </c>
      <c r="F234" s="26">
        <v>44277</v>
      </c>
      <c r="G234" s="26"/>
    </row>
    <row r="235" spans="2:7" hidden="1" x14ac:dyDescent="0.5">
      <c r="B235" s="1" t="s">
        <v>557</v>
      </c>
      <c r="C235" s="1" t="s">
        <v>1526</v>
      </c>
      <c r="D235" s="1" t="s">
        <v>1324</v>
      </c>
      <c r="E235" s="26">
        <v>44242</v>
      </c>
      <c r="F235" s="26">
        <v>44267</v>
      </c>
      <c r="G235" s="26"/>
    </row>
    <row r="236" spans="2:7" hidden="1" x14ac:dyDescent="0.5">
      <c r="B236" s="1" t="s">
        <v>561</v>
      </c>
      <c r="C236" s="1" t="s">
        <v>1526</v>
      </c>
      <c r="D236" s="1" t="s">
        <v>1324</v>
      </c>
      <c r="E236" s="26">
        <v>44245</v>
      </c>
      <c r="F236" s="26">
        <v>44279</v>
      </c>
      <c r="G236" s="26"/>
    </row>
    <row r="237" spans="2:7" hidden="1" x14ac:dyDescent="0.5">
      <c r="B237" s="1" t="s">
        <v>563</v>
      </c>
      <c r="C237" s="1" t="s">
        <v>1526</v>
      </c>
      <c r="D237" s="1" t="s">
        <v>1324</v>
      </c>
      <c r="E237" s="26">
        <v>44247</v>
      </c>
      <c r="F237" s="26">
        <v>44282</v>
      </c>
      <c r="G237" s="26"/>
    </row>
    <row r="238" spans="2:7" hidden="1" x14ac:dyDescent="0.5">
      <c r="B238" s="1" t="s">
        <v>565</v>
      </c>
      <c r="C238" s="1" t="s">
        <v>1526</v>
      </c>
      <c r="D238" s="1" t="s">
        <v>1324</v>
      </c>
      <c r="E238" s="26">
        <v>44250</v>
      </c>
      <c r="F238" s="26">
        <v>44288</v>
      </c>
      <c r="G238" s="26"/>
    </row>
    <row r="239" spans="2:7" hidden="1" x14ac:dyDescent="0.5">
      <c r="B239" s="1" t="s">
        <v>569</v>
      </c>
      <c r="C239" s="1" t="s">
        <v>1526</v>
      </c>
      <c r="D239" s="1" t="s">
        <v>1324</v>
      </c>
      <c r="E239" s="26">
        <v>44251</v>
      </c>
      <c r="F239" s="26">
        <v>44284</v>
      </c>
      <c r="G239" s="26"/>
    </row>
    <row r="240" spans="2:7" hidden="1" x14ac:dyDescent="0.5">
      <c r="B240" s="1" t="s">
        <v>567</v>
      </c>
      <c r="C240" s="1" t="s">
        <v>1526</v>
      </c>
      <c r="D240" s="1" t="s">
        <v>1324</v>
      </c>
      <c r="E240" s="26">
        <v>44251</v>
      </c>
      <c r="F240" s="26">
        <v>44280</v>
      </c>
      <c r="G240" s="26"/>
    </row>
    <row r="241" spans="2:7" hidden="1" x14ac:dyDescent="0.5">
      <c r="B241" s="1" t="s">
        <v>571</v>
      </c>
      <c r="C241" s="1" t="s">
        <v>1526</v>
      </c>
      <c r="D241" s="1" t="s">
        <v>1324</v>
      </c>
      <c r="E241" s="26">
        <v>44254</v>
      </c>
      <c r="F241" s="26">
        <v>44279</v>
      </c>
      <c r="G241" s="26"/>
    </row>
    <row r="242" spans="2:7" hidden="1" x14ac:dyDescent="0.5">
      <c r="B242" s="1" t="s">
        <v>573</v>
      </c>
      <c r="C242" s="1" t="s">
        <v>1526</v>
      </c>
      <c r="D242" s="1" t="s">
        <v>1324</v>
      </c>
      <c r="E242" s="26">
        <v>44256</v>
      </c>
      <c r="F242" s="26">
        <v>44296</v>
      </c>
      <c r="G242" s="26"/>
    </row>
    <row r="243" spans="2:7" hidden="1" x14ac:dyDescent="0.5">
      <c r="B243" s="1" t="s">
        <v>576</v>
      </c>
      <c r="C243" s="1" t="s">
        <v>1526</v>
      </c>
      <c r="D243" s="1" t="s">
        <v>1324</v>
      </c>
      <c r="E243" s="26">
        <v>44256</v>
      </c>
      <c r="F243" s="26">
        <v>44290</v>
      </c>
      <c r="G243" s="26"/>
    </row>
    <row r="244" spans="2:7" hidden="1" x14ac:dyDescent="0.5">
      <c r="B244" s="1" t="s">
        <v>579</v>
      </c>
      <c r="C244" s="1" t="s">
        <v>1526</v>
      </c>
      <c r="D244" s="1" t="s">
        <v>1324</v>
      </c>
      <c r="E244" s="26">
        <v>44257</v>
      </c>
      <c r="F244" s="26">
        <v>44283</v>
      </c>
      <c r="G244" s="26"/>
    </row>
    <row r="245" spans="2:7" hidden="1" x14ac:dyDescent="0.5">
      <c r="B245" s="1" t="s">
        <v>583</v>
      </c>
      <c r="C245" s="1" t="s">
        <v>1526</v>
      </c>
      <c r="D245" s="1" t="s">
        <v>1324</v>
      </c>
      <c r="E245" s="26">
        <v>44264</v>
      </c>
      <c r="F245" s="26">
        <v>44301</v>
      </c>
      <c r="G245" s="26"/>
    </row>
    <row r="246" spans="2:7" hidden="1" x14ac:dyDescent="0.5">
      <c r="B246" s="1" t="s">
        <v>581</v>
      </c>
      <c r="C246" s="1" t="s">
        <v>1526</v>
      </c>
      <c r="D246" s="1" t="s">
        <v>1324</v>
      </c>
      <c r="E246" s="26">
        <v>44264</v>
      </c>
      <c r="F246" s="26">
        <v>44289</v>
      </c>
      <c r="G246" s="26"/>
    </row>
    <row r="247" spans="2:7" hidden="1" x14ac:dyDescent="0.5">
      <c r="B247" s="1" t="s">
        <v>585</v>
      </c>
      <c r="C247" s="1" t="s">
        <v>1526</v>
      </c>
      <c r="D247" s="1" t="s">
        <v>1324</v>
      </c>
      <c r="E247" s="26">
        <v>44265</v>
      </c>
      <c r="F247" s="26">
        <v>44303</v>
      </c>
      <c r="G247" s="26"/>
    </row>
    <row r="248" spans="2:7" hidden="1" x14ac:dyDescent="0.5">
      <c r="B248" s="1" t="s">
        <v>587</v>
      </c>
      <c r="C248" s="1" t="s">
        <v>1526</v>
      </c>
      <c r="D248" s="1" t="s">
        <v>1324</v>
      </c>
      <c r="E248" s="26">
        <v>44266</v>
      </c>
      <c r="F248" s="26">
        <v>44299</v>
      </c>
      <c r="G248" s="26"/>
    </row>
    <row r="249" spans="2:7" hidden="1" x14ac:dyDescent="0.5">
      <c r="B249" s="1" t="s">
        <v>589</v>
      </c>
      <c r="C249" s="1" t="s">
        <v>1526</v>
      </c>
      <c r="D249" s="1" t="s">
        <v>1324</v>
      </c>
      <c r="E249" s="26">
        <v>44267</v>
      </c>
      <c r="F249" s="26">
        <v>44310</v>
      </c>
      <c r="G249" s="26"/>
    </row>
    <row r="250" spans="2:7" hidden="1" x14ac:dyDescent="0.5">
      <c r="B250" s="1" t="s">
        <v>591</v>
      </c>
      <c r="C250" s="1" t="s">
        <v>1526</v>
      </c>
      <c r="D250" s="1" t="s">
        <v>1324</v>
      </c>
      <c r="E250" s="26">
        <v>44268</v>
      </c>
      <c r="F250" s="26">
        <v>44299</v>
      </c>
      <c r="G250" s="26"/>
    </row>
    <row r="251" spans="2:7" hidden="1" x14ac:dyDescent="0.5">
      <c r="B251" s="1" t="s">
        <v>593</v>
      </c>
      <c r="C251" s="1" t="s">
        <v>1526</v>
      </c>
      <c r="D251" s="1" t="s">
        <v>1324</v>
      </c>
      <c r="E251" s="26">
        <v>44270</v>
      </c>
      <c r="F251" s="26">
        <v>44300</v>
      </c>
      <c r="G251" s="26"/>
    </row>
    <row r="252" spans="2:7" hidden="1" x14ac:dyDescent="0.5">
      <c r="B252" s="1" t="s">
        <v>597</v>
      </c>
      <c r="C252" s="1" t="s">
        <v>1526</v>
      </c>
      <c r="D252" s="1" t="s">
        <v>1324</v>
      </c>
      <c r="E252" s="26">
        <v>44270</v>
      </c>
      <c r="F252" s="26">
        <v>44307</v>
      </c>
      <c r="G252" s="26"/>
    </row>
    <row r="253" spans="2:7" hidden="1" x14ac:dyDescent="0.5">
      <c r="B253" s="1" t="s">
        <v>595</v>
      </c>
      <c r="C253" s="1" t="s">
        <v>1526</v>
      </c>
      <c r="D253" s="1" t="s">
        <v>1324</v>
      </c>
      <c r="E253" s="26">
        <v>44270</v>
      </c>
      <c r="F253" s="26">
        <v>44299</v>
      </c>
      <c r="G253" s="26"/>
    </row>
    <row r="254" spans="2:7" hidden="1" x14ac:dyDescent="0.5">
      <c r="B254" s="1" t="s">
        <v>599</v>
      </c>
      <c r="C254" s="1" t="s">
        <v>1526</v>
      </c>
      <c r="D254" s="1" t="s">
        <v>1324</v>
      </c>
      <c r="E254" s="26">
        <v>44272</v>
      </c>
      <c r="F254" s="26">
        <v>44302</v>
      </c>
      <c r="G254" s="26"/>
    </row>
    <row r="255" spans="2:7" hidden="1" x14ac:dyDescent="0.5">
      <c r="B255" s="1" t="s">
        <v>601</v>
      </c>
      <c r="C255" s="1" t="s">
        <v>1526</v>
      </c>
      <c r="D255" s="1" t="s">
        <v>1324</v>
      </c>
      <c r="E255" s="26">
        <v>44272</v>
      </c>
      <c r="F255" s="26">
        <v>44309</v>
      </c>
      <c r="G255" s="26"/>
    </row>
    <row r="256" spans="2:7" hidden="1" x14ac:dyDescent="0.5">
      <c r="B256" s="1" t="s">
        <v>603</v>
      </c>
      <c r="C256" s="1" t="s">
        <v>1526</v>
      </c>
      <c r="D256" s="1" t="s">
        <v>1324</v>
      </c>
      <c r="E256" s="26">
        <v>44273</v>
      </c>
      <c r="F256" s="26">
        <v>44305</v>
      </c>
      <c r="G256" s="26"/>
    </row>
    <row r="257" spans="2:7" hidden="1" x14ac:dyDescent="0.5">
      <c r="B257" s="1" t="s">
        <v>605</v>
      </c>
      <c r="C257" s="1" t="s">
        <v>1526</v>
      </c>
      <c r="D257" s="1" t="s">
        <v>1324</v>
      </c>
      <c r="E257" s="26">
        <v>44278</v>
      </c>
      <c r="F257" s="26">
        <v>44320</v>
      </c>
      <c r="G257" s="26"/>
    </row>
    <row r="258" spans="2:7" hidden="1" x14ac:dyDescent="0.5">
      <c r="B258" s="1" t="s">
        <v>607</v>
      </c>
      <c r="C258" s="1" t="s">
        <v>1526</v>
      </c>
      <c r="D258" s="1" t="s">
        <v>1324</v>
      </c>
      <c r="E258" s="26">
        <v>44279</v>
      </c>
      <c r="F258" s="26">
        <v>44315</v>
      </c>
      <c r="G258" s="26"/>
    </row>
    <row r="259" spans="2:7" hidden="1" x14ac:dyDescent="0.5">
      <c r="B259" s="1" t="s">
        <v>610</v>
      </c>
      <c r="C259" s="1" t="s">
        <v>1526</v>
      </c>
      <c r="D259" s="1" t="s">
        <v>1324</v>
      </c>
      <c r="E259" s="26">
        <v>44280</v>
      </c>
      <c r="F259" s="26">
        <v>44312</v>
      </c>
      <c r="G259" s="26"/>
    </row>
    <row r="260" spans="2:7" hidden="1" x14ac:dyDescent="0.5">
      <c r="B260" s="1" t="s">
        <v>612</v>
      </c>
      <c r="C260" s="1" t="s">
        <v>1526</v>
      </c>
      <c r="D260" s="1" t="s">
        <v>1324</v>
      </c>
      <c r="E260" s="26">
        <v>44286</v>
      </c>
      <c r="F260" s="26">
        <v>44325</v>
      </c>
      <c r="G260" s="26"/>
    </row>
    <row r="261" spans="2:7" hidden="1" x14ac:dyDescent="0.5">
      <c r="B261" s="1" t="s">
        <v>614</v>
      </c>
      <c r="C261" s="1" t="s">
        <v>1526</v>
      </c>
      <c r="D261" s="1" t="s">
        <v>1324</v>
      </c>
      <c r="E261" s="26">
        <v>44286</v>
      </c>
      <c r="F261" s="26">
        <v>44326</v>
      </c>
      <c r="G261" s="26"/>
    </row>
    <row r="262" spans="2:7" hidden="1" x14ac:dyDescent="0.5">
      <c r="B262" s="1" t="s">
        <v>616</v>
      </c>
      <c r="C262" s="1" t="s">
        <v>1526</v>
      </c>
      <c r="D262" s="1" t="s">
        <v>1325</v>
      </c>
      <c r="E262" s="26">
        <v>44287</v>
      </c>
      <c r="F262" s="26">
        <v>44316</v>
      </c>
      <c r="G262" s="26"/>
    </row>
    <row r="263" spans="2:7" hidden="1" x14ac:dyDescent="0.5">
      <c r="B263" s="1" t="s">
        <v>620</v>
      </c>
      <c r="C263" s="1" t="s">
        <v>1526</v>
      </c>
      <c r="D263" s="1" t="s">
        <v>1324</v>
      </c>
      <c r="E263" s="26">
        <v>44289</v>
      </c>
      <c r="F263" s="26">
        <v>44326</v>
      </c>
      <c r="G263" s="26"/>
    </row>
    <row r="264" spans="2:7" hidden="1" x14ac:dyDescent="0.5">
      <c r="B264" s="1" t="s">
        <v>618</v>
      </c>
      <c r="C264" s="1" t="s">
        <v>1526</v>
      </c>
      <c r="D264" s="1" t="s">
        <v>1324</v>
      </c>
      <c r="E264" s="26">
        <v>44289</v>
      </c>
      <c r="F264" s="26">
        <v>44321</v>
      </c>
      <c r="G264" s="26"/>
    </row>
    <row r="265" spans="2:7" hidden="1" x14ac:dyDescent="0.5">
      <c r="B265" s="1" t="s">
        <v>622</v>
      </c>
      <c r="C265" s="1" t="s">
        <v>1526</v>
      </c>
      <c r="D265" s="1" t="s">
        <v>1324</v>
      </c>
      <c r="E265" s="26">
        <v>44291</v>
      </c>
      <c r="F265" s="26">
        <v>44329</v>
      </c>
      <c r="G265" s="26"/>
    </row>
    <row r="266" spans="2:7" hidden="1" x14ac:dyDescent="0.5">
      <c r="B266" s="1" t="s">
        <v>624</v>
      </c>
      <c r="C266" s="1" t="s">
        <v>1526</v>
      </c>
      <c r="D266" s="1" t="s">
        <v>1324</v>
      </c>
      <c r="E266" s="26">
        <v>44292</v>
      </c>
      <c r="F266" s="26">
        <v>44319</v>
      </c>
      <c r="G266" s="26"/>
    </row>
    <row r="267" spans="2:7" hidden="1" x14ac:dyDescent="0.5">
      <c r="B267" s="1" t="s">
        <v>626</v>
      </c>
      <c r="C267" s="1" t="s">
        <v>1526</v>
      </c>
      <c r="D267" s="1" t="s">
        <v>1324</v>
      </c>
      <c r="E267" s="26">
        <v>44293</v>
      </c>
      <c r="F267" s="26">
        <v>44319</v>
      </c>
      <c r="G267" s="26"/>
    </row>
    <row r="268" spans="2:7" hidden="1" x14ac:dyDescent="0.5">
      <c r="B268" s="1" t="s">
        <v>628</v>
      </c>
      <c r="C268" s="1" t="s">
        <v>1526</v>
      </c>
      <c r="D268" s="1" t="s">
        <v>1324</v>
      </c>
      <c r="E268" s="26">
        <v>44294</v>
      </c>
      <c r="F268" s="26">
        <v>44330</v>
      </c>
      <c r="G268" s="26"/>
    </row>
    <row r="269" spans="2:7" hidden="1" x14ac:dyDescent="0.5">
      <c r="B269" s="1" t="s">
        <v>630</v>
      </c>
      <c r="C269" s="1" t="s">
        <v>1526</v>
      </c>
      <c r="D269" s="1" t="s">
        <v>1324</v>
      </c>
      <c r="E269" s="26">
        <v>44294</v>
      </c>
      <c r="F269" s="26">
        <v>44320</v>
      </c>
      <c r="G269" s="26"/>
    </row>
    <row r="270" spans="2:7" hidden="1" x14ac:dyDescent="0.5">
      <c r="B270" s="1" t="s">
        <v>634</v>
      </c>
      <c r="C270" s="1" t="s">
        <v>1526</v>
      </c>
      <c r="D270" s="1" t="s">
        <v>1324</v>
      </c>
      <c r="E270" s="26">
        <v>44295</v>
      </c>
      <c r="F270" s="26">
        <v>44321</v>
      </c>
      <c r="G270" s="26"/>
    </row>
    <row r="271" spans="2:7" hidden="1" x14ac:dyDescent="0.5">
      <c r="B271" s="1" t="s">
        <v>632</v>
      </c>
      <c r="C271" s="1" t="s">
        <v>1526</v>
      </c>
      <c r="D271" s="1" t="s">
        <v>1324</v>
      </c>
      <c r="E271" s="26">
        <v>44295</v>
      </c>
      <c r="F271" s="26">
        <v>44330</v>
      </c>
      <c r="G271" s="26"/>
    </row>
    <row r="272" spans="2:7" hidden="1" x14ac:dyDescent="0.5">
      <c r="B272" s="1" t="s">
        <v>638</v>
      </c>
      <c r="C272" s="1" t="s">
        <v>1526</v>
      </c>
      <c r="D272" s="1" t="s">
        <v>1324</v>
      </c>
      <c r="E272" s="26">
        <v>44298</v>
      </c>
      <c r="F272" s="26">
        <v>44335</v>
      </c>
      <c r="G272" s="26"/>
    </row>
    <row r="273" spans="2:7" hidden="1" x14ac:dyDescent="0.5">
      <c r="B273" s="1" t="s">
        <v>636</v>
      </c>
      <c r="C273" s="1" t="s">
        <v>1526</v>
      </c>
      <c r="D273" s="1" t="s">
        <v>1324</v>
      </c>
      <c r="E273" s="26">
        <v>44298</v>
      </c>
      <c r="F273" s="26">
        <v>44325</v>
      </c>
      <c r="G273" s="26"/>
    </row>
    <row r="274" spans="2:7" hidden="1" x14ac:dyDescent="0.5">
      <c r="B274" s="1" t="s">
        <v>642</v>
      </c>
      <c r="C274" s="1" t="s">
        <v>1526</v>
      </c>
      <c r="D274" s="1" t="s">
        <v>1324</v>
      </c>
      <c r="E274" s="26">
        <v>44298</v>
      </c>
      <c r="F274" s="26">
        <v>44328</v>
      </c>
      <c r="G274" s="26"/>
    </row>
    <row r="275" spans="2:7" hidden="1" x14ac:dyDescent="0.5">
      <c r="B275" s="1" t="s">
        <v>640</v>
      </c>
      <c r="C275" s="1" t="s">
        <v>1526</v>
      </c>
      <c r="D275" s="1" t="s">
        <v>1324</v>
      </c>
      <c r="E275" s="26">
        <v>44298</v>
      </c>
      <c r="F275" s="26">
        <v>44339</v>
      </c>
      <c r="G275" s="26"/>
    </row>
    <row r="276" spans="2:7" hidden="1" x14ac:dyDescent="0.5">
      <c r="B276" s="1" t="s">
        <v>644</v>
      </c>
      <c r="C276" s="1" t="s">
        <v>1526</v>
      </c>
      <c r="D276" s="1" t="s">
        <v>1324</v>
      </c>
      <c r="E276" s="26">
        <v>44300</v>
      </c>
      <c r="F276" s="26">
        <v>44340</v>
      </c>
      <c r="G276" s="26"/>
    </row>
    <row r="277" spans="2:7" hidden="1" x14ac:dyDescent="0.5">
      <c r="B277" s="1" t="s">
        <v>648</v>
      </c>
      <c r="C277" s="1" t="s">
        <v>1526</v>
      </c>
      <c r="D277" s="1" t="s">
        <v>1324</v>
      </c>
      <c r="E277" s="26">
        <v>44302</v>
      </c>
      <c r="F277" s="26">
        <v>44343</v>
      </c>
      <c r="G277" s="26"/>
    </row>
    <row r="278" spans="2:7" hidden="1" x14ac:dyDescent="0.5">
      <c r="B278" s="1" t="s">
        <v>646</v>
      </c>
      <c r="C278" s="1" t="s">
        <v>1526</v>
      </c>
      <c r="D278" s="1" t="s">
        <v>1324</v>
      </c>
      <c r="E278" s="26">
        <v>44302</v>
      </c>
      <c r="F278" s="26">
        <v>44344</v>
      </c>
      <c r="G278" s="26"/>
    </row>
    <row r="279" spans="2:7" hidden="1" x14ac:dyDescent="0.5">
      <c r="B279" s="1" t="s">
        <v>652</v>
      </c>
      <c r="C279" s="1" t="s">
        <v>1526</v>
      </c>
      <c r="D279" s="1" t="s">
        <v>1324</v>
      </c>
      <c r="E279" s="26">
        <v>44303</v>
      </c>
      <c r="F279" s="26">
        <v>44341</v>
      </c>
      <c r="G279" s="26"/>
    </row>
    <row r="280" spans="2:7" hidden="1" x14ac:dyDescent="0.5">
      <c r="B280" s="1" t="s">
        <v>650</v>
      </c>
      <c r="C280" s="1" t="s">
        <v>1526</v>
      </c>
      <c r="D280" s="1" t="s">
        <v>1324</v>
      </c>
      <c r="E280" s="26">
        <v>44303</v>
      </c>
      <c r="F280" s="26">
        <v>44330</v>
      </c>
      <c r="G280" s="26"/>
    </row>
    <row r="281" spans="2:7" hidden="1" x14ac:dyDescent="0.5">
      <c r="B281" s="1" t="s">
        <v>656</v>
      </c>
      <c r="C281" s="1" t="s">
        <v>1526</v>
      </c>
      <c r="D281" s="1" t="s">
        <v>1324</v>
      </c>
      <c r="E281" s="26">
        <v>44305</v>
      </c>
      <c r="F281" s="26">
        <v>44347</v>
      </c>
      <c r="G281" s="26"/>
    </row>
    <row r="282" spans="2:7" hidden="1" x14ac:dyDescent="0.5">
      <c r="B282" s="1" t="s">
        <v>660</v>
      </c>
      <c r="C282" s="1" t="s">
        <v>1526</v>
      </c>
      <c r="D282" s="1" t="s">
        <v>1324</v>
      </c>
      <c r="E282" s="26">
        <v>44305</v>
      </c>
      <c r="F282" s="26">
        <v>44341</v>
      </c>
      <c r="G282" s="26"/>
    </row>
    <row r="283" spans="2:7" hidden="1" x14ac:dyDescent="0.5">
      <c r="B283" s="1" t="s">
        <v>658</v>
      </c>
      <c r="C283" s="1" t="s">
        <v>1526</v>
      </c>
      <c r="D283" s="1" t="s">
        <v>1324</v>
      </c>
      <c r="E283" s="26">
        <v>44305</v>
      </c>
      <c r="F283" s="26">
        <v>44348</v>
      </c>
      <c r="G283" s="26"/>
    </row>
    <row r="284" spans="2:7" hidden="1" x14ac:dyDescent="0.5">
      <c r="B284" s="1" t="s">
        <v>654</v>
      </c>
      <c r="C284" s="1" t="s">
        <v>1526</v>
      </c>
      <c r="D284" s="1" t="s">
        <v>1324</v>
      </c>
      <c r="E284" s="26">
        <v>44305</v>
      </c>
      <c r="F284" s="26">
        <v>44342</v>
      </c>
      <c r="G284" s="26"/>
    </row>
    <row r="285" spans="2:7" hidden="1" x14ac:dyDescent="0.5">
      <c r="B285" s="1" t="s">
        <v>662</v>
      </c>
      <c r="C285" s="1" t="s">
        <v>1526</v>
      </c>
      <c r="D285" s="1" t="s">
        <v>1324</v>
      </c>
      <c r="E285" s="26">
        <v>44306</v>
      </c>
      <c r="F285" s="26">
        <v>44339</v>
      </c>
      <c r="G285" s="26"/>
    </row>
    <row r="286" spans="2:7" hidden="1" x14ac:dyDescent="0.5">
      <c r="B286" s="1" t="s">
        <v>664</v>
      </c>
      <c r="C286" s="1" t="s">
        <v>1526</v>
      </c>
      <c r="D286" s="1" t="s">
        <v>1324</v>
      </c>
      <c r="E286" s="26">
        <v>44308</v>
      </c>
      <c r="F286" s="26">
        <v>44351</v>
      </c>
      <c r="G286" s="26"/>
    </row>
    <row r="287" spans="2:7" hidden="1" x14ac:dyDescent="0.5">
      <c r="B287" s="1" t="s">
        <v>666</v>
      </c>
      <c r="C287" s="1" t="s">
        <v>1526</v>
      </c>
      <c r="D287" s="1" t="s">
        <v>1324</v>
      </c>
      <c r="E287" s="26">
        <v>44308</v>
      </c>
      <c r="F287" s="26">
        <v>44342</v>
      </c>
      <c r="G287" s="26"/>
    </row>
    <row r="288" spans="2:7" hidden="1" x14ac:dyDescent="0.5">
      <c r="B288" s="1" t="s">
        <v>668</v>
      </c>
      <c r="C288" s="1" t="s">
        <v>1526</v>
      </c>
      <c r="D288" s="1" t="s">
        <v>1324</v>
      </c>
      <c r="E288" s="26">
        <v>44309</v>
      </c>
      <c r="F288" s="26">
        <v>44343</v>
      </c>
      <c r="G288" s="26"/>
    </row>
    <row r="289" spans="2:7" hidden="1" x14ac:dyDescent="0.5">
      <c r="B289" s="1" t="s">
        <v>670</v>
      </c>
      <c r="C289" s="1" t="s">
        <v>1526</v>
      </c>
      <c r="D289" s="1" t="s">
        <v>1324</v>
      </c>
      <c r="E289" s="26">
        <v>44312</v>
      </c>
      <c r="F289" s="26">
        <v>44353</v>
      </c>
      <c r="G289" s="26"/>
    </row>
    <row r="290" spans="2:7" hidden="1" x14ac:dyDescent="0.5">
      <c r="B290" s="1" t="s">
        <v>672</v>
      </c>
      <c r="C290" s="1" t="s">
        <v>1526</v>
      </c>
      <c r="D290" s="1" t="s">
        <v>1324</v>
      </c>
      <c r="E290" s="26">
        <v>44312</v>
      </c>
      <c r="F290" s="26">
        <v>44350</v>
      </c>
      <c r="G290" s="26"/>
    </row>
    <row r="291" spans="2:7" hidden="1" x14ac:dyDescent="0.5">
      <c r="B291" s="1" t="s">
        <v>674</v>
      </c>
      <c r="C291" s="1" t="s">
        <v>1526</v>
      </c>
      <c r="D291" s="1" t="s">
        <v>1324</v>
      </c>
      <c r="E291" s="26">
        <v>44312</v>
      </c>
      <c r="F291" s="26">
        <v>44340</v>
      </c>
      <c r="G291" s="26"/>
    </row>
    <row r="292" spans="2:7" hidden="1" x14ac:dyDescent="0.5">
      <c r="B292" s="1" t="s">
        <v>676</v>
      </c>
      <c r="C292" s="1" t="s">
        <v>1526</v>
      </c>
      <c r="D292" s="1" t="s">
        <v>1324</v>
      </c>
      <c r="E292" s="26">
        <v>44313</v>
      </c>
      <c r="F292" s="26">
        <v>44346</v>
      </c>
      <c r="G292" s="26"/>
    </row>
    <row r="293" spans="2:7" hidden="1" x14ac:dyDescent="0.5">
      <c r="B293" s="1" t="s">
        <v>678</v>
      </c>
      <c r="C293" s="1" t="s">
        <v>1526</v>
      </c>
      <c r="D293" s="1" t="s">
        <v>1324</v>
      </c>
      <c r="E293" s="26">
        <v>44315</v>
      </c>
      <c r="F293" s="26">
        <v>44358</v>
      </c>
      <c r="G293" s="26"/>
    </row>
    <row r="294" spans="2:7" hidden="1" x14ac:dyDescent="0.5">
      <c r="B294" s="1" t="s">
        <v>680</v>
      </c>
      <c r="C294" s="1" t="s">
        <v>1526</v>
      </c>
      <c r="D294" s="1" t="s">
        <v>1324</v>
      </c>
      <c r="E294" s="26">
        <v>44316</v>
      </c>
      <c r="F294" s="26">
        <v>44357</v>
      </c>
      <c r="G294" s="26"/>
    </row>
    <row r="295" spans="2:7" hidden="1" x14ac:dyDescent="0.5">
      <c r="B295" s="1" t="s">
        <v>682</v>
      </c>
      <c r="C295" s="1" t="s">
        <v>1526</v>
      </c>
      <c r="D295" s="1" t="s">
        <v>1324</v>
      </c>
      <c r="E295" s="26">
        <v>44316</v>
      </c>
      <c r="F295" s="26">
        <v>44341</v>
      </c>
      <c r="G295" s="26"/>
    </row>
    <row r="296" spans="2:7" hidden="1" x14ac:dyDescent="0.5">
      <c r="B296" s="1" t="s">
        <v>684</v>
      </c>
      <c r="C296" s="1" t="s">
        <v>1526</v>
      </c>
      <c r="D296" s="1" t="s">
        <v>1324</v>
      </c>
      <c r="E296" s="26">
        <v>44317</v>
      </c>
      <c r="F296" s="26">
        <v>44343</v>
      </c>
      <c r="G296" s="26"/>
    </row>
    <row r="297" spans="2:7" hidden="1" x14ac:dyDescent="0.5">
      <c r="B297" s="1" t="s">
        <v>686</v>
      </c>
      <c r="C297" s="1" t="s">
        <v>1526</v>
      </c>
      <c r="D297" s="1" t="s">
        <v>1324</v>
      </c>
      <c r="E297" s="26">
        <v>44319</v>
      </c>
      <c r="F297" s="26">
        <v>44348</v>
      </c>
      <c r="G297" s="26"/>
    </row>
    <row r="298" spans="2:7" hidden="1" x14ac:dyDescent="0.5">
      <c r="B298" s="1" t="s">
        <v>688</v>
      </c>
      <c r="C298" s="1" t="s">
        <v>1526</v>
      </c>
      <c r="D298" s="1" t="s">
        <v>1324</v>
      </c>
      <c r="E298" s="26">
        <v>44319</v>
      </c>
      <c r="F298" s="26">
        <v>44350</v>
      </c>
      <c r="G298" s="26"/>
    </row>
    <row r="299" spans="2:7" hidden="1" x14ac:dyDescent="0.5">
      <c r="B299" s="1" t="s">
        <v>692</v>
      </c>
      <c r="C299" s="1" t="s">
        <v>1526</v>
      </c>
      <c r="D299" s="1" t="s">
        <v>1324</v>
      </c>
      <c r="E299" s="26">
        <v>44321</v>
      </c>
      <c r="F299" s="26">
        <v>44355</v>
      </c>
      <c r="G299" s="26"/>
    </row>
    <row r="300" spans="2:7" hidden="1" x14ac:dyDescent="0.5">
      <c r="B300" s="1" t="s">
        <v>690</v>
      </c>
      <c r="C300" s="1" t="s">
        <v>1526</v>
      </c>
      <c r="D300" s="1" t="s">
        <v>1324</v>
      </c>
      <c r="E300" s="26">
        <v>44321</v>
      </c>
      <c r="F300" s="26">
        <v>44361</v>
      </c>
      <c r="G300" s="26"/>
    </row>
    <row r="301" spans="2:7" hidden="1" x14ac:dyDescent="0.5">
      <c r="B301" s="1" t="s">
        <v>696</v>
      </c>
      <c r="C301" s="1" t="s">
        <v>1526</v>
      </c>
      <c r="D301" s="1" t="s">
        <v>1324</v>
      </c>
      <c r="E301" s="26">
        <v>44322</v>
      </c>
      <c r="F301" s="26">
        <v>44358</v>
      </c>
      <c r="G301" s="26"/>
    </row>
    <row r="302" spans="2:7" hidden="1" x14ac:dyDescent="0.5">
      <c r="B302" s="1" t="s">
        <v>694</v>
      </c>
      <c r="C302" s="1" t="s">
        <v>1526</v>
      </c>
      <c r="D302" s="1" t="s">
        <v>1324</v>
      </c>
      <c r="E302" s="26">
        <v>44322</v>
      </c>
      <c r="F302" s="26">
        <v>44353</v>
      </c>
      <c r="G302" s="26"/>
    </row>
    <row r="303" spans="2:7" hidden="1" x14ac:dyDescent="0.5">
      <c r="B303" s="1" t="s">
        <v>698</v>
      </c>
      <c r="C303" s="1" t="s">
        <v>1526</v>
      </c>
      <c r="D303" s="1" t="s">
        <v>1324</v>
      </c>
      <c r="E303" s="26">
        <v>44323</v>
      </c>
      <c r="F303" s="26">
        <v>44360</v>
      </c>
      <c r="G303" s="26"/>
    </row>
    <row r="304" spans="2:7" x14ac:dyDescent="0.5">
      <c r="B304" s="1" t="s">
        <v>700</v>
      </c>
      <c r="C304" s="1" t="s">
        <v>1526</v>
      </c>
      <c r="D304" s="1" t="s">
        <v>1324</v>
      </c>
      <c r="E304" s="26">
        <v>44325</v>
      </c>
      <c r="F304" s="26" t="s">
        <v>1527</v>
      </c>
      <c r="G304" s="26"/>
    </row>
    <row r="305" spans="2:7" hidden="1" x14ac:dyDescent="0.5">
      <c r="B305" s="1" t="s">
        <v>706</v>
      </c>
      <c r="C305" s="1" t="s">
        <v>1526</v>
      </c>
      <c r="D305" s="1" t="s">
        <v>1324</v>
      </c>
      <c r="E305" s="26">
        <v>44326</v>
      </c>
      <c r="F305" s="26">
        <v>44366</v>
      </c>
      <c r="G305" s="26"/>
    </row>
    <row r="306" spans="2:7" hidden="1" x14ac:dyDescent="0.5">
      <c r="B306" s="1" t="s">
        <v>703</v>
      </c>
      <c r="C306" s="1" t="s">
        <v>1526</v>
      </c>
      <c r="D306" s="1" t="s">
        <v>1324</v>
      </c>
      <c r="E306" s="26">
        <v>44326</v>
      </c>
      <c r="F306" s="26">
        <v>44369</v>
      </c>
      <c r="G306" s="26"/>
    </row>
    <row r="307" spans="2:7" hidden="1" x14ac:dyDescent="0.5">
      <c r="B307" s="1" t="s">
        <v>708</v>
      </c>
      <c r="C307" s="1" t="s">
        <v>1526</v>
      </c>
      <c r="D307" s="1" t="s">
        <v>1324</v>
      </c>
      <c r="E307" s="26">
        <v>44327</v>
      </c>
      <c r="F307" s="26">
        <v>44356</v>
      </c>
      <c r="G307" s="26"/>
    </row>
    <row r="308" spans="2:7" hidden="1" x14ac:dyDescent="0.5">
      <c r="B308" s="1" t="s">
        <v>710</v>
      </c>
      <c r="C308" s="1" t="s">
        <v>1526</v>
      </c>
      <c r="D308" s="1" t="s">
        <v>1324</v>
      </c>
      <c r="E308" s="26">
        <v>44328</v>
      </c>
      <c r="F308" s="26">
        <v>44361</v>
      </c>
      <c r="G308" s="26"/>
    </row>
    <row r="309" spans="2:7" hidden="1" x14ac:dyDescent="0.5">
      <c r="B309" s="1" t="s">
        <v>712</v>
      </c>
      <c r="C309" s="1" t="s">
        <v>1526</v>
      </c>
      <c r="D309" s="1" t="s">
        <v>1324</v>
      </c>
      <c r="E309" s="26">
        <v>44329</v>
      </c>
      <c r="F309" s="26">
        <v>44358</v>
      </c>
      <c r="G309" s="26"/>
    </row>
    <row r="310" spans="2:7" hidden="1" x14ac:dyDescent="0.5">
      <c r="B310" s="1" t="s">
        <v>714</v>
      </c>
      <c r="C310" s="1" t="s">
        <v>1526</v>
      </c>
      <c r="D310" s="1" t="s">
        <v>1324</v>
      </c>
      <c r="E310" s="26">
        <v>44329</v>
      </c>
      <c r="F310" s="26">
        <v>44365</v>
      </c>
      <c r="G310" s="26"/>
    </row>
    <row r="311" spans="2:7" hidden="1" x14ac:dyDescent="0.5">
      <c r="B311" s="1" t="s">
        <v>716</v>
      </c>
      <c r="C311" s="1" t="s">
        <v>1526</v>
      </c>
      <c r="D311" s="1" t="s">
        <v>1324</v>
      </c>
      <c r="E311" s="26">
        <v>44331</v>
      </c>
      <c r="F311" s="26">
        <v>44365</v>
      </c>
      <c r="G311" s="26"/>
    </row>
    <row r="312" spans="2:7" x14ac:dyDescent="0.5">
      <c r="B312" s="1" t="s">
        <v>722</v>
      </c>
      <c r="C312" s="1" t="s">
        <v>1526</v>
      </c>
      <c r="D312" s="1" t="s">
        <v>1325</v>
      </c>
      <c r="E312" s="26">
        <v>44332</v>
      </c>
      <c r="F312" s="26" t="s">
        <v>1527</v>
      </c>
      <c r="G312" s="26"/>
    </row>
    <row r="313" spans="2:7" hidden="1" x14ac:dyDescent="0.5">
      <c r="B313" s="1" t="s">
        <v>718</v>
      </c>
      <c r="C313" s="1" t="s">
        <v>1526</v>
      </c>
      <c r="D313" s="1" t="s">
        <v>1324</v>
      </c>
      <c r="E313" s="26">
        <v>44333</v>
      </c>
      <c r="F313" s="26">
        <v>44366</v>
      </c>
      <c r="G313" s="26"/>
    </row>
    <row r="314" spans="2:7" hidden="1" x14ac:dyDescent="0.5">
      <c r="B314" s="1" t="s">
        <v>720</v>
      </c>
      <c r="C314" s="1" t="s">
        <v>1526</v>
      </c>
      <c r="D314" s="1" t="s">
        <v>1324</v>
      </c>
      <c r="E314" s="26">
        <v>44333</v>
      </c>
      <c r="F314" s="26">
        <v>44367</v>
      </c>
      <c r="G314" s="26"/>
    </row>
    <row r="315" spans="2:7" hidden="1" x14ac:dyDescent="0.5">
      <c r="B315" s="1" t="s">
        <v>724</v>
      </c>
      <c r="C315" s="1" t="s">
        <v>1526</v>
      </c>
      <c r="D315" s="1" t="s">
        <v>1324</v>
      </c>
      <c r="E315" s="26">
        <v>44334</v>
      </c>
      <c r="F315" s="26">
        <v>44372</v>
      </c>
      <c r="G315" s="26"/>
    </row>
    <row r="316" spans="2:7" hidden="1" x14ac:dyDescent="0.5">
      <c r="B316" s="1" t="s">
        <v>726</v>
      </c>
      <c r="C316" s="1" t="s">
        <v>1526</v>
      </c>
      <c r="D316" s="1" t="s">
        <v>1324</v>
      </c>
      <c r="E316" s="26">
        <v>44334</v>
      </c>
      <c r="F316" s="26">
        <v>44364</v>
      </c>
      <c r="G316" s="26"/>
    </row>
    <row r="317" spans="2:7" hidden="1" x14ac:dyDescent="0.5">
      <c r="B317" s="1" t="s">
        <v>728</v>
      </c>
      <c r="C317" s="1" t="s">
        <v>1526</v>
      </c>
      <c r="D317" s="1" t="s">
        <v>1324</v>
      </c>
      <c r="E317" s="26">
        <v>44335</v>
      </c>
      <c r="F317" s="26">
        <v>44375</v>
      </c>
      <c r="G317" s="26"/>
    </row>
    <row r="318" spans="2:7" hidden="1" x14ac:dyDescent="0.5">
      <c r="B318" s="1" t="s">
        <v>730</v>
      </c>
      <c r="C318" s="1" t="s">
        <v>1526</v>
      </c>
      <c r="D318" s="1" t="s">
        <v>1324</v>
      </c>
      <c r="E318" s="26">
        <v>44335</v>
      </c>
      <c r="F318" s="26">
        <v>44370</v>
      </c>
      <c r="G318" s="26"/>
    </row>
    <row r="319" spans="2:7" hidden="1" x14ac:dyDescent="0.5">
      <c r="B319" s="1" t="s">
        <v>734</v>
      </c>
      <c r="C319" s="1" t="s">
        <v>1526</v>
      </c>
      <c r="D319" s="1" t="s">
        <v>1324</v>
      </c>
      <c r="E319" s="26">
        <v>44337</v>
      </c>
      <c r="F319" s="26">
        <v>44369</v>
      </c>
      <c r="G319" s="26"/>
    </row>
    <row r="320" spans="2:7" hidden="1" x14ac:dyDescent="0.5">
      <c r="B320" s="1" t="s">
        <v>736</v>
      </c>
      <c r="C320" s="1" t="s">
        <v>1526</v>
      </c>
      <c r="D320" s="1" t="s">
        <v>1324</v>
      </c>
      <c r="E320" s="26">
        <v>44337</v>
      </c>
      <c r="F320" s="26">
        <v>44370</v>
      </c>
      <c r="G320" s="26"/>
    </row>
    <row r="321" spans="2:7" hidden="1" x14ac:dyDescent="0.5">
      <c r="B321" s="1" t="s">
        <v>732</v>
      </c>
      <c r="C321" s="1" t="s">
        <v>1526</v>
      </c>
      <c r="D321" s="1" t="s">
        <v>1324</v>
      </c>
      <c r="E321" s="26">
        <v>44337</v>
      </c>
      <c r="F321" s="26">
        <v>44369</v>
      </c>
      <c r="G321" s="26"/>
    </row>
    <row r="322" spans="2:7" x14ac:dyDescent="0.5">
      <c r="B322" s="1" t="s">
        <v>741</v>
      </c>
      <c r="C322" s="1" t="s">
        <v>1526</v>
      </c>
      <c r="D322" s="1" t="s">
        <v>1325</v>
      </c>
      <c r="E322" s="26">
        <v>44338</v>
      </c>
      <c r="F322" s="26" t="s">
        <v>1527</v>
      </c>
      <c r="G322" s="26"/>
    </row>
    <row r="323" spans="2:7" hidden="1" x14ac:dyDescent="0.5">
      <c r="B323" s="1" t="s">
        <v>745</v>
      </c>
      <c r="C323" s="1" t="s">
        <v>1526</v>
      </c>
      <c r="D323" s="1" t="s">
        <v>1324</v>
      </c>
      <c r="E323" s="26">
        <v>44338</v>
      </c>
      <c r="F323" s="26">
        <v>44381</v>
      </c>
      <c r="G323" s="26"/>
    </row>
    <row r="324" spans="2:7" hidden="1" x14ac:dyDescent="0.5">
      <c r="B324" s="1" t="s">
        <v>743</v>
      </c>
      <c r="C324" s="1" t="s">
        <v>1526</v>
      </c>
      <c r="D324" s="1" t="s">
        <v>1324</v>
      </c>
      <c r="E324" s="26">
        <v>44338</v>
      </c>
      <c r="F324" s="26">
        <v>44377</v>
      </c>
      <c r="G324" s="26"/>
    </row>
    <row r="325" spans="2:7" x14ac:dyDescent="0.5">
      <c r="B325" s="1" t="s">
        <v>739</v>
      </c>
      <c r="C325" s="1" t="s">
        <v>1526</v>
      </c>
      <c r="D325" s="1" t="s">
        <v>1324</v>
      </c>
      <c r="E325" s="26">
        <v>44339</v>
      </c>
      <c r="F325" s="26" t="s">
        <v>1527</v>
      </c>
      <c r="G325" s="26"/>
    </row>
    <row r="326" spans="2:7" hidden="1" x14ac:dyDescent="0.5">
      <c r="B326" s="1" t="s">
        <v>749</v>
      </c>
      <c r="C326" s="1" t="s">
        <v>1526</v>
      </c>
      <c r="D326" s="1" t="s">
        <v>1324</v>
      </c>
      <c r="E326" s="26">
        <v>44340</v>
      </c>
      <c r="F326" s="26">
        <v>44372</v>
      </c>
      <c r="G326" s="26"/>
    </row>
    <row r="327" spans="2:7" hidden="1" x14ac:dyDescent="0.5">
      <c r="B327" s="1" t="s">
        <v>747</v>
      </c>
      <c r="C327" s="1" t="s">
        <v>1526</v>
      </c>
      <c r="D327" s="1" t="s">
        <v>1324</v>
      </c>
      <c r="E327" s="26">
        <v>44340</v>
      </c>
      <c r="F327" s="26">
        <v>44372</v>
      </c>
      <c r="G327" s="26"/>
    </row>
    <row r="328" spans="2:7" hidden="1" x14ac:dyDescent="0.5">
      <c r="B328" s="1" t="s">
        <v>751</v>
      </c>
      <c r="C328" s="1" t="s">
        <v>1526</v>
      </c>
      <c r="D328" s="1" t="s">
        <v>1324</v>
      </c>
      <c r="E328" s="26">
        <v>44344</v>
      </c>
      <c r="F328" s="26">
        <v>44369</v>
      </c>
      <c r="G328" s="26"/>
    </row>
    <row r="329" spans="2:7" hidden="1" x14ac:dyDescent="0.5">
      <c r="B329" s="1" t="s">
        <v>753</v>
      </c>
      <c r="C329" s="1" t="s">
        <v>1526</v>
      </c>
      <c r="D329" s="1" t="s">
        <v>1324</v>
      </c>
      <c r="E329" s="26">
        <v>44344</v>
      </c>
      <c r="F329" s="26">
        <v>44386</v>
      </c>
      <c r="G329" s="26"/>
    </row>
    <row r="330" spans="2:7" x14ac:dyDescent="0.5">
      <c r="B330" s="1" t="s">
        <v>755</v>
      </c>
      <c r="C330" s="1" t="s">
        <v>1526</v>
      </c>
      <c r="D330" s="1" t="s">
        <v>1325</v>
      </c>
      <c r="E330" s="26">
        <v>44345</v>
      </c>
      <c r="F330" s="26" t="s">
        <v>1527</v>
      </c>
      <c r="G330" s="26"/>
    </row>
    <row r="331" spans="2:7" hidden="1" x14ac:dyDescent="0.5">
      <c r="B331" s="1" t="s">
        <v>759</v>
      </c>
      <c r="C331" s="1" t="s">
        <v>1526</v>
      </c>
      <c r="D331" s="1" t="s">
        <v>1324</v>
      </c>
      <c r="E331" s="26">
        <v>44347</v>
      </c>
      <c r="F331" s="26">
        <v>44381</v>
      </c>
      <c r="G331" s="26"/>
    </row>
    <row r="332" spans="2:7" hidden="1" x14ac:dyDescent="0.5">
      <c r="B332" s="1" t="s">
        <v>757</v>
      </c>
      <c r="C332" s="1" t="s">
        <v>1526</v>
      </c>
      <c r="D332" s="1" t="s">
        <v>1324</v>
      </c>
      <c r="E332" s="26">
        <v>44347</v>
      </c>
      <c r="F332" s="26">
        <v>44385</v>
      </c>
      <c r="G332" s="26"/>
    </row>
    <row r="333" spans="2:7" hidden="1" x14ac:dyDescent="0.5">
      <c r="B333" s="1" t="s">
        <v>761</v>
      </c>
      <c r="C333" s="1" t="s">
        <v>1526</v>
      </c>
      <c r="D333" s="1" t="s">
        <v>1324</v>
      </c>
      <c r="E333" s="26">
        <v>44348</v>
      </c>
      <c r="F333" s="26">
        <v>44380</v>
      </c>
      <c r="G333" s="26"/>
    </row>
    <row r="334" spans="2:7" hidden="1" x14ac:dyDescent="0.5">
      <c r="B334" s="1" t="s">
        <v>763</v>
      </c>
      <c r="C334" s="1" t="s">
        <v>1526</v>
      </c>
      <c r="D334" s="1" t="s">
        <v>1324</v>
      </c>
      <c r="E334" s="26">
        <v>44348</v>
      </c>
      <c r="F334" s="26">
        <v>44386</v>
      </c>
      <c r="G334" s="26"/>
    </row>
    <row r="335" spans="2:7" hidden="1" x14ac:dyDescent="0.5">
      <c r="B335" s="1" t="s">
        <v>765</v>
      </c>
      <c r="C335" s="1" t="s">
        <v>1526</v>
      </c>
      <c r="D335" s="1" t="s">
        <v>1324</v>
      </c>
      <c r="E335" s="26">
        <v>44350</v>
      </c>
      <c r="F335" s="26">
        <v>44376</v>
      </c>
      <c r="G335" s="26"/>
    </row>
    <row r="336" spans="2:7" hidden="1" x14ac:dyDescent="0.5">
      <c r="B336" s="1" t="s">
        <v>767</v>
      </c>
      <c r="C336" s="1" t="s">
        <v>1526</v>
      </c>
      <c r="D336" s="1" t="s">
        <v>1324</v>
      </c>
      <c r="E336" s="26">
        <v>44350</v>
      </c>
      <c r="F336" s="26">
        <v>44381</v>
      </c>
      <c r="G336" s="26"/>
    </row>
    <row r="337" spans="2:7" hidden="1" x14ac:dyDescent="0.5">
      <c r="B337" s="1" t="s">
        <v>771</v>
      </c>
      <c r="C337" s="1" t="s">
        <v>1526</v>
      </c>
      <c r="D337" s="1" t="s">
        <v>1324</v>
      </c>
      <c r="E337" s="26">
        <v>44351</v>
      </c>
      <c r="F337" s="26">
        <v>44376</v>
      </c>
      <c r="G337" s="26"/>
    </row>
    <row r="338" spans="2:7" hidden="1" x14ac:dyDescent="0.5">
      <c r="B338" s="1" t="s">
        <v>773</v>
      </c>
      <c r="C338" s="1" t="s">
        <v>1526</v>
      </c>
      <c r="D338" s="1" t="s">
        <v>1324</v>
      </c>
      <c r="E338" s="26">
        <v>44352</v>
      </c>
      <c r="F338" s="26">
        <v>44382</v>
      </c>
      <c r="G338" s="26"/>
    </row>
    <row r="339" spans="2:7" x14ac:dyDescent="0.5">
      <c r="B339" s="1" t="s">
        <v>769</v>
      </c>
      <c r="C339" s="1" t="s">
        <v>1526</v>
      </c>
      <c r="D339" s="1" t="s">
        <v>1324</v>
      </c>
      <c r="E339" s="26">
        <v>44353</v>
      </c>
      <c r="F339" s="26" t="s">
        <v>1527</v>
      </c>
      <c r="G339" s="26"/>
    </row>
    <row r="340" spans="2:7" hidden="1" x14ac:dyDescent="0.5">
      <c r="B340" s="1" t="s">
        <v>775</v>
      </c>
      <c r="C340" s="1" t="s">
        <v>1526</v>
      </c>
      <c r="D340" s="1" t="s">
        <v>1324</v>
      </c>
      <c r="E340" s="26">
        <v>44356</v>
      </c>
      <c r="F340" s="26">
        <v>44398</v>
      </c>
      <c r="G340" s="26"/>
    </row>
    <row r="341" spans="2:7" hidden="1" x14ac:dyDescent="0.5">
      <c r="B341" s="1" t="s">
        <v>777</v>
      </c>
      <c r="C341" s="1" t="s">
        <v>1526</v>
      </c>
      <c r="D341" s="1" t="s">
        <v>1324</v>
      </c>
      <c r="E341" s="26">
        <v>44357</v>
      </c>
      <c r="F341" s="26">
        <v>44386</v>
      </c>
      <c r="G341" s="26"/>
    </row>
    <row r="342" spans="2:7" hidden="1" x14ac:dyDescent="0.5">
      <c r="B342" s="1" t="s">
        <v>781</v>
      </c>
      <c r="C342" s="1" t="s">
        <v>1526</v>
      </c>
      <c r="D342" s="1" t="s">
        <v>1324</v>
      </c>
      <c r="E342" s="26">
        <v>44361</v>
      </c>
      <c r="F342" s="26">
        <v>44393</v>
      </c>
      <c r="G342" s="26"/>
    </row>
    <row r="343" spans="2:7" hidden="1" x14ac:dyDescent="0.5">
      <c r="B343" s="1" t="s">
        <v>779</v>
      </c>
      <c r="C343" s="1" t="s">
        <v>1526</v>
      </c>
      <c r="D343" s="1" t="s">
        <v>1324</v>
      </c>
      <c r="E343" s="26">
        <v>44361</v>
      </c>
      <c r="F343" s="26">
        <v>44394</v>
      </c>
      <c r="G343" s="26"/>
    </row>
    <row r="344" spans="2:7" hidden="1" x14ac:dyDescent="0.5">
      <c r="B344" s="1" t="s">
        <v>783</v>
      </c>
      <c r="C344" s="1" t="s">
        <v>1526</v>
      </c>
      <c r="D344" s="1" t="s">
        <v>1324</v>
      </c>
      <c r="E344" s="26">
        <v>44364</v>
      </c>
      <c r="F344" s="26">
        <v>44407</v>
      </c>
      <c r="G344" s="26"/>
    </row>
    <row r="345" spans="2:7" hidden="1" x14ac:dyDescent="0.5">
      <c r="B345" s="1" t="s">
        <v>785</v>
      </c>
      <c r="C345" s="1" t="s">
        <v>1526</v>
      </c>
      <c r="D345" s="1" t="s">
        <v>1324</v>
      </c>
      <c r="E345" s="26">
        <v>44365</v>
      </c>
      <c r="F345" s="26">
        <v>44401</v>
      </c>
      <c r="G345" s="26"/>
    </row>
    <row r="346" spans="2:7" hidden="1" x14ac:dyDescent="0.5">
      <c r="B346" s="1" t="s">
        <v>787</v>
      </c>
      <c r="C346" s="1" t="s">
        <v>1526</v>
      </c>
      <c r="D346" s="1" t="s">
        <v>1324</v>
      </c>
      <c r="E346" s="26">
        <v>44366</v>
      </c>
      <c r="F346" s="26">
        <v>44405</v>
      </c>
      <c r="G346" s="26"/>
    </row>
    <row r="347" spans="2:7" hidden="1" x14ac:dyDescent="0.5">
      <c r="B347" s="1" t="s">
        <v>791</v>
      </c>
      <c r="C347" s="1" t="s">
        <v>1526</v>
      </c>
      <c r="D347" s="1" t="s">
        <v>1324</v>
      </c>
      <c r="E347" s="26">
        <v>44368</v>
      </c>
      <c r="F347" s="26">
        <v>44411</v>
      </c>
      <c r="G347" s="26"/>
    </row>
    <row r="348" spans="2:7" hidden="1" x14ac:dyDescent="0.5">
      <c r="B348" s="1" t="s">
        <v>789</v>
      </c>
      <c r="C348" s="1" t="s">
        <v>1526</v>
      </c>
      <c r="D348" s="1" t="s">
        <v>1324</v>
      </c>
      <c r="E348" s="26">
        <v>44368</v>
      </c>
      <c r="F348" s="26">
        <v>44400</v>
      </c>
      <c r="G348" s="26"/>
    </row>
    <row r="349" spans="2:7" hidden="1" x14ac:dyDescent="0.5">
      <c r="B349" s="1" t="s">
        <v>793</v>
      </c>
      <c r="C349" s="1" t="s">
        <v>1526</v>
      </c>
      <c r="D349" s="1" t="s">
        <v>1324</v>
      </c>
      <c r="E349" s="26">
        <v>44371</v>
      </c>
      <c r="F349" s="26">
        <v>44405</v>
      </c>
      <c r="G349" s="26"/>
    </row>
    <row r="350" spans="2:7" hidden="1" x14ac:dyDescent="0.5">
      <c r="B350" s="1" t="s">
        <v>795</v>
      </c>
      <c r="C350" s="1" t="s">
        <v>1526</v>
      </c>
      <c r="D350" s="1" t="s">
        <v>1324</v>
      </c>
      <c r="E350" s="26">
        <v>44371</v>
      </c>
      <c r="F350" s="26">
        <v>44403</v>
      </c>
      <c r="G350" s="26"/>
    </row>
    <row r="351" spans="2:7" x14ac:dyDescent="0.5">
      <c r="B351" s="1" t="s">
        <v>797</v>
      </c>
      <c r="C351" s="1" t="s">
        <v>1526</v>
      </c>
      <c r="D351" s="1" t="s">
        <v>1324</v>
      </c>
      <c r="E351" s="26">
        <v>44373</v>
      </c>
      <c r="F351" s="26" t="s">
        <v>1527</v>
      </c>
      <c r="G351" s="26"/>
    </row>
    <row r="352" spans="2:7" hidden="1" x14ac:dyDescent="0.5">
      <c r="B352" s="1" t="s">
        <v>799</v>
      </c>
      <c r="C352" s="1" t="s">
        <v>1526</v>
      </c>
      <c r="D352" s="1" t="s">
        <v>1324</v>
      </c>
      <c r="E352" s="26">
        <v>44376</v>
      </c>
      <c r="F352" s="26">
        <v>44419</v>
      </c>
      <c r="G352" s="26"/>
    </row>
    <row r="353" spans="2:7" hidden="1" x14ac:dyDescent="0.5">
      <c r="B353" s="1" t="s">
        <v>801</v>
      </c>
      <c r="C353" s="1" t="s">
        <v>1526</v>
      </c>
      <c r="D353" s="1" t="s">
        <v>1324</v>
      </c>
      <c r="E353" s="26">
        <v>44377</v>
      </c>
      <c r="F353" s="26">
        <v>44416</v>
      </c>
      <c r="G353" s="26"/>
    </row>
    <row r="354" spans="2:7" hidden="1" x14ac:dyDescent="0.5">
      <c r="B354" s="1" t="s">
        <v>803</v>
      </c>
      <c r="C354" s="1" t="s">
        <v>1526</v>
      </c>
      <c r="D354" s="1" t="s">
        <v>1324</v>
      </c>
      <c r="E354" s="26">
        <v>44377</v>
      </c>
      <c r="F354" s="26">
        <v>44409</v>
      </c>
      <c r="G354" s="26"/>
    </row>
    <row r="355" spans="2:7" hidden="1" x14ac:dyDescent="0.5">
      <c r="B355" s="1" t="s">
        <v>807</v>
      </c>
      <c r="C355" s="1" t="s">
        <v>1526</v>
      </c>
      <c r="D355" s="1" t="s">
        <v>1324</v>
      </c>
      <c r="E355" s="26">
        <v>44379</v>
      </c>
      <c r="F355" s="26">
        <v>44411</v>
      </c>
      <c r="G355" s="26"/>
    </row>
    <row r="356" spans="2:7" hidden="1" x14ac:dyDescent="0.5">
      <c r="B356" s="1" t="s">
        <v>809</v>
      </c>
      <c r="C356" s="1" t="s">
        <v>1526</v>
      </c>
      <c r="D356" s="1" t="s">
        <v>1325</v>
      </c>
      <c r="E356" s="26">
        <v>44380</v>
      </c>
      <c r="F356" s="26">
        <v>44415</v>
      </c>
      <c r="G356" s="26"/>
    </row>
    <row r="357" spans="2:7" hidden="1" x14ac:dyDescent="0.5">
      <c r="B357" s="1" t="s">
        <v>811</v>
      </c>
      <c r="C357" s="1" t="s">
        <v>1526</v>
      </c>
      <c r="D357" s="1" t="s">
        <v>1325</v>
      </c>
      <c r="E357" s="26">
        <v>44380</v>
      </c>
      <c r="F357" s="26">
        <v>44408</v>
      </c>
      <c r="G357" s="26"/>
    </row>
    <row r="358" spans="2:7" hidden="1" x14ac:dyDescent="0.5">
      <c r="B358" s="1" t="s">
        <v>813</v>
      </c>
      <c r="C358" s="1" t="s">
        <v>1526</v>
      </c>
      <c r="D358" s="1" t="s">
        <v>1324</v>
      </c>
      <c r="E358" s="26">
        <v>44380</v>
      </c>
      <c r="F358" s="26">
        <v>44414</v>
      </c>
      <c r="G358" s="26"/>
    </row>
    <row r="359" spans="2:7" x14ac:dyDescent="0.5">
      <c r="B359" s="1" t="s">
        <v>805</v>
      </c>
      <c r="C359" s="1" t="s">
        <v>1526</v>
      </c>
      <c r="D359" s="1" t="s">
        <v>1325</v>
      </c>
      <c r="E359" s="26">
        <v>44381</v>
      </c>
      <c r="F359" s="26" t="s">
        <v>1527</v>
      </c>
      <c r="G359" s="26"/>
    </row>
    <row r="360" spans="2:7" hidden="1" x14ac:dyDescent="0.5">
      <c r="B360" s="1" t="s">
        <v>815</v>
      </c>
      <c r="C360" s="1" t="s">
        <v>1526</v>
      </c>
      <c r="D360" s="1" t="s">
        <v>1324</v>
      </c>
      <c r="E360" s="26">
        <v>44382</v>
      </c>
      <c r="F360" s="26">
        <v>44411</v>
      </c>
      <c r="G360" s="26"/>
    </row>
    <row r="361" spans="2:7" hidden="1" x14ac:dyDescent="0.5">
      <c r="B361" s="1" t="s">
        <v>817</v>
      </c>
      <c r="C361" s="1" t="s">
        <v>1526</v>
      </c>
      <c r="D361" s="1" t="s">
        <v>1324</v>
      </c>
      <c r="E361" s="26">
        <v>44382</v>
      </c>
      <c r="F361" s="26">
        <v>44411</v>
      </c>
      <c r="G361" s="26"/>
    </row>
    <row r="362" spans="2:7" hidden="1" x14ac:dyDescent="0.5">
      <c r="B362" s="1" t="s">
        <v>819</v>
      </c>
      <c r="C362" s="1" t="s">
        <v>1526</v>
      </c>
      <c r="D362" s="1" t="s">
        <v>1324</v>
      </c>
      <c r="E362" s="26">
        <v>44383</v>
      </c>
      <c r="F362" s="26">
        <v>44426</v>
      </c>
      <c r="G362" s="26"/>
    </row>
    <row r="363" spans="2:7" hidden="1" x14ac:dyDescent="0.5">
      <c r="B363" s="1" t="s">
        <v>827</v>
      </c>
      <c r="C363" s="1" t="s">
        <v>1526</v>
      </c>
      <c r="D363" s="1" t="s">
        <v>1324</v>
      </c>
      <c r="E363" s="26">
        <v>44384</v>
      </c>
      <c r="F363" s="26">
        <v>44411</v>
      </c>
      <c r="G363" s="26"/>
    </row>
    <row r="364" spans="2:7" hidden="1" x14ac:dyDescent="0.5">
      <c r="B364" s="1" t="s">
        <v>823</v>
      </c>
      <c r="C364" s="1" t="s">
        <v>1526</v>
      </c>
      <c r="D364" s="1" t="s">
        <v>1325</v>
      </c>
      <c r="E364" s="26">
        <v>44384</v>
      </c>
      <c r="F364" s="26">
        <v>44413</v>
      </c>
      <c r="G364" s="26"/>
    </row>
    <row r="365" spans="2:7" hidden="1" x14ac:dyDescent="0.5">
      <c r="B365" s="1" t="s">
        <v>821</v>
      </c>
      <c r="C365" s="1" t="s">
        <v>1526</v>
      </c>
      <c r="D365" s="1" t="s">
        <v>1325</v>
      </c>
      <c r="E365" s="26">
        <v>44384</v>
      </c>
      <c r="F365" s="26">
        <v>44427</v>
      </c>
      <c r="G365" s="26"/>
    </row>
    <row r="366" spans="2:7" hidden="1" x14ac:dyDescent="0.5">
      <c r="B366" s="1" t="s">
        <v>831</v>
      </c>
      <c r="C366" s="1" t="s">
        <v>1526</v>
      </c>
      <c r="D366" s="1" t="s">
        <v>1324</v>
      </c>
      <c r="E366" s="26">
        <v>44385</v>
      </c>
      <c r="F366" s="26">
        <v>44411</v>
      </c>
      <c r="G366" s="26"/>
    </row>
    <row r="367" spans="2:7" hidden="1" x14ac:dyDescent="0.5">
      <c r="B367" s="1" t="s">
        <v>835</v>
      </c>
      <c r="C367" s="1" t="s">
        <v>1526</v>
      </c>
      <c r="D367" s="1" t="s">
        <v>1324</v>
      </c>
      <c r="E367" s="26">
        <v>44385</v>
      </c>
      <c r="F367" s="26">
        <v>44415</v>
      </c>
      <c r="G367" s="26"/>
    </row>
    <row r="368" spans="2:7" hidden="1" x14ac:dyDescent="0.5">
      <c r="B368" s="1" t="s">
        <v>833</v>
      </c>
      <c r="C368" s="1" t="s">
        <v>1526</v>
      </c>
      <c r="D368" s="1" t="s">
        <v>1324</v>
      </c>
      <c r="E368" s="26">
        <v>44385</v>
      </c>
      <c r="F368" s="26">
        <v>44419</v>
      </c>
      <c r="G368" s="26"/>
    </row>
    <row r="369" spans="2:7" hidden="1" x14ac:dyDescent="0.5">
      <c r="B369" s="1" t="s">
        <v>829</v>
      </c>
      <c r="C369" s="1" t="s">
        <v>1526</v>
      </c>
      <c r="D369" s="1" t="s">
        <v>1324</v>
      </c>
      <c r="E369" s="26">
        <v>44385</v>
      </c>
      <c r="F369" s="26">
        <v>44426</v>
      </c>
      <c r="G369" s="26"/>
    </row>
    <row r="370" spans="2:7" hidden="1" x14ac:dyDescent="0.5">
      <c r="B370" s="1" t="s">
        <v>837</v>
      </c>
      <c r="C370" s="1" t="s">
        <v>1526</v>
      </c>
      <c r="D370" s="1" t="s">
        <v>1324</v>
      </c>
      <c r="E370" s="26">
        <v>44386</v>
      </c>
      <c r="F370" s="26">
        <v>44418</v>
      </c>
      <c r="G370" s="26"/>
    </row>
    <row r="371" spans="2:7" hidden="1" x14ac:dyDescent="0.5">
      <c r="B371" s="1" t="s">
        <v>839</v>
      </c>
      <c r="C371" s="1" t="s">
        <v>1526</v>
      </c>
      <c r="D371" s="1" t="s">
        <v>1324</v>
      </c>
      <c r="E371" s="26">
        <v>44387</v>
      </c>
      <c r="F371" s="26">
        <v>44430</v>
      </c>
      <c r="G371" s="26"/>
    </row>
    <row r="372" spans="2:7" x14ac:dyDescent="0.5">
      <c r="B372" s="1" t="s">
        <v>825</v>
      </c>
      <c r="C372" s="1" t="s">
        <v>1526</v>
      </c>
      <c r="D372" s="1" t="s">
        <v>1324</v>
      </c>
      <c r="E372" s="26">
        <v>44388</v>
      </c>
      <c r="F372" s="26" t="s">
        <v>1527</v>
      </c>
      <c r="G372" s="26"/>
    </row>
    <row r="373" spans="2:7" hidden="1" x14ac:dyDescent="0.5">
      <c r="B373" s="1" t="s">
        <v>841</v>
      </c>
      <c r="C373" s="1" t="s">
        <v>1526</v>
      </c>
      <c r="D373" s="1" t="s">
        <v>1324</v>
      </c>
      <c r="E373" s="26">
        <v>44389</v>
      </c>
      <c r="F373" s="26">
        <v>44429</v>
      </c>
      <c r="G373" s="26"/>
    </row>
    <row r="374" spans="2:7" hidden="1" x14ac:dyDescent="0.5">
      <c r="B374" s="1" t="s">
        <v>849</v>
      </c>
      <c r="C374" s="1" t="s">
        <v>1526</v>
      </c>
      <c r="D374" s="1" t="s">
        <v>1324</v>
      </c>
      <c r="E374" s="26">
        <v>44389</v>
      </c>
      <c r="F374" s="26">
        <v>44429</v>
      </c>
      <c r="G374" s="26"/>
    </row>
    <row r="375" spans="2:7" hidden="1" x14ac:dyDescent="0.5">
      <c r="B375" s="1" t="s">
        <v>843</v>
      </c>
      <c r="C375" s="1" t="s">
        <v>1526</v>
      </c>
      <c r="D375" s="1" t="s">
        <v>1324</v>
      </c>
      <c r="E375" s="26">
        <v>44389</v>
      </c>
      <c r="F375" s="26">
        <v>44420</v>
      </c>
      <c r="G375" s="26"/>
    </row>
    <row r="376" spans="2:7" hidden="1" x14ac:dyDescent="0.5">
      <c r="B376" s="1" t="s">
        <v>845</v>
      </c>
      <c r="C376" s="1" t="s">
        <v>1526</v>
      </c>
      <c r="D376" s="1" t="s">
        <v>1324</v>
      </c>
      <c r="E376" s="26">
        <v>44389</v>
      </c>
      <c r="F376" s="26">
        <v>44419</v>
      </c>
      <c r="G376" s="26"/>
    </row>
    <row r="377" spans="2:7" hidden="1" x14ac:dyDescent="0.5">
      <c r="B377" s="1" t="s">
        <v>847</v>
      </c>
      <c r="C377" s="1" t="s">
        <v>1526</v>
      </c>
      <c r="D377" s="1" t="s">
        <v>1324</v>
      </c>
      <c r="E377" s="26">
        <v>44389</v>
      </c>
      <c r="F377" s="26">
        <v>44427</v>
      </c>
      <c r="G377" s="26"/>
    </row>
    <row r="378" spans="2:7" hidden="1" x14ac:dyDescent="0.5">
      <c r="B378" s="1" t="s">
        <v>851</v>
      </c>
      <c r="C378" s="1" t="s">
        <v>1526</v>
      </c>
      <c r="D378" s="1" t="s">
        <v>1324</v>
      </c>
      <c r="E378" s="26">
        <v>44391</v>
      </c>
      <c r="F378" s="26">
        <v>44422</v>
      </c>
      <c r="G378" s="26"/>
    </row>
    <row r="379" spans="2:7" x14ac:dyDescent="0.5">
      <c r="B379" s="1" t="s">
        <v>857</v>
      </c>
      <c r="C379" s="1" t="s">
        <v>1526</v>
      </c>
      <c r="D379" s="1" t="s">
        <v>1324</v>
      </c>
      <c r="E379" s="26">
        <v>44395</v>
      </c>
      <c r="F379" s="26" t="s">
        <v>1527</v>
      </c>
      <c r="G379" s="26"/>
    </row>
    <row r="380" spans="2:7" hidden="1" x14ac:dyDescent="0.5">
      <c r="B380" s="1" t="s">
        <v>855</v>
      </c>
      <c r="C380" s="1" t="s">
        <v>1526</v>
      </c>
      <c r="D380" s="1" t="s">
        <v>1324</v>
      </c>
      <c r="E380" s="26">
        <v>44396</v>
      </c>
      <c r="F380" s="26">
        <v>44432</v>
      </c>
      <c r="G380" s="26"/>
    </row>
    <row r="381" spans="2:7" hidden="1" x14ac:dyDescent="0.5">
      <c r="B381" s="1" t="s">
        <v>853</v>
      </c>
      <c r="C381" s="1" t="s">
        <v>1526</v>
      </c>
      <c r="D381" s="1" t="s">
        <v>1325</v>
      </c>
      <c r="E381" s="26">
        <v>44396</v>
      </c>
      <c r="F381" s="26">
        <v>44426</v>
      </c>
      <c r="G381" s="26"/>
    </row>
    <row r="382" spans="2:7" hidden="1" x14ac:dyDescent="0.5">
      <c r="B382" s="1" t="s">
        <v>859</v>
      </c>
      <c r="C382" s="1" t="s">
        <v>1526</v>
      </c>
      <c r="D382" s="1" t="s">
        <v>1324</v>
      </c>
      <c r="E382" s="26">
        <v>44397</v>
      </c>
      <c r="F382" s="26">
        <v>44426</v>
      </c>
      <c r="G382" s="26"/>
    </row>
    <row r="383" spans="2:7" hidden="1" x14ac:dyDescent="0.5">
      <c r="B383" s="1" t="s">
        <v>863</v>
      </c>
      <c r="C383" s="1" t="s">
        <v>1526</v>
      </c>
      <c r="D383" s="1" t="s">
        <v>1324</v>
      </c>
      <c r="E383" s="26">
        <v>44398</v>
      </c>
      <c r="F383" s="26">
        <v>44428</v>
      </c>
      <c r="G383" s="26"/>
    </row>
    <row r="384" spans="2:7" hidden="1" x14ac:dyDescent="0.5">
      <c r="B384" s="1" t="s">
        <v>861</v>
      </c>
      <c r="C384" s="1" t="s">
        <v>1526</v>
      </c>
      <c r="D384" s="1" t="s">
        <v>1324</v>
      </c>
      <c r="E384" s="26">
        <v>44398</v>
      </c>
      <c r="F384" s="26">
        <v>44433</v>
      </c>
      <c r="G384" s="26"/>
    </row>
    <row r="385" spans="2:7" hidden="1" x14ac:dyDescent="0.5">
      <c r="B385" s="1" t="s">
        <v>865</v>
      </c>
      <c r="C385" s="1" t="s">
        <v>1526</v>
      </c>
      <c r="D385" s="1" t="s">
        <v>1324</v>
      </c>
      <c r="E385" s="26">
        <v>44399</v>
      </c>
      <c r="F385" s="26">
        <v>44425</v>
      </c>
      <c r="G385" s="26"/>
    </row>
    <row r="386" spans="2:7" hidden="1" x14ac:dyDescent="0.5">
      <c r="B386" s="1" t="s">
        <v>871</v>
      </c>
      <c r="C386" s="1" t="s">
        <v>1526</v>
      </c>
      <c r="D386" s="1" t="s">
        <v>1324</v>
      </c>
      <c r="E386" s="26">
        <v>44401</v>
      </c>
      <c r="F386" s="26">
        <v>44426</v>
      </c>
      <c r="G386" s="26"/>
    </row>
    <row r="387" spans="2:7" hidden="1" x14ac:dyDescent="0.5">
      <c r="B387" s="1" t="s">
        <v>869</v>
      </c>
      <c r="C387" s="1" t="s">
        <v>1526</v>
      </c>
      <c r="D387" s="1" t="s">
        <v>1325</v>
      </c>
      <c r="E387" s="26">
        <v>44401</v>
      </c>
      <c r="F387" s="26">
        <v>44432</v>
      </c>
      <c r="G387" s="26"/>
    </row>
    <row r="388" spans="2:7" hidden="1" x14ac:dyDescent="0.5">
      <c r="B388" s="1" t="s">
        <v>867</v>
      </c>
      <c r="C388" s="1" t="s">
        <v>1526</v>
      </c>
      <c r="D388" s="1" t="s">
        <v>1324</v>
      </c>
      <c r="E388" s="26">
        <v>44401</v>
      </c>
      <c r="F388" s="26">
        <v>44430</v>
      </c>
      <c r="G388" s="26"/>
    </row>
    <row r="389" spans="2:7" hidden="1" x14ac:dyDescent="0.5">
      <c r="B389" s="1" t="s">
        <v>873</v>
      </c>
      <c r="C389" s="1" t="s">
        <v>1526</v>
      </c>
      <c r="D389" s="1" t="s">
        <v>1324</v>
      </c>
      <c r="E389" s="26">
        <v>44405</v>
      </c>
      <c r="F389" s="26">
        <v>44444</v>
      </c>
      <c r="G389" s="26"/>
    </row>
    <row r="390" spans="2:7" hidden="1" x14ac:dyDescent="0.5">
      <c r="B390" s="1" t="s">
        <v>874</v>
      </c>
      <c r="C390" s="1" t="s">
        <v>1526</v>
      </c>
      <c r="D390" s="1" t="s">
        <v>1325</v>
      </c>
      <c r="E390" s="26">
        <v>44406</v>
      </c>
      <c r="F390" s="26">
        <v>44439</v>
      </c>
      <c r="G390" s="26"/>
    </row>
    <row r="391" spans="2:7" hidden="1" x14ac:dyDescent="0.5">
      <c r="B391" s="1" t="s">
        <v>880</v>
      </c>
      <c r="C391" s="1" t="s">
        <v>1526</v>
      </c>
      <c r="D391" s="1" t="s">
        <v>1324</v>
      </c>
      <c r="E391" s="26">
        <v>44410</v>
      </c>
      <c r="F391" s="26">
        <v>44437</v>
      </c>
      <c r="G391" s="26"/>
    </row>
    <row r="392" spans="2:7" hidden="1" x14ac:dyDescent="0.5">
      <c r="B392" s="1" t="s">
        <v>876</v>
      </c>
      <c r="C392" s="1" t="s">
        <v>1526</v>
      </c>
      <c r="D392" s="1" t="s">
        <v>1324</v>
      </c>
      <c r="E392" s="26">
        <v>44410</v>
      </c>
      <c r="F392" s="26">
        <v>44449</v>
      </c>
      <c r="G392" s="26"/>
    </row>
    <row r="393" spans="2:7" hidden="1" x14ac:dyDescent="0.5">
      <c r="B393" s="1" t="s">
        <v>878</v>
      </c>
      <c r="C393" s="1" t="s">
        <v>1526</v>
      </c>
      <c r="D393" s="1" t="s">
        <v>1324</v>
      </c>
      <c r="E393" s="26">
        <v>44410</v>
      </c>
      <c r="F393" s="26">
        <v>44438</v>
      </c>
      <c r="G393" s="26"/>
    </row>
    <row r="394" spans="2:7" hidden="1" x14ac:dyDescent="0.5">
      <c r="B394" s="1" t="s">
        <v>882</v>
      </c>
      <c r="C394" s="1" t="s">
        <v>1526</v>
      </c>
      <c r="D394" s="1" t="s">
        <v>1324</v>
      </c>
      <c r="E394" s="26">
        <v>44410</v>
      </c>
      <c r="F394" s="26">
        <v>44442</v>
      </c>
      <c r="G394" s="26"/>
    </row>
    <row r="395" spans="2:7" hidden="1" x14ac:dyDescent="0.5">
      <c r="B395" s="1" t="s">
        <v>884</v>
      </c>
      <c r="C395" s="1" t="s">
        <v>1526</v>
      </c>
      <c r="D395" s="1" t="s">
        <v>1324</v>
      </c>
      <c r="E395" s="26">
        <v>44411</v>
      </c>
      <c r="F395" s="26">
        <v>44451</v>
      </c>
      <c r="G395" s="26"/>
    </row>
    <row r="396" spans="2:7" hidden="1" x14ac:dyDescent="0.5">
      <c r="B396" s="1" t="s">
        <v>890</v>
      </c>
      <c r="C396" s="1" t="s">
        <v>1526</v>
      </c>
      <c r="D396" s="1" t="s">
        <v>1324</v>
      </c>
      <c r="E396" s="26">
        <v>44412</v>
      </c>
      <c r="F396" s="26">
        <v>44453</v>
      </c>
      <c r="G396" s="26"/>
    </row>
    <row r="397" spans="2:7" hidden="1" x14ac:dyDescent="0.5">
      <c r="B397" s="1" t="s">
        <v>888</v>
      </c>
      <c r="C397" s="1" t="s">
        <v>1526</v>
      </c>
      <c r="D397" s="1" t="s">
        <v>1324</v>
      </c>
      <c r="E397" s="26">
        <v>44412</v>
      </c>
      <c r="F397" s="26">
        <v>44438</v>
      </c>
      <c r="G397" s="26"/>
    </row>
    <row r="398" spans="2:7" hidden="1" x14ac:dyDescent="0.5">
      <c r="B398" s="1" t="s">
        <v>892</v>
      </c>
      <c r="C398" s="1" t="s">
        <v>1526</v>
      </c>
      <c r="D398" s="1" t="s">
        <v>1324</v>
      </c>
      <c r="E398" s="26">
        <v>44413</v>
      </c>
      <c r="F398" s="26">
        <v>44454</v>
      </c>
      <c r="G398" s="26"/>
    </row>
    <row r="399" spans="2:7" hidden="1" x14ac:dyDescent="0.5">
      <c r="B399" s="1" t="s">
        <v>894</v>
      </c>
      <c r="C399" s="1" t="s">
        <v>1526</v>
      </c>
      <c r="D399" s="1" t="s">
        <v>1324</v>
      </c>
      <c r="E399" s="26">
        <v>44413</v>
      </c>
      <c r="F399" s="26">
        <v>44453</v>
      </c>
      <c r="G399" s="26"/>
    </row>
    <row r="400" spans="2:7" hidden="1" x14ac:dyDescent="0.5">
      <c r="B400" s="1" t="s">
        <v>896</v>
      </c>
      <c r="C400" s="1" t="s">
        <v>1526</v>
      </c>
      <c r="D400" s="1" t="s">
        <v>1324</v>
      </c>
      <c r="E400" s="26">
        <v>44414</v>
      </c>
      <c r="F400" s="26">
        <v>44440</v>
      </c>
      <c r="G400" s="26"/>
    </row>
    <row r="401" spans="2:7" hidden="1" x14ac:dyDescent="0.5">
      <c r="B401" s="1" t="s">
        <v>898</v>
      </c>
      <c r="C401" s="1" t="s">
        <v>1526</v>
      </c>
      <c r="D401" s="1" t="s">
        <v>1324</v>
      </c>
      <c r="E401" s="26">
        <v>44414</v>
      </c>
      <c r="F401" s="26">
        <v>44447</v>
      </c>
      <c r="G401" s="26"/>
    </row>
    <row r="402" spans="2:7" x14ac:dyDescent="0.5">
      <c r="B402" s="1" t="s">
        <v>886</v>
      </c>
      <c r="C402" s="1" t="s">
        <v>1526</v>
      </c>
      <c r="D402" s="1" t="s">
        <v>1324</v>
      </c>
      <c r="E402" s="26">
        <v>44415</v>
      </c>
      <c r="F402" s="26" t="s">
        <v>1527</v>
      </c>
      <c r="G402" s="26"/>
    </row>
    <row r="403" spans="2:7" hidden="1" x14ac:dyDescent="0.5">
      <c r="B403" s="1" t="s">
        <v>900</v>
      </c>
      <c r="C403" s="1" t="s">
        <v>1526</v>
      </c>
      <c r="D403" s="1" t="s">
        <v>1324</v>
      </c>
      <c r="E403" s="26">
        <v>44415</v>
      </c>
      <c r="F403" s="26">
        <v>44453</v>
      </c>
      <c r="G403" s="26"/>
    </row>
    <row r="404" spans="2:7" hidden="1" x14ac:dyDescent="0.5">
      <c r="B404" s="1" t="s">
        <v>902</v>
      </c>
      <c r="C404" s="1" t="s">
        <v>1526</v>
      </c>
      <c r="D404" s="1" t="s">
        <v>1324</v>
      </c>
      <c r="E404" s="26">
        <v>44417</v>
      </c>
      <c r="F404" s="26">
        <v>44457</v>
      </c>
      <c r="G404" s="26"/>
    </row>
    <row r="405" spans="2:7" hidden="1" x14ac:dyDescent="0.5">
      <c r="B405" s="1" t="s">
        <v>908</v>
      </c>
      <c r="C405" s="1" t="s">
        <v>1526</v>
      </c>
      <c r="D405" s="1" t="s">
        <v>1324</v>
      </c>
      <c r="E405" s="26">
        <v>44418</v>
      </c>
      <c r="F405" s="26">
        <v>44449</v>
      </c>
      <c r="G405" s="26"/>
    </row>
    <row r="406" spans="2:7" hidden="1" x14ac:dyDescent="0.5">
      <c r="B406" s="1" t="s">
        <v>906</v>
      </c>
      <c r="C406" s="1" t="s">
        <v>1526</v>
      </c>
      <c r="D406" s="1" t="s">
        <v>1324</v>
      </c>
      <c r="E406" s="26">
        <v>44418</v>
      </c>
      <c r="F406" s="26">
        <v>44461</v>
      </c>
      <c r="G406" s="26"/>
    </row>
    <row r="407" spans="2:7" hidden="1" x14ac:dyDescent="0.5">
      <c r="B407" s="1" t="s">
        <v>904</v>
      </c>
      <c r="C407" s="1" t="s">
        <v>1526</v>
      </c>
      <c r="D407" s="1" t="s">
        <v>1324</v>
      </c>
      <c r="E407" s="26">
        <v>44418</v>
      </c>
      <c r="F407" s="26">
        <v>44453</v>
      </c>
      <c r="G407" s="26"/>
    </row>
    <row r="408" spans="2:7" hidden="1" x14ac:dyDescent="0.5">
      <c r="B408" s="1" t="s">
        <v>910</v>
      </c>
      <c r="C408" s="1" t="s">
        <v>1526</v>
      </c>
      <c r="D408" s="1" t="s">
        <v>1324</v>
      </c>
      <c r="E408" s="26">
        <v>44419</v>
      </c>
      <c r="F408" s="26">
        <v>44460</v>
      </c>
      <c r="G408" s="26"/>
    </row>
    <row r="409" spans="2:7" hidden="1" x14ac:dyDescent="0.5">
      <c r="B409" s="1" t="s">
        <v>914</v>
      </c>
      <c r="C409" s="1" t="s">
        <v>1526</v>
      </c>
      <c r="D409" s="1" t="s">
        <v>1324</v>
      </c>
      <c r="E409" s="26">
        <v>44419</v>
      </c>
      <c r="F409" s="26">
        <v>44452</v>
      </c>
      <c r="G409" s="26"/>
    </row>
    <row r="410" spans="2:7" hidden="1" x14ac:dyDescent="0.5">
      <c r="B410" s="1" t="s">
        <v>916</v>
      </c>
      <c r="C410" s="1" t="s">
        <v>1526</v>
      </c>
      <c r="D410" s="1" t="s">
        <v>1324</v>
      </c>
      <c r="E410" s="26">
        <v>44420</v>
      </c>
      <c r="F410" s="26">
        <v>44458</v>
      </c>
      <c r="G410" s="26"/>
    </row>
    <row r="411" spans="2:7" hidden="1" x14ac:dyDescent="0.5">
      <c r="B411" s="1" t="s">
        <v>920</v>
      </c>
      <c r="C411" s="1" t="s">
        <v>1526</v>
      </c>
      <c r="D411" s="1" t="s">
        <v>1324</v>
      </c>
      <c r="E411" s="26">
        <v>44420</v>
      </c>
      <c r="F411" s="26">
        <v>44463</v>
      </c>
      <c r="G411" s="26"/>
    </row>
    <row r="412" spans="2:7" hidden="1" x14ac:dyDescent="0.5">
      <c r="B412" s="1" t="s">
        <v>918</v>
      </c>
      <c r="C412" s="1" t="s">
        <v>1526</v>
      </c>
      <c r="D412" s="1" t="s">
        <v>1324</v>
      </c>
      <c r="E412" s="26">
        <v>44420</v>
      </c>
      <c r="F412" s="26">
        <v>44453</v>
      </c>
      <c r="G412" s="26"/>
    </row>
    <row r="413" spans="2:7" hidden="1" x14ac:dyDescent="0.5">
      <c r="B413" s="1" t="s">
        <v>925</v>
      </c>
      <c r="C413" s="1" t="s">
        <v>1526</v>
      </c>
      <c r="D413" s="1" t="s">
        <v>1324</v>
      </c>
      <c r="E413" s="26">
        <v>44421</v>
      </c>
      <c r="F413" s="26">
        <v>44446</v>
      </c>
      <c r="G413" s="26"/>
    </row>
    <row r="414" spans="2:7" hidden="1" x14ac:dyDescent="0.5">
      <c r="B414" s="1" t="s">
        <v>922</v>
      </c>
      <c r="C414" s="1" t="s">
        <v>1526</v>
      </c>
      <c r="D414" s="1" t="s">
        <v>1324</v>
      </c>
      <c r="E414" s="26">
        <v>44421</v>
      </c>
      <c r="F414" s="26">
        <v>44463</v>
      </c>
      <c r="G414" s="26"/>
    </row>
    <row r="415" spans="2:7" x14ac:dyDescent="0.5">
      <c r="B415" s="1" t="s">
        <v>912</v>
      </c>
      <c r="C415" s="1" t="s">
        <v>1526</v>
      </c>
      <c r="D415" s="1" t="s">
        <v>1325</v>
      </c>
      <c r="E415" s="26">
        <v>44423</v>
      </c>
      <c r="F415" s="26" t="s">
        <v>1527</v>
      </c>
      <c r="G415" s="26"/>
    </row>
    <row r="416" spans="2:7" hidden="1" x14ac:dyDescent="0.5">
      <c r="B416" s="1" t="s">
        <v>929</v>
      </c>
      <c r="C416" s="1" t="s">
        <v>1526</v>
      </c>
      <c r="D416" s="1" t="s">
        <v>1325</v>
      </c>
      <c r="E416" s="26">
        <v>44424</v>
      </c>
      <c r="F416" s="26">
        <v>44467</v>
      </c>
      <c r="G416" s="26"/>
    </row>
    <row r="417" spans="2:7" hidden="1" x14ac:dyDescent="0.5">
      <c r="B417" s="1" t="s">
        <v>927</v>
      </c>
      <c r="C417" s="1" t="s">
        <v>1526</v>
      </c>
      <c r="D417" s="1" t="s">
        <v>1325</v>
      </c>
      <c r="E417" s="26">
        <v>44424</v>
      </c>
      <c r="F417" s="26">
        <v>44465</v>
      </c>
      <c r="G417" s="26"/>
    </row>
    <row r="418" spans="2:7" hidden="1" x14ac:dyDescent="0.5">
      <c r="B418" s="1" t="s">
        <v>931</v>
      </c>
      <c r="C418" s="1" t="s">
        <v>1526</v>
      </c>
      <c r="D418" s="1" t="s">
        <v>1324</v>
      </c>
      <c r="E418" s="26">
        <v>44425</v>
      </c>
      <c r="F418" s="26">
        <v>44468</v>
      </c>
      <c r="G418" s="26"/>
    </row>
    <row r="419" spans="2:7" hidden="1" x14ac:dyDescent="0.5">
      <c r="B419" s="1" t="s">
        <v>933</v>
      </c>
      <c r="C419" s="1" t="s">
        <v>1526</v>
      </c>
      <c r="D419" s="1" t="s">
        <v>1324</v>
      </c>
      <c r="E419" s="26">
        <v>44426</v>
      </c>
      <c r="F419" s="26">
        <v>44463</v>
      </c>
      <c r="G419" s="26"/>
    </row>
    <row r="420" spans="2:7" hidden="1" x14ac:dyDescent="0.5">
      <c r="B420" s="1" t="s">
        <v>937</v>
      </c>
      <c r="C420" s="1" t="s">
        <v>1526</v>
      </c>
      <c r="D420" s="1" t="s">
        <v>1324</v>
      </c>
      <c r="E420" s="26">
        <v>44426</v>
      </c>
      <c r="F420" s="26">
        <v>44466</v>
      </c>
      <c r="G420" s="26"/>
    </row>
    <row r="421" spans="2:7" hidden="1" x14ac:dyDescent="0.5">
      <c r="B421" s="1" t="s">
        <v>935</v>
      </c>
      <c r="C421" s="1" t="s">
        <v>1526</v>
      </c>
      <c r="D421" s="1" t="s">
        <v>1324</v>
      </c>
      <c r="E421" s="26">
        <v>44426</v>
      </c>
      <c r="F421" s="26">
        <v>44463</v>
      </c>
      <c r="G421" s="26"/>
    </row>
    <row r="422" spans="2:7" hidden="1" x14ac:dyDescent="0.5">
      <c r="B422" s="1" t="s">
        <v>939</v>
      </c>
      <c r="C422" s="1" t="s">
        <v>1526</v>
      </c>
      <c r="D422" s="1" t="s">
        <v>1324</v>
      </c>
      <c r="E422" s="26">
        <v>44427</v>
      </c>
      <c r="F422" s="26">
        <v>44452</v>
      </c>
      <c r="G422" s="26"/>
    </row>
    <row r="423" spans="2:7" hidden="1" x14ac:dyDescent="0.5">
      <c r="B423" s="1" t="s">
        <v>941</v>
      </c>
      <c r="C423" s="1" t="s">
        <v>1526</v>
      </c>
      <c r="D423" s="1" t="s">
        <v>1324</v>
      </c>
      <c r="E423" s="26">
        <v>44428</v>
      </c>
      <c r="F423" s="26">
        <v>44471</v>
      </c>
      <c r="G423" s="26"/>
    </row>
    <row r="424" spans="2:7" x14ac:dyDescent="0.5">
      <c r="B424" s="1" t="s">
        <v>943</v>
      </c>
      <c r="C424" s="1" t="s">
        <v>1526</v>
      </c>
      <c r="D424" s="1" t="s">
        <v>1325</v>
      </c>
      <c r="E424" s="26">
        <v>44429</v>
      </c>
      <c r="F424" s="26" t="s">
        <v>1527</v>
      </c>
      <c r="G424" s="26"/>
    </row>
    <row r="425" spans="2:7" hidden="1" x14ac:dyDescent="0.5">
      <c r="B425" s="1" t="s">
        <v>947</v>
      </c>
      <c r="C425" s="1" t="s">
        <v>1526</v>
      </c>
      <c r="D425" s="1" t="s">
        <v>1324</v>
      </c>
      <c r="E425" s="26">
        <v>44432</v>
      </c>
      <c r="F425" s="26">
        <v>44471</v>
      </c>
      <c r="G425" s="26"/>
    </row>
    <row r="426" spans="2:7" hidden="1" x14ac:dyDescent="0.5">
      <c r="B426" s="1" t="s">
        <v>945</v>
      </c>
      <c r="C426" s="1" t="s">
        <v>1526</v>
      </c>
      <c r="D426" s="1" t="s">
        <v>1324</v>
      </c>
      <c r="E426" s="26">
        <v>44432</v>
      </c>
      <c r="F426" s="26">
        <v>44458</v>
      </c>
      <c r="G426" s="26"/>
    </row>
    <row r="427" spans="2:7" hidden="1" x14ac:dyDescent="0.5">
      <c r="B427" s="1" t="s">
        <v>949</v>
      </c>
      <c r="C427" s="1" t="s">
        <v>1526</v>
      </c>
      <c r="D427" s="1" t="s">
        <v>1324</v>
      </c>
      <c r="E427" s="26">
        <v>44435</v>
      </c>
      <c r="F427" s="26">
        <v>44470</v>
      </c>
      <c r="G427" s="26"/>
    </row>
    <row r="428" spans="2:7" hidden="1" x14ac:dyDescent="0.5">
      <c r="B428" s="1" t="s">
        <v>951</v>
      </c>
      <c r="C428" s="1" t="s">
        <v>1526</v>
      </c>
      <c r="D428" s="1" t="s">
        <v>1324</v>
      </c>
      <c r="E428" s="26">
        <v>44436</v>
      </c>
      <c r="F428" s="26">
        <v>44465</v>
      </c>
      <c r="G428" s="26"/>
    </row>
    <row r="429" spans="2:7" hidden="1" x14ac:dyDescent="0.5">
      <c r="B429" s="1" t="s">
        <v>953</v>
      </c>
      <c r="C429" s="1" t="s">
        <v>1526</v>
      </c>
      <c r="D429" s="1" t="s">
        <v>1324</v>
      </c>
      <c r="E429" s="26">
        <v>44439</v>
      </c>
      <c r="F429" s="26">
        <v>44478</v>
      </c>
      <c r="G429" s="26"/>
    </row>
    <row r="430" spans="2:7" hidden="1" x14ac:dyDescent="0.5">
      <c r="B430" s="1" t="s">
        <v>955</v>
      </c>
      <c r="C430" s="1" t="s">
        <v>1526</v>
      </c>
      <c r="D430" s="1" t="s">
        <v>1324</v>
      </c>
      <c r="E430" s="26">
        <v>44439</v>
      </c>
      <c r="F430" s="26">
        <v>44475</v>
      </c>
      <c r="G430" s="26"/>
    </row>
    <row r="431" spans="2:7" hidden="1" x14ac:dyDescent="0.5">
      <c r="B431" s="1" t="s">
        <v>957</v>
      </c>
      <c r="C431" s="1" t="s">
        <v>1526</v>
      </c>
      <c r="D431" s="1" t="s">
        <v>1324</v>
      </c>
      <c r="E431" s="26">
        <v>44440</v>
      </c>
      <c r="F431" s="26">
        <v>44473</v>
      </c>
      <c r="G431" s="26"/>
    </row>
    <row r="432" spans="2:7" x14ac:dyDescent="0.5">
      <c r="B432" s="1" t="s">
        <v>959</v>
      </c>
      <c r="C432" s="1" t="s">
        <v>1526</v>
      </c>
      <c r="D432" s="1" t="s">
        <v>1324</v>
      </c>
      <c r="E432" s="26">
        <v>44443</v>
      </c>
      <c r="F432" s="26" t="s">
        <v>1527</v>
      </c>
      <c r="G432" s="26"/>
    </row>
    <row r="433" spans="2:7" hidden="1" x14ac:dyDescent="0.5">
      <c r="B433" s="1" t="s">
        <v>961</v>
      </c>
      <c r="C433" s="1" t="s">
        <v>1526</v>
      </c>
      <c r="D433" s="1" t="s">
        <v>1324</v>
      </c>
      <c r="E433" s="26">
        <v>44445</v>
      </c>
      <c r="F433" s="26">
        <v>44471</v>
      </c>
      <c r="G433" s="26"/>
    </row>
    <row r="434" spans="2:7" hidden="1" x14ac:dyDescent="0.5">
      <c r="B434" s="1" t="s">
        <v>963</v>
      </c>
      <c r="C434" s="1" t="s">
        <v>1526</v>
      </c>
      <c r="D434" s="1" t="s">
        <v>1324</v>
      </c>
      <c r="E434" s="26">
        <v>44448</v>
      </c>
      <c r="F434" s="26">
        <v>44487</v>
      </c>
      <c r="G434" s="26"/>
    </row>
    <row r="435" spans="2:7" x14ac:dyDescent="0.5">
      <c r="B435" s="1" t="s">
        <v>965</v>
      </c>
      <c r="C435" s="1" t="s">
        <v>1526</v>
      </c>
      <c r="D435" s="1" t="s">
        <v>1325</v>
      </c>
      <c r="E435" s="26">
        <v>44450</v>
      </c>
      <c r="F435" s="26" t="s">
        <v>1527</v>
      </c>
      <c r="G435" s="26"/>
    </row>
    <row r="436" spans="2:7" hidden="1" x14ac:dyDescent="0.5">
      <c r="B436" s="1" t="s">
        <v>969</v>
      </c>
      <c r="C436" s="1" t="s">
        <v>1526</v>
      </c>
      <c r="D436" s="1" t="s">
        <v>1324</v>
      </c>
      <c r="E436" s="26">
        <v>44456</v>
      </c>
      <c r="F436" s="26">
        <v>44493</v>
      </c>
      <c r="G436" s="26"/>
    </row>
    <row r="437" spans="2:7" hidden="1" x14ac:dyDescent="0.5">
      <c r="B437" s="1" t="s">
        <v>971</v>
      </c>
      <c r="C437" s="1" t="s">
        <v>1526</v>
      </c>
      <c r="D437" s="1" t="s">
        <v>1324</v>
      </c>
      <c r="E437" s="26">
        <v>44457</v>
      </c>
      <c r="F437" s="26">
        <v>44482</v>
      </c>
      <c r="G437" s="26"/>
    </row>
    <row r="438" spans="2:7" x14ac:dyDescent="0.5">
      <c r="B438" s="1" t="s">
        <v>967</v>
      </c>
      <c r="C438" s="1" t="s">
        <v>1526</v>
      </c>
      <c r="D438" s="1" t="s">
        <v>1324</v>
      </c>
      <c r="E438" s="26">
        <v>44457</v>
      </c>
      <c r="F438" s="26" t="s">
        <v>1527</v>
      </c>
      <c r="G438" s="26"/>
    </row>
    <row r="439" spans="2:7" hidden="1" x14ac:dyDescent="0.5">
      <c r="B439" s="1" t="s">
        <v>973</v>
      </c>
      <c r="C439" s="1" t="s">
        <v>1526</v>
      </c>
      <c r="D439" s="1" t="s">
        <v>1324</v>
      </c>
      <c r="E439" s="26">
        <v>44460</v>
      </c>
      <c r="F439" s="26">
        <v>44499</v>
      </c>
      <c r="G439" s="26"/>
    </row>
    <row r="440" spans="2:7" hidden="1" x14ac:dyDescent="0.5">
      <c r="B440" s="1" t="s">
        <v>975</v>
      </c>
      <c r="C440" s="1" t="s">
        <v>1526</v>
      </c>
      <c r="D440" s="1" t="s">
        <v>1324</v>
      </c>
      <c r="E440" s="26">
        <v>44461</v>
      </c>
      <c r="F440" s="26">
        <v>44500</v>
      </c>
      <c r="G440" s="26"/>
    </row>
    <row r="441" spans="2:7" hidden="1" x14ac:dyDescent="0.5">
      <c r="B441" s="1" t="s">
        <v>977</v>
      </c>
      <c r="C441" s="1" t="s">
        <v>1526</v>
      </c>
      <c r="D441" s="1" t="s">
        <v>1324</v>
      </c>
      <c r="E441" s="26">
        <v>44463</v>
      </c>
      <c r="F441" s="26">
        <v>44503</v>
      </c>
      <c r="G441" s="26"/>
    </row>
    <row r="442" spans="2:7" hidden="1" x14ac:dyDescent="0.5">
      <c r="B442" s="1" t="s">
        <v>981</v>
      </c>
      <c r="C442" s="1" t="s">
        <v>1526</v>
      </c>
      <c r="D442" s="1" t="s">
        <v>1324</v>
      </c>
      <c r="E442" s="26">
        <v>44467</v>
      </c>
      <c r="F442" s="26">
        <v>44510</v>
      </c>
      <c r="G442" s="26"/>
    </row>
    <row r="443" spans="2:7" hidden="1" x14ac:dyDescent="0.5">
      <c r="B443" s="1" t="s">
        <v>979</v>
      </c>
      <c r="C443" s="1" t="s">
        <v>1526</v>
      </c>
      <c r="D443" s="1" t="s">
        <v>1324</v>
      </c>
      <c r="E443" s="26">
        <v>44467</v>
      </c>
      <c r="F443" s="26">
        <v>44506</v>
      </c>
      <c r="G443" s="26"/>
    </row>
    <row r="444" spans="2:7" hidden="1" x14ac:dyDescent="0.5">
      <c r="B444" s="1" t="s">
        <v>983</v>
      </c>
      <c r="C444" s="1" t="s">
        <v>1526</v>
      </c>
      <c r="D444" s="1" t="s">
        <v>1324</v>
      </c>
      <c r="E444" s="26">
        <v>44471</v>
      </c>
      <c r="F444" s="26">
        <v>44513</v>
      </c>
      <c r="G444" s="26"/>
    </row>
    <row r="445" spans="2:7" hidden="1" x14ac:dyDescent="0.5">
      <c r="B445" s="1" t="s">
        <v>987</v>
      </c>
      <c r="C445" s="1" t="s">
        <v>1526</v>
      </c>
      <c r="D445" s="1" t="s">
        <v>1324</v>
      </c>
      <c r="E445" s="26">
        <v>44474</v>
      </c>
      <c r="F445" s="26">
        <v>44502</v>
      </c>
      <c r="G445" s="26"/>
    </row>
    <row r="446" spans="2:7" hidden="1" x14ac:dyDescent="0.5">
      <c r="B446" s="1" t="s">
        <v>985</v>
      </c>
      <c r="C446" s="1" t="s">
        <v>1526</v>
      </c>
      <c r="D446" s="1" t="s">
        <v>1324</v>
      </c>
      <c r="E446" s="26">
        <v>44474</v>
      </c>
      <c r="F446" s="26">
        <v>44508</v>
      </c>
      <c r="G446" s="26"/>
    </row>
    <row r="447" spans="2:7" hidden="1" x14ac:dyDescent="0.5">
      <c r="B447" s="1" t="s">
        <v>989</v>
      </c>
      <c r="C447" s="1" t="s">
        <v>1526</v>
      </c>
      <c r="D447" s="1" t="s">
        <v>1324</v>
      </c>
      <c r="E447" s="26">
        <v>44477</v>
      </c>
      <c r="F447" s="26">
        <v>44502</v>
      </c>
      <c r="G447" s="26"/>
    </row>
    <row r="448" spans="2:7" hidden="1" x14ac:dyDescent="0.5">
      <c r="B448" s="1" t="s">
        <v>990</v>
      </c>
      <c r="C448" s="1" t="s">
        <v>1526</v>
      </c>
      <c r="D448" s="1" t="s">
        <v>1324</v>
      </c>
      <c r="E448" s="26">
        <v>44478</v>
      </c>
      <c r="F448" s="26">
        <v>44516</v>
      </c>
      <c r="G448" s="26"/>
    </row>
    <row r="449" spans="2:7" hidden="1" x14ac:dyDescent="0.5">
      <c r="B449" s="1" t="s">
        <v>994</v>
      </c>
      <c r="C449" s="1" t="s">
        <v>1526</v>
      </c>
      <c r="D449" s="1" t="s">
        <v>1324</v>
      </c>
      <c r="E449" s="26">
        <v>44480</v>
      </c>
      <c r="F449" s="26">
        <v>44507</v>
      </c>
      <c r="G449" s="26"/>
    </row>
    <row r="450" spans="2:7" hidden="1" x14ac:dyDescent="0.5">
      <c r="B450" s="1" t="s">
        <v>992</v>
      </c>
      <c r="C450" s="1" t="s">
        <v>1526</v>
      </c>
      <c r="D450" s="1" t="s">
        <v>1324</v>
      </c>
      <c r="E450" s="26">
        <v>44480</v>
      </c>
      <c r="F450" s="26">
        <v>44509</v>
      </c>
      <c r="G450" s="26"/>
    </row>
    <row r="451" spans="2:7" hidden="1" x14ac:dyDescent="0.5">
      <c r="B451" s="1" t="s">
        <v>996</v>
      </c>
      <c r="C451" s="1" t="s">
        <v>1526</v>
      </c>
      <c r="D451" s="1" t="s">
        <v>1324</v>
      </c>
      <c r="E451" s="26">
        <v>44485</v>
      </c>
      <c r="F451" s="26">
        <v>44528</v>
      </c>
      <c r="G451" s="26"/>
    </row>
    <row r="452" spans="2:7" hidden="1" x14ac:dyDescent="0.5">
      <c r="B452" s="1" t="s">
        <v>998</v>
      </c>
      <c r="C452" s="1" t="s">
        <v>1526</v>
      </c>
      <c r="D452" s="1" t="s">
        <v>1324</v>
      </c>
      <c r="E452" s="26">
        <v>44487</v>
      </c>
      <c r="F452" s="26">
        <v>44527</v>
      </c>
      <c r="G452" s="26"/>
    </row>
    <row r="453" spans="2:7" hidden="1" x14ac:dyDescent="0.5">
      <c r="B453" s="1" t="s">
        <v>1000</v>
      </c>
      <c r="C453" s="1" t="s">
        <v>1526</v>
      </c>
      <c r="D453" s="1" t="s">
        <v>1324</v>
      </c>
      <c r="E453" s="26">
        <v>44487</v>
      </c>
      <c r="F453" s="26">
        <v>44517</v>
      </c>
      <c r="G453" s="26"/>
    </row>
    <row r="454" spans="2:7" hidden="1" x14ac:dyDescent="0.5">
      <c r="B454" s="1" t="s">
        <v>1002</v>
      </c>
      <c r="C454" s="1" t="s">
        <v>1526</v>
      </c>
      <c r="D454" s="1" t="s">
        <v>1324</v>
      </c>
      <c r="E454" s="26">
        <v>44488</v>
      </c>
      <c r="F454" s="26">
        <v>44524</v>
      </c>
      <c r="G454" s="26"/>
    </row>
    <row r="455" spans="2:7" hidden="1" x14ac:dyDescent="0.5">
      <c r="B455" s="1" t="s">
        <v>1004</v>
      </c>
      <c r="C455" s="1" t="s">
        <v>1526</v>
      </c>
      <c r="D455" s="1" t="s">
        <v>1324</v>
      </c>
      <c r="E455" s="26">
        <v>44489</v>
      </c>
      <c r="F455" s="26">
        <v>44519</v>
      </c>
      <c r="G455" s="26"/>
    </row>
    <row r="456" spans="2:7" hidden="1" x14ac:dyDescent="0.5">
      <c r="B456" s="1" t="s">
        <v>1006</v>
      </c>
      <c r="C456" s="1" t="s">
        <v>1526</v>
      </c>
      <c r="D456" s="1" t="s">
        <v>1324</v>
      </c>
      <c r="E456" s="26">
        <v>44489</v>
      </c>
      <c r="F456" s="26">
        <v>44524</v>
      </c>
      <c r="G456" s="26"/>
    </row>
    <row r="457" spans="2:7" hidden="1" x14ac:dyDescent="0.5">
      <c r="B457" s="1" t="s">
        <v>1008</v>
      </c>
      <c r="C457" s="1" t="s">
        <v>1526</v>
      </c>
      <c r="D457" s="1" t="s">
        <v>1324</v>
      </c>
      <c r="E457" s="26">
        <v>44490</v>
      </c>
      <c r="F457" s="26">
        <v>44516</v>
      </c>
      <c r="G457" s="26"/>
    </row>
    <row r="458" spans="2:7" hidden="1" x14ac:dyDescent="0.5">
      <c r="B458" s="1" t="s">
        <v>1012</v>
      </c>
      <c r="C458" s="1" t="s">
        <v>1526</v>
      </c>
      <c r="D458" s="1" t="s">
        <v>1324</v>
      </c>
      <c r="E458" s="26">
        <v>44490</v>
      </c>
      <c r="F458" s="26">
        <v>44521</v>
      </c>
      <c r="G458" s="26"/>
    </row>
    <row r="459" spans="2:7" hidden="1" x14ac:dyDescent="0.5">
      <c r="B459" s="1" t="s">
        <v>1010</v>
      </c>
      <c r="C459" s="1" t="s">
        <v>1526</v>
      </c>
      <c r="D459" s="1" t="s">
        <v>1324</v>
      </c>
      <c r="E459" s="26">
        <v>44490</v>
      </c>
      <c r="F459" s="26">
        <v>44527</v>
      </c>
      <c r="G459" s="26"/>
    </row>
    <row r="460" spans="2:7" hidden="1" x14ac:dyDescent="0.5">
      <c r="B460" s="1" t="s">
        <v>1014</v>
      </c>
      <c r="C460" s="1" t="s">
        <v>1526</v>
      </c>
      <c r="D460" s="1" t="s">
        <v>1324</v>
      </c>
      <c r="E460" s="26">
        <v>44491</v>
      </c>
      <c r="F460" s="26">
        <v>44526</v>
      </c>
      <c r="G460" s="26"/>
    </row>
    <row r="461" spans="2:7" hidden="1" x14ac:dyDescent="0.5">
      <c r="B461" s="1" t="s">
        <v>1016</v>
      </c>
      <c r="C461" s="1" t="s">
        <v>1526</v>
      </c>
      <c r="D461" s="1" t="s">
        <v>1324</v>
      </c>
      <c r="E461" s="26">
        <v>44491</v>
      </c>
      <c r="F461" s="26">
        <v>44522</v>
      </c>
      <c r="G461" s="26"/>
    </row>
    <row r="462" spans="2:7" hidden="1" x14ac:dyDescent="0.5">
      <c r="B462" s="1" t="s">
        <v>1020</v>
      </c>
      <c r="C462" s="1" t="s">
        <v>1526</v>
      </c>
      <c r="D462" s="1" t="s">
        <v>1324</v>
      </c>
      <c r="E462" s="26">
        <v>44494</v>
      </c>
      <c r="F462" s="26">
        <v>44531</v>
      </c>
      <c r="G462" s="26"/>
    </row>
    <row r="463" spans="2:7" hidden="1" x14ac:dyDescent="0.5">
      <c r="B463" s="1" t="s">
        <v>1022</v>
      </c>
      <c r="C463" s="1" t="s">
        <v>1526</v>
      </c>
      <c r="D463" s="1" t="s">
        <v>1324</v>
      </c>
      <c r="E463" s="26">
        <v>44494</v>
      </c>
      <c r="F463" s="26">
        <v>44529</v>
      </c>
      <c r="G463" s="26"/>
    </row>
    <row r="464" spans="2:7" hidden="1" x14ac:dyDescent="0.5">
      <c r="B464" s="1" t="s">
        <v>1018</v>
      </c>
      <c r="C464" s="1" t="s">
        <v>1526</v>
      </c>
      <c r="D464" s="1" t="s">
        <v>1324</v>
      </c>
      <c r="E464" s="26">
        <v>44494</v>
      </c>
      <c r="F464" s="26">
        <v>44536</v>
      </c>
      <c r="G464" s="26"/>
    </row>
    <row r="465" spans="2:7" hidden="1" x14ac:dyDescent="0.5">
      <c r="B465" s="1" t="s">
        <v>1024</v>
      </c>
      <c r="C465" s="1" t="s">
        <v>1526</v>
      </c>
      <c r="D465" s="1" t="s">
        <v>1324</v>
      </c>
      <c r="E465" s="26">
        <v>44495</v>
      </c>
      <c r="F465" s="26">
        <v>44533</v>
      </c>
      <c r="G465" s="26"/>
    </row>
    <row r="466" spans="2:7" hidden="1" x14ac:dyDescent="0.5">
      <c r="B466" s="1" t="s">
        <v>1026</v>
      </c>
      <c r="C466" s="1" t="s">
        <v>1526</v>
      </c>
      <c r="D466" s="1" t="s">
        <v>1324</v>
      </c>
      <c r="E466" s="26">
        <v>44496</v>
      </c>
      <c r="F466" s="26">
        <v>44529</v>
      </c>
      <c r="G466" s="26"/>
    </row>
    <row r="467" spans="2:7" hidden="1" x14ac:dyDescent="0.5">
      <c r="B467" s="1" t="s">
        <v>1028</v>
      </c>
      <c r="C467" s="1" t="s">
        <v>1526</v>
      </c>
      <c r="D467" s="1" t="s">
        <v>1324</v>
      </c>
      <c r="E467" s="26">
        <v>44499</v>
      </c>
      <c r="F467" s="26">
        <v>44537</v>
      </c>
      <c r="G467" s="26"/>
    </row>
    <row r="468" spans="2:7" hidden="1" x14ac:dyDescent="0.5">
      <c r="B468" s="1" t="s">
        <v>1030</v>
      </c>
      <c r="C468" s="1" t="s">
        <v>1526</v>
      </c>
      <c r="D468" s="1" t="s">
        <v>1324</v>
      </c>
      <c r="E468" s="26">
        <v>44503</v>
      </c>
      <c r="F468" s="26">
        <v>44539</v>
      </c>
      <c r="G468" s="26"/>
    </row>
    <row r="469" spans="2:7" hidden="1" x14ac:dyDescent="0.5">
      <c r="B469" s="1" t="s">
        <v>1032</v>
      </c>
      <c r="C469" s="1" t="s">
        <v>1526</v>
      </c>
      <c r="D469" s="1" t="s">
        <v>1324</v>
      </c>
      <c r="E469" s="26">
        <v>44506</v>
      </c>
      <c r="F469" s="26">
        <v>44548</v>
      </c>
      <c r="G469" s="26"/>
    </row>
    <row r="470" spans="2:7" x14ac:dyDescent="0.5">
      <c r="B470" s="1" t="s">
        <v>1034</v>
      </c>
      <c r="C470" s="1" t="s">
        <v>1526</v>
      </c>
      <c r="D470" s="1" t="s">
        <v>1325</v>
      </c>
      <c r="E470" s="26">
        <v>44506</v>
      </c>
      <c r="F470" s="26" t="s">
        <v>1527</v>
      </c>
      <c r="G470" s="26"/>
    </row>
    <row r="471" spans="2:7" x14ac:dyDescent="0.5">
      <c r="B471" s="1" t="s">
        <v>1041</v>
      </c>
      <c r="C471" s="1" t="s">
        <v>1526</v>
      </c>
      <c r="D471" s="1" t="s">
        <v>1324</v>
      </c>
      <c r="E471" s="26">
        <v>44507</v>
      </c>
      <c r="F471" s="26" t="s">
        <v>1527</v>
      </c>
      <c r="G471" s="26"/>
    </row>
    <row r="472" spans="2:7" hidden="1" x14ac:dyDescent="0.5">
      <c r="B472" s="1" t="s">
        <v>1036</v>
      </c>
      <c r="C472" s="1" t="s">
        <v>1526</v>
      </c>
      <c r="D472" s="1" t="s">
        <v>1324</v>
      </c>
      <c r="E472" s="26">
        <v>44508</v>
      </c>
      <c r="F472" s="26">
        <v>44545</v>
      </c>
      <c r="G472" s="26"/>
    </row>
    <row r="473" spans="2:7" hidden="1" x14ac:dyDescent="0.5">
      <c r="B473" s="1" t="s">
        <v>1043</v>
      </c>
      <c r="C473" s="1" t="s">
        <v>1526</v>
      </c>
      <c r="D473" s="1" t="s">
        <v>1324</v>
      </c>
      <c r="E473" s="26">
        <v>44509</v>
      </c>
      <c r="F473" s="26">
        <v>44534</v>
      </c>
      <c r="G473" s="26"/>
    </row>
    <row r="474" spans="2:7" hidden="1" x14ac:dyDescent="0.5">
      <c r="B474" s="1" t="s">
        <v>1039</v>
      </c>
      <c r="C474" s="1" t="s">
        <v>1526</v>
      </c>
      <c r="D474" s="1" t="s">
        <v>1324</v>
      </c>
      <c r="E474" s="26">
        <v>44509</v>
      </c>
      <c r="F474" s="26">
        <v>44551</v>
      </c>
      <c r="G474" s="26"/>
    </row>
    <row r="475" spans="2:7" hidden="1" x14ac:dyDescent="0.5">
      <c r="B475" s="1" t="s">
        <v>1037</v>
      </c>
      <c r="C475" s="1" t="s">
        <v>1526</v>
      </c>
      <c r="D475" s="1" t="s">
        <v>1324</v>
      </c>
      <c r="E475" s="26">
        <v>44509</v>
      </c>
      <c r="F475" s="26">
        <v>44542</v>
      </c>
      <c r="G475" s="26"/>
    </row>
    <row r="476" spans="2:7" hidden="1" x14ac:dyDescent="0.5">
      <c r="B476" s="1" t="s">
        <v>1045</v>
      </c>
      <c r="C476" s="1" t="s">
        <v>1526</v>
      </c>
      <c r="D476" s="1" t="s">
        <v>1324</v>
      </c>
      <c r="E476" s="26">
        <v>44510</v>
      </c>
      <c r="F476" s="26">
        <v>44549</v>
      </c>
      <c r="G476" s="26"/>
    </row>
    <row r="477" spans="2:7" hidden="1" x14ac:dyDescent="0.5">
      <c r="B477" s="1" t="s">
        <v>1047</v>
      </c>
      <c r="C477" s="1" t="s">
        <v>1526</v>
      </c>
      <c r="D477" s="1" t="s">
        <v>1324</v>
      </c>
      <c r="E477" s="26">
        <v>44511</v>
      </c>
      <c r="F477" s="26">
        <v>44550</v>
      </c>
      <c r="G477" s="26"/>
    </row>
    <row r="478" spans="2:7" hidden="1" x14ac:dyDescent="0.5">
      <c r="B478" s="1" t="s">
        <v>1053</v>
      </c>
      <c r="C478" s="1" t="s">
        <v>1526</v>
      </c>
      <c r="D478" s="1" t="s">
        <v>1324</v>
      </c>
      <c r="E478" s="26">
        <v>44512</v>
      </c>
      <c r="F478" s="26">
        <v>44555</v>
      </c>
      <c r="G478" s="26"/>
    </row>
    <row r="479" spans="2:7" hidden="1" x14ac:dyDescent="0.5">
      <c r="B479" s="1" t="s">
        <v>1051</v>
      </c>
      <c r="C479" s="1" t="s">
        <v>1526</v>
      </c>
      <c r="D479" s="1" t="s">
        <v>1324</v>
      </c>
      <c r="E479" s="26">
        <v>44512</v>
      </c>
      <c r="F479" s="26">
        <v>44541</v>
      </c>
      <c r="G479" s="26"/>
    </row>
    <row r="480" spans="2:7" hidden="1" x14ac:dyDescent="0.5">
      <c r="B480" s="1" t="s">
        <v>1055</v>
      </c>
      <c r="C480" s="1" t="s">
        <v>1526</v>
      </c>
      <c r="D480" s="1" t="s">
        <v>1324</v>
      </c>
      <c r="E480" s="26">
        <v>44513</v>
      </c>
      <c r="F480" s="26">
        <v>44553</v>
      </c>
      <c r="G480" s="26"/>
    </row>
    <row r="481" spans="2:7" x14ac:dyDescent="0.5">
      <c r="B481" s="1" t="s">
        <v>1049</v>
      </c>
      <c r="C481" s="1" t="s">
        <v>1526</v>
      </c>
      <c r="D481" s="1" t="s">
        <v>1324</v>
      </c>
      <c r="E481" s="26">
        <v>44514</v>
      </c>
      <c r="F481" s="26" t="s">
        <v>1527</v>
      </c>
      <c r="G481" s="26"/>
    </row>
    <row r="482" spans="2:7" hidden="1" x14ac:dyDescent="0.5">
      <c r="B482" s="1" t="s">
        <v>1057</v>
      </c>
      <c r="C482" s="1" t="s">
        <v>1526</v>
      </c>
      <c r="D482" s="1" t="s">
        <v>1324</v>
      </c>
      <c r="E482" s="26">
        <v>44519</v>
      </c>
      <c r="F482" s="26">
        <v>44547</v>
      </c>
      <c r="G482" s="26"/>
    </row>
    <row r="483" spans="2:7" hidden="1" x14ac:dyDescent="0.5">
      <c r="B483" s="1" t="s">
        <v>1059</v>
      </c>
      <c r="C483" s="1" t="s">
        <v>1526</v>
      </c>
      <c r="D483" s="1" t="s">
        <v>1325</v>
      </c>
      <c r="E483" s="26">
        <v>44523</v>
      </c>
      <c r="F483" s="26">
        <v>44564</v>
      </c>
      <c r="G483" s="26"/>
    </row>
    <row r="484" spans="2:7" hidden="1" x14ac:dyDescent="0.5">
      <c r="B484" s="1" t="s">
        <v>1063</v>
      </c>
      <c r="C484" s="1" t="s">
        <v>1526</v>
      </c>
      <c r="D484" s="1" t="s">
        <v>1324</v>
      </c>
      <c r="E484" s="26">
        <v>44525</v>
      </c>
      <c r="F484" s="26">
        <v>44554</v>
      </c>
      <c r="G484" s="26"/>
    </row>
    <row r="485" spans="2:7" hidden="1" x14ac:dyDescent="0.5">
      <c r="B485" s="1" t="s">
        <v>1061</v>
      </c>
      <c r="C485" s="1" t="s">
        <v>1526</v>
      </c>
      <c r="D485" s="1" t="s">
        <v>1324</v>
      </c>
      <c r="E485" s="26">
        <v>44525</v>
      </c>
      <c r="F485" s="26">
        <v>44558</v>
      </c>
      <c r="G485" s="26"/>
    </row>
    <row r="486" spans="2:7" hidden="1" x14ac:dyDescent="0.5">
      <c r="B486" s="1" t="s">
        <v>1067</v>
      </c>
      <c r="C486" s="1" t="s">
        <v>1526</v>
      </c>
      <c r="D486" s="1" t="s">
        <v>1324</v>
      </c>
      <c r="E486" s="26">
        <v>44526</v>
      </c>
      <c r="F486" s="26">
        <v>44557</v>
      </c>
      <c r="G486" s="26"/>
    </row>
    <row r="487" spans="2:7" hidden="1" x14ac:dyDescent="0.5">
      <c r="B487" s="1" t="s">
        <v>1065</v>
      </c>
      <c r="C487" s="1" t="s">
        <v>1526</v>
      </c>
      <c r="D487" s="1" t="s">
        <v>1324</v>
      </c>
      <c r="E487" s="26">
        <v>44526</v>
      </c>
      <c r="F487" s="26">
        <v>44551</v>
      </c>
      <c r="G487" s="26"/>
    </row>
    <row r="488" spans="2:7" hidden="1" x14ac:dyDescent="0.5">
      <c r="B488" s="1" t="s">
        <v>1071</v>
      </c>
      <c r="C488" s="1" t="s">
        <v>1526</v>
      </c>
      <c r="D488" s="1" t="s">
        <v>1324</v>
      </c>
      <c r="E488" s="26">
        <v>44527</v>
      </c>
      <c r="F488" s="26">
        <v>44567</v>
      </c>
      <c r="G488" s="26"/>
    </row>
    <row r="489" spans="2:7" hidden="1" x14ac:dyDescent="0.5">
      <c r="B489" s="1" t="s">
        <v>1069</v>
      </c>
      <c r="C489" s="1" t="s">
        <v>1526</v>
      </c>
      <c r="D489" s="1" t="s">
        <v>1324</v>
      </c>
      <c r="E489" s="26">
        <v>44527</v>
      </c>
      <c r="F489" s="26">
        <v>44556</v>
      </c>
      <c r="G489" s="26"/>
    </row>
    <row r="490" spans="2:7" hidden="1" x14ac:dyDescent="0.5">
      <c r="B490" s="1" t="s">
        <v>1073</v>
      </c>
      <c r="C490" s="1" t="s">
        <v>1526</v>
      </c>
      <c r="D490" s="1" t="s">
        <v>1324</v>
      </c>
      <c r="E490" s="26">
        <v>44529</v>
      </c>
      <c r="F490" s="26">
        <v>44567</v>
      </c>
      <c r="G490" s="26"/>
    </row>
    <row r="491" spans="2:7" hidden="1" x14ac:dyDescent="0.5">
      <c r="B491" s="1" t="s">
        <v>1075</v>
      </c>
      <c r="C491" s="1" t="s">
        <v>1526</v>
      </c>
      <c r="D491" s="1" t="s">
        <v>1324</v>
      </c>
      <c r="E491" s="26">
        <v>44529</v>
      </c>
      <c r="F491" s="26">
        <v>44572</v>
      </c>
      <c r="G491" s="26"/>
    </row>
    <row r="492" spans="2:7" hidden="1" x14ac:dyDescent="0.5">
      <c r="B492" s="1" t="s">
        <v>1077</v>
      </c>
      <c r="C492" s="1" t="s">
        <v>1526</v>
      </c>
      <c r="D492" s="1" t="s">
        <v>1324</v>
      </c>
      <c r="E492" s="26">
        <v>44531</v>
      </c>
      <c r="F492" s="26">
        <v>44559</v>
      </c>
      <c r="G492" s="26"/>
    </row>
    <row r="493" spans="2:7" hidden="1" x14ac:dyDescent="0.5">
      <c r="B493" s="1" t="s">
        <v>1080</v>
      </c>
      <c r="C493" s="1" t="s">
        <v>1526</v>
      </c>
      <c r="D493" s="1" t="s">
        <v>1324</v>
      </c>
      <c r="E493" s="26">
        <v>44533</v>
      </c>
      <c r="F493" s="26">
        <v>44561</v>
      </c>
      <c r="G493" s="26"/>
    </row>
    <row r="494" spans="2:7" hidden="1" x14ac:dyDescent="0.5">
      <c r="B494" s="1" t="s">
        <v>1084</v>
      </c>
      <c r="C494" s="1" t="s">
        <v>1526</v>
      </c>
      <c r="D494" s="1" t="s">
        <v>1324</v>
      </c>
      <c r="E494" s="26">
        <v>44534</v>
      </c>
      <c r="F494" s="26">
        <v>44562</v>
      </c>
      <c r="G494" s="26"/>
    </row>
    <row r="495" spans="2:7" x14ac:dyDescent="0.5">
      <c r="B495" s="1" t="s">
        <v>1082</v>
      </c>
      <c r="C495" s="1" t="s">
        <v>1526</v>
      </c>
      <c r="D495" s="1" t="s">
        <v>1324</v>
      </c>
      <c r="E495" s="26">
        <v>44535</v>
      </c>
      <c r="F495" s="26" t="s">
        <v>1527</v>
      </c>
      <c r="G495" s="26"/>
    </row>
    <row r="496" spans="2:7" hidden="1" x14ac:dyDescent="0.5">
      <c r="B496" s="1" t="s">
        <v>1086</v>
      </c>
      <c r="C496" s="1" t="s">
        <v>1526</v>
      </c>
      <c r="D496" s="1" t="s">
        <v>1324</v>
      </c>
      <c r="E496" s="26">
        <v>44536</v>
      </c>
      <c r="F496" s="26">
        <v>44571</v>
      </c>
      <c r="G496" s="26"/>
    </row>
    <row r="497" spans="2:7" hidden="1" x14ac:dyDescent="0.5">
      <c r="B497" s="1" t="s">
        <v>1090</v>
      </c>
      <c r="C497" s="1" t="s">
        <v>1526</v>
      </c>
      <c r="D497" s="1" t="s">
        <v>1324</v>
      </c>
      <c r="E497" s="26">
        <v>44537</v>
      </c>
      <c r="F497" s="26">
        <v>44565</v>
      </c>
      <c r="G497" s="26"/>
    </row>
    <row r="498" spans="2:7" hidden="1" x14ac:dyDescent="0.5">
      <c r="B498" s="1" t="s">
        <v>1088</v>
      </c>
      <c r="C498" s="1" t="s">
        <v>1526</v>
      </c>
      <c r="D498" s="1" t="s">
        <v>1324</v>
      </c>
      <c r="E498" s="26">
        <v>44537</v>
      </c>
      <c r="F498" s="26">
        <v>44574</v>
      </c>
      <c r="G498" s="26"/>
    </row>
    <row r="499" spans="2:7" hidden="1" x14ac:dyDescent="0.5">
      <c r="B499" s="1" t="s">
        <v>1092</v>
      </c>
      <c r="C499" s="1" t="s">
        <v>1526</v>
      </c>
      <c r="D499" s="1" t="s">
        <v>1324</v>
      </c>
      <c r="E499" s="26">
        <v>44538</v>
      </c>
      <c r="F499" s="26">
        <v>44563</v>
      </c>
      <c r="G499" s="26"/>
    </row>
    <row r="500" spans="2:7" hidden="1" x14ac:dyDescent="0.5">
      <c r="B500" s="1" t="s">
        <v>1094</v>
      </c>
      <c r="C500" s="1" t="s">
        <v>1526</v>
      </c>
      <c r="D500" s="1" t="s">
        <v>1324</v>
      </c>
      <c r="E500" s="26">
        <v>44539</v>
      </c>
      <c r="F500" s="26">
        <v>44573</v>
      </c>
      <c r="G500" s="26"/>
    </row>
    <row r="501" spans="2:7" hidden="1" x14ac:dyDescent="0.5">
      <c r="B501" s="1" t="s">
        <v>1100</v>
      </c>
      <c r="C501" s="1" t="s">
        <v>1526</v>
      </c>
      <c r="D501" s="1" t="s">
        <v>1324</v>
      </c>
      <c r="E501" s="26">
        <v>44541</v>
      </c>
      <c r="F501" s="26">
        <v>44571</v>
      </c>
      <c r="G501" s="26"/>
    </row>
    <row r="502" spans="2:7" hidden="1" x14ac:dyDescent="0.5">
      <c r="B502" s="1" t="s">
        <v>1106</v>
      </c>
      <c r="C502" s="1" t="s">
        <v>1526</v>
      </c>
      <c r="D502" s="1" t="s">
        <v>1324</v>
      </c>
      <c r="E502" s="26">
        <v>44541</v>
      </c>
      <c r="F502" s="26">
        <v>44566</v>
      </c>
      <c r="G502" s="26"/>
    </row>
    <row r="503" spans="2:7" hidden="1" x14ac:dyDescent="0.5">
      <c r="B503" s="1" t="s">
        <v>1102</v>
      </c>
      <c r="C503" s="1" t="s">
        <v>1526</v>
      </c>
      <c r="D503" s="1" t="s">
        <v>1324</v>
      </c>
      <c r="E503" s="26">
        <v>44541</v>
      </c>
      <c r="F503" s="26">
        <v>44568</v>
      </c>
      <c r="G503" s="26"/>
    </row>
    <row r="504" spans="2:7" x14ac:dyDescent="0.5">
      <c r="B504" s="1" t="s">
        <v>1114</v>
      </c>
      <c r="C504" s="1" t="s">
        <v>1526</v>
      </c>
      <c r="D504" s="1" t="s">
        <v>1325</v>
      </c>
      <c r="E504" s="26">
        <v>44541</v>
      </c>
      <c r="F504" s="26" t="s">
        <v>1527</v>
      </c>
      <c r="G504" s="26"/>
    </row>
    <row r="505" spans="2:7" hidden="1" x14ac:dyDescent="0.5">
      <c r="B505" s="1" t="s">
        <v>1098</v>
      </c>
      <c r="C505" s="1" t="s">
        <v>1526</v>
      </c>
      <c r="D505" s="1" t="s">
        <v>1324</v>
      </c>
      <c r="E505" s="26">
        <v>44541</v>
      </c>
      <c r="F505" s="26">
        <v>44567</v>
      </c>
      <c r="G505" s="26"/>
    </row>
    <row r="506" spans="2:7" hidden="1" x14ac:dyDescent="0.5">
      <c r="B506" s="1" t="s">
        <v>1104</v>
      </c>
      <c r="C506" s="1" t="s">
        <v>1526</v>
      </c>
      <c r="D506" s="1" t="s">
        <v>1324</v>
      </c>
      <c r="E506" s="26">
        <v>44541</v>
      </c>
      <c r="F506" s="26">
        <v>44578</v>
      </c>
      <c r="G506" s="26"/>
    </row>
    <row r="507" spans="2:7" x14ac:dyDescent="0.5">
      <c r="B507" s="1" t="s">
        <v>1096</v>
      </c>
      <c r="C507" s="1" t="s">
        <v>1526</v>
      </c>
      <c r="D507" s="1" t="s">
        <v>1324</v>
      </c>
      <c r="E507" s="26">
        <v>44542</v>
      </c>
      <c r="F507" s="26" t="s">
        <v>1527</v>
      </c>
      <c r="G507" s="26"/>
    </row>
    <row r="508" spans="2:7" hidden="1" x14ac:dyDescent="0.5">
      <c r="B508" s="1" t="s">
        <v>1108</v>
      </c>
      <c r="C508" s="1" t="s">
        <v>1526</v>
      </c>
      <c r="D508" s="1" t="s">
        <v>1324</v>
      </c>
      <c r="E508" s="26">
        <v>44543</v>
      </c>
      <c r="F508" s="26">
        <v>44575</v>
      </c>
      <c r="G508" s="26"/>
    </row>
    <row r="509" spans="2:7" hidden="1" x14ac:dyDescent="0.5">
      <c r="B509" s="1" t="s">
        <v>1110</v>
      </c>
      <c r="C509" s="1" t="s">
        <v>1526</v>
      </c>
      <c r="D509" s="1" t="s">
        <v>1324</v>
      </c>
      <c r="E509" s="26">
        <v>44543</v>
      </c>
      <c r="F509" s="26">
        <v>44573</v>
      </c>
      <c r="G509" s="26"/>
    </row>
    <row r="510" spans="2:7" hidden="1" x14ac:dyDescent="0.5">
      <c r="B510" s="1" t="s">
        <v>1112</v>
      </c>
      <c r="C510" s="1" t="s">
        <v>1526</v>
      </c>
      <c r="D510" s="1" t="s">
        <v>1325</v>
      </c>
      <c r="E510" s="26">
        <v>44543</v>
      </c>
      <c r="F510" s="26">
        <v>44572</v>
      </c>
      <c r="G510" s="26"/>
    </row>
    <row r="511" spans="2:7" hidden="1" x14ac:dyDescent="0.5">
      <c r="B511" s="1" t="s">
        <v>1116</v>
      </c>
      <c r="C511" s="1" t="s">
        <v>1526</v>
      </c>
      <c r="D511" s="1" t="s">
        <v>1324</v>
      </c>
      <c r="E511" s="26">
        <v>44544</v>
      </c>
      <c r="F511" s="26">
        <v>44572</v>
      </c>
      <c r="G511" s="26"/>
    </row>
    <row r="512" spans="2:7" hidden="1" x14ac:dyDescent="0.5">
      <c r="B512" s="1" t="s">
        <v>1118</v>
      </c>
      <c r="C512" s="1" t="s">
        <v>1526</v>
      </c>
      <c r="D512" s="1" t="s">
        <v>1324</v>
      </c>
      <c r="E512" s="26">
        <v>44547</v>
      </c>
      <c r="F512" s="26">
        <v>44587</v>
      </c>
      <c r="G512" s="26"/>
    </row>
    <row r="513" spans="2:7" hidden="1" x14ac:dyDescent="0.5">
      <c r="B513" s="1" t="s">
        <v>1120</v>
      </c>
      <c r="C513" s="1" t="s">
        <v>1526</v>
      </c>
      <c r="D513" s="1" t="s">
        <v>1324</v>
      </c>
      <c r="E513" s="26">
        <v>44548</v>
      </c>
      <c r="F513" s="26">
        <v>44588</v>
      </c>
      <c r="G513" s="26"/>
    </row>
    <row r="514" spans="2:7" x14ac:dyDescent="0.5">
      <c r="B514" s="1" t="s">
        <v>1128</v>
      </c>
      <c r="C514" s="1" t="s">
        <v>1526</v>
      </c>
      <c r="D514" s="1" t="s">
        <v>1325</v>
      </c>
      <c r="E514" s="26">
        <v>44548</v>
      </c>
      <c r="F514" s="26" t="s">
        <v>1527</v>
      </c>
      <c r="G514" s="26"/>
    </row>
    <row r="515" spans="2:7" x14ac:dyDescent="0.5">
      <c r="B515" s="1" t="s">
        <v>1126</v>
      </c>
      <c r="C515" s="1" t="s">
        <v>1526</v>
      </c>
      <c r="D515" s="1" t="s">
        <v>1325</v>
      </c>
      <c r="E515" s="26">
        <v>44549</v>
      </c>
      <c r="F515" s="26" t="s">
        <v>1527</v>
      </c>
      <c r="G515" s="26"/>
    </row>
    <row r="516" spans="2:7" hidden="1" x14ac:dyDescent="0.5">
      <c r="B516" s="1" t="s">
        <v>1122</v>
      </c>
      <c r="C516" s="1" t="s">
        <v>1526</v>
      </c>
      <c r="D516" s="1" t="s">
        <v>1324</v>
      </c>
      <c r="E516" s="26">
        <v>44550</v>
      </c>
      <c r="F516" s="26">
        <v>44578</v>
      </c>
      <c r="G516" s="26"/>
    </row>
    <row r="517" spans="2:7" hidden="1" x14ac:dyDescent="0.5">
      <c r="B517" s="1" t="s">
        <v>1124</v>
      </c>
      <c r="C517" s="1" t="s">
        <v>1526</v>
      </c>
      <c r="D517" s="1" t="s">
        <v>1324</v>
      </c>
      <c r="E517" s="26">
        <v>44550</v>
      </c>
      <c r="F517" s="26">
        <v>44575</v>
      </c>
      <c r="G517" s="26"/>
    </row>
    <row r="518" spans="2:7" hidden="1" x14ac:dyDescent="0.5">
      <c r="B518" s="1" t="s">
        <v>1130</v>
      </c>
      <c r="C518" s="1" t="s">
        <v>1526</v>
      </c>
      <c r="D518" s="1" t="s">
        <v>1324</v>
      </c>
      <c r="E518" s="26">
        <v>44551</v>
      </c>
      <c r="F518" s="26">
        <v>44585</v>
      </c>
      <c r="G518" s="26"/>
    </row>
    <row r="519" spans="2:7" hidden="1" x14ac:dyDescent="0.5">
      <c r="B519" s="1" t="s">
        <v>1134</v>
      </c>
      <c r="C519" s="1" t="s">
        <v>1526</v>
      </c>
      <c r="D519" s="1" t="s">
        <v>1324</v>
      </c>
      <c r="E519" s="26">
        <v>44552</v>
      </c>
      <c r="F519" s="26">
        <v>44578</v>
      </c>
      <c r="G519" s="26"/>
    </row>
    <row r="520" spans="2:7" hidden="1" x14ac:dyDescent="0.5">
      <c r="B520" s="1" t="s">
        <v>1132</v>
      </c>
      <c r="C520" s="1" t="s">
        <v>1526</v>
      </c>
      <c r="D520" s="1" t="s">
        <v>1324</v>
      </c>
      <c r="E520" s="26">
        <v>44552</v>
      </c>
      <c r="F520" s="26">
        <v>44581</v>
      </c>
      <c r="G520" s="26"/>
    </row>
    <row r="521" spans="2:7" hidden="1" x14ac:dyDescent="0.5">
      <c r="B521" s="1" t="s">
        <v>1136</v>
      </c>
      <c r="C521" s="1" t="s">
        <v>1526</v>
      </c>
      <c r="D521" s="1" t="s">
        <v>1324</v>
      </c>
      <c r="E521" s="26">
        <v>44553</v>
      </c>
      <c r="F521" s="26">
        <v>44592</v>
      </c>
      <c r="G521" s="26"/>
    </row>
    <row r="522" spans="2:7" hidden="1" x14ac:dyDescent="0.5">
      <c r="B522" s="1" t="s">
        <v>1140</v>
      </c>
      <c r="C522" s="1" t="s">
        <v>1526</v>
      </c>
      <c r="D522" s="1" t="s">
        <v>1324</v>
      </c>
      <c r="E522" s="26">
        <v>44557</v>
      </c>
      <c r="F522" s="26">
        <v>44590</v>
      </c>
      <c r="G522" s="26"/>
    </row>
    <row r="523" spans="2:7" hidden="1" x14ac:dyDescent="0.5">
      <c r="B523" s="1" t="s">
        <v>1138</v>
      </c>
      <c r="C523" s="1" t="s">
        <v>1526</v>
      </c>
      <c r="D523" s="1" t="s">
        <v>1324</v>
      </c>
      <c r="E523" s="26">
        <v>44557</v>
      </c>
      <c r="F523" s="26">
        <v>44599</v>
      </c>
      <c r="G523" s="26"/>
    </row>
    <row r="524" spans="2:7" hidden="1" x14ac:dyDescent="0.5">
      <c r="B524" s="1" t="s">
        <v>1144</v>
      </c>
      <c r="C524" s="1" t="s">
        <v>1526</v>
      </c>
      <c r="D524" s="1" t="s">
        <v>1324</v>
      </c>
      <c r="E524" s="26">
        <v>44558</v>
      </c>
      <c r="F524" s="26">
        <v>44586</v>
      </c>
      <c r="G524" s="26"/>
    </row>
    <row r="525" spans="2:7" hidden="1" x14ac:dyDescent="0.5">
      <c r="B525" s="1" t="s">
        <v>1142</v>
      </c>
      <c r="C525" s="1" t="s">
        <v>1526</v>
      </c>
      <c r="D525" s="1" t="s">
        <v>1324</v>
      </c>
      <c r="E525" s="26">
        <v>44558</v>
      </c>
      <c r="F525" s="26">
        <v>44588</v>
      </c>
      <c r="G525" s="26"/>
    </row>
    <row r="526" spans="2:7" x14ac:dyDescent="0.5">
      <c r="B526" s="1" t="s">
        <v>1146</v>
      </c>
      <c r="C526" s="1" t="s">
        <v>1526</v>
      </c>
      <c r="D526" s="1" t="s">
        <v>1324</v>
      </c>
      <c r="E526" s="26">
        <v>44563</v>
      </c>
      <c r="F526" s="26" t="s">
        <v>1527</v>
      </c>
      <c r="G526" s="26"/>
    </row>
    <row r="527" spans="2:7" hidden="1" x14ac:dyDescent="0.5">
      <c r="B527" s="1" t="s">
        <v>1148</v>
      </c>
      <c r="C527" s="1" t="s">
        <v>1526</v>
      </c>
      <c r="D527" s="1" t="s">
        <v>1324</v>
      </c>
      <c r="E527" s="26">
        <v>44564</v>
      </c>
      <c r="F527" s="26">
        <v>44602</v>
      </c>
      <c r="G527" s="26"/>
    </row>
    <row r="528" spans="2:7" hidden="1" x14ac:dyDescent="0.5">
      <c r="B528" s="1" t="s">
        <v>1150</v>
      </c>
      <c r="C528" s="1" t="s">
        <v>1526</v>
      </c>
      <c r="D528" s="1" t="s">
        <v>1324</v>
      </c>
      <c r="E528" s="26">
        <v>44567</v>
      </c>
      <c r="F528" s="26">
        <v>44597</v>
      </c>
      <c r="G528" s="26"/>
    </row>
    <row r="529" spans="2:7" hidden="1" x14ac:dyDescent="0.5">
      <c r="B529" s="1" t="s">
        <v>1152</v>
      </c>
      <c r="C529" s="1" t="s">
        <v>1526</v>
      </c>
      <c r="D529" s="1" t="s">
        <v>1324</v>
      </c>
      <c r="E529" s="26">
        <v>44571</v>
      </c>
      <c r="F529" s="26">
        <v>44600</v>
      </c>
      <c r="G529" s="26"/>
    </row>
    <row r="530" spans="2:7" hidden="1" x14ac:dyDescent="0.5">
      <c r="B530" s="1" t="s">
        <v>1154</v>
      </c>
      <c r="C530" s="1" t="s">
        <v>1526</v>
      </c>
      <c r="D530" s="1" t="s">
        <v>1324</v>
      </c>
      <c r="E530" s="26">
        <v>44571</v>
      </c>
      <c r="F530" s="26">
        <v>44596</v>
      </c>
      <c r="G530" s="26"/>
    </row>
    <row r="531" spans="2:7" hidden="1" x14ac:dyDescent="0.5">
      <c r="B531" s="1" t="s">
        <v>1156</v>
      </c>
      <c r="C531" s="1" t="s">
        <v>1526</v>
      </c>
      <c r="D531" s="1" t="s">
        <v>1324</v>
      </c>
      <c r="E531" s="26">
        <v>44571</v>
      </c>
      <c r="F531" s="26">
        <v>44603</v>
      </c>
      <c r="G531" s="26"/>
    </row>
    <row r="532" spans="2:7" hidden="1" x14ac:dyDescent="0.5">
      <c r="B532" s="1" t="s">
        <v>1158</v>
      </c>
      <c r="C532" s="1" t="s">
        <v>1526</v>
      </c>
      <c r="D532" s="1" t="s">
        <v>1324</v>
      </c>
      <c r="E532" s="26">
        <v>44572</v>
      </c>
      <c r="F532" s="26">
        <v>44613</v>
      </c>
      <c r="G532" s="26"/>
    </row>
    <row r="533" spans="2:7" x14ac:dyDescent="0.5">
      <c r="B533" s="1" t="s">
        <v>1160</v>
      </c>
      <c r="C533" s="1" t="s">
        <v>1526</v>
      </c>
      <c r="D533" s="1" t="s">
        <v>1324</v>
      </c>
      <c r="E533" s="26">
        <v>44572</v>
      </c>
      <c r="F533" s="26" t="s">
        <v>1527</v>
      </c>
      <c r="G533" s="26"/>
    </row>
    <row r="534" spans="2:7" hidden="1" x14ac:dyDescent="0.5">
      <c r="B534" s="1" t="s">
        <v>1164</v>
      </c>
      <c r="C534" s="1" t="s">
        <v>1526</v>
      </c>
      <c r="D534" s="1" t="s">
        <v>1324</v>
      </c>
      <c r="E534" s="26">
        <v>44573</v>
      </c>
      <c r="F534" s="26">
        <v>44598</v>
      </c>
      <c r="G534" s="26"/>
    </row>
    <row r="535" spans="2:7" hidden="1" x14ac:dyDescent="0.5">
      <c r="B535" s="1" t="s">
        <v>1162</v>
      </c>
      <c r="C535" s="1" t="s">
        <v>1526</v>
      </c>
      <c r="D535" s="1" t="s">
        <v>1324</v>
      </c>
      <c r="E535" s="26">
        <v>44573</v>
      </c>
      <c r="F535" s="26">
        <v>44602</v>
      </c>
      <c r="G535" s="26"/>
    </row>
    <row r="536" spans="2:7" hidden="1" x14ac:dyDescent="0.5">
      <c r="B536" s="1" t="s">
        <v>1168</v>
      </c>
      <c r="C536" s="1" t="s">
        <v>1526</v>
      </c>
      <c r="D536" s="1" t="s">
        <v>1324</v>
      </c>
      <c r="E536" s="26">
        <v>44574</v>
      </c>
      <c r="F536" s="26">
        <v>44617</v>
      </c>
      <c r="G536" s="26"/>
    </row>
    <row r="537" spans="2:7" hidden="1" x14ac:dyDescent="0.5">
      <c r="B537" s="1" t="s">
        <v>1170</v>
      </c>
      <c r="C537" s="1" t="s">
        <v>1526</v>
      </c>
      <c r="D537" s="1" t="s">
        <v>1324</v>
      </c>
      <c r="E537" s="26">
        <v>44575</v>
      </c>
      <c r="F537" s="26">
        <v>44615</v>
      </c>
      <c r="G537" s="26"/>
    </row>
    <row r="538" spans="2:7" hidden="1" x14ac:dyDescent="0.5">
      <c r="B538" s="1" t="s">
        <v>1172</v>
      </c>
      <c r="C538" s="1" t="s">
        <v>1526</v>
      </c>
      <c r="D538" s="1" t="s">
        <v>1324</v>
      </c>
      <c r="E538" s="26">
        <v>44576</v>
      </c>
      <c r="F538" s="26">
        <v>44607</v>
      </c>
      <c r="G538" s="26"/>
    </row>
    <row r="539" spans="2:7" x14ac:dyDescent="0.5">
      <c r="B539" s="1" t="s">
        <v>1166</v>
      </c>
      <c r="C539" s="1" t="s">
        <v>1526</v>
      </c>
      <c r="D539" s="1" t="s">
        <v>1325</v>
      </c>
      <c r="E539" s="26">
        <v>44577</v>
      </c>
      <c r="F539" s="26" t="s">
        <v>1527</v>
      </c>
      <c r="G539" s="26"/>
    </row>
    <row r="540" spans="2:7" x14ac:dyDescent="0.5">
      <c r="B540" s="1" t="s">
        <v>1176</v>
      </c>
      <c r="C540" s="1" t="s">
        <v>1526</v>
      </c>
      <c r="D540" s="1" t="s">
        <v>1324</v>
      </c>
      <c r="E540" s="26">
        <v>44578</v>
      </c>
      <c r="F540" s="26" t="s">
        <v>1527</v>
      </c>
      <c r="G540" s="26"/>
    </row>
    <row r="541" spans="2:7" hidden="1" x14ac:dyDescent="0.5">
      <c r="B541" s="1" t="s">
        <v>1174</v>
      </c>
      <c r="C541" s="1" t="s">
        <v>1526</v>
      </c>
      <c r="D541" s="1" t="s">
        <v>1324</v>
      </c>
      <c r="E541" s="26">
        <v>44578</v>
      </c>
      <c r="F541" s="26">
        <v>44603</v>
      </c>
      <c r="G541" s="26"/>
    </row>
    <row r="542" spans="2:7" hidden="1" x14ac:dyDescent="0.5">
      <c r="B542" s="1" t="s">
        <v>1180</v>
      </c>
      <c r="C542" s="1" t="s">
        <v>1526</v>
      </c>
      <c r="D542" s="1" t="s">
        <v>1324</v>
      </c>
      <c r="E542" s="26">
        <v>44580</v>
      </c>
      <c r="F542" s="26">
        <v>44606</v>
      </c>
      <c r="G542" s="26"/>
    </row>
    <row r="543" spans="2:7" x14ac:dyDescent="0.5">
      <c r="B543" s="1" t="s">
        <v>1182</v>
      </c>
      <c r="C543" s="1" t="s">
        <v>1526</v>
      </c>
      <c r="D543" s="1" t="s">
        <v>1324</v>
      </c>
      <c r="E543" s="26">
        <v>44581</v>
      </c>
      <c r="F543" s="26" t="s">
        <v>1527</v>
      </c>
      <c r="G543" s="26"/>
    </row>
    <row r="544" spans="2:7" x14ac:dyDescent="0.5">
      <c r="B544" s="1" t="s">
        <v>1184</v>
      </c>
      <c r="C544" s="1" t="s">
        <v>1526</v>
      </c>
      <c r="D544" s="1" t="s">
        <v>1324</v>
      </c>
      <c r="E544" s="26">
        <v>44581</v>
      </c>
      <c r="F544" s="26" t="s">
        <v>1527</v>
      </c>
      <c r="G544" s="26"/>
    </row>
    <row r="545" spans="2:7" x14ac:dyDescent="0.5">
      <c r="B545" s="1" t="s">
        <v>1186</v>
      </c>
      <c r="C545" s="1" t="s">
        <v>1526</v>
      </c>
      <c r="D545" s="1" t="s">
        <v>1325</v>
      </c>
      <c r="E545" s="26">
        <v>44581</v>
      </c>
      <c r="F545" s="26" t="s">
        <v>1527</v>
      </c>
      <c r="G545" s="26"/>
    </row>
    <row r="546" spans="2:7" hidden="1" x14ac:dyDescent="0.5">
      <c r="B546" s="1" t="s">
        <v>1188</v>
      </c>
      <c r="C546" s="1" t="s">
        <v>1526</v>
      </c>
      <c r="D546" s="1" t="s">
        <v>1324</v>
      </c>
      <c r="E546" s="26">
        <v>44583</v>
      </c>
      <c r="F546" s="26">
        <v>44624</v>
      </c>
      <c r="G546" s="26"/>
    </row>
    <row r="547" spans="2:7" x14ac:dyDescent="0.5">
      <c r="B547" s="1" t="s">
        <v>1178</v>
      </c>
      <c r="C547" s="1" t="s">
        <v>1526</v>
      </c>
      <c r="D547" s="1" t="s">
        <v>1325</v>
      </c>
      <c r="E547" s="26">
        <v>44583</v>
      </c>
      <c r="F547" s="26" t="s">
        <v>1527</v>
      </c>
      <c r="G547" s="26"/>
    </row>
    <row r="548" spans="2:7" x14ac:dyDescent="0.5">
      <c r="B548" s="1" t="s">
        <v>1190</v>
      </c>
      <c r="C548" s="1" t="s">
        <v>1526</v>
      </c>
      <c r="D548" s="1" t="s">
        <v>1324</v>
      </c>
      <c r="E548" s="26">
        <v>44583</v>
      </c>
      <c r="F548" s="26" t="s">
        <v>1527</v>
      </c>
      <c r="G548" s="26"/>
    </row>
    <row r="549" spans="2:7" hidden="1" x14ac:dyDescent="0.5">
      <c r="B549" s="1" t="s">
        <v>1192</v>
      </c>
      <c r="C549" s="1" t="s">
        <v>1526</v>
      </c>
      <c r="D549" s="1" t="s">
        <v>1324</v>
      </c>
      <c r="E549" s="26">
        <v>44585</v>
      </c>
      <c r="F549" s="26">
        <v>44624</v>
      </c>
      <c r="G549" s="26"/>
    </row>
    <row r="550" spans="2:7" hidden="1" x14ac:dyDescent="0.5">
      <c r="B550" s="1" t="s">
        <v>1194</v>
      </c>
      <c r="C550" s="1" t="s">
        <v>1526</v>
      </c>
      <c r="D550" s="1" t="s">
        <v>1325</v>
      </c>
      <c r="E550" s="26">
        <v>44586</v>
      </c>
      <c r="F550" s="26">
        <v>44628</v>
      </c>
      <c r="G550" s="26"/>
    </row>
    <row r="551" spans="2:7" hidden="1" x14ac:dyDescent="0.5">
      <c r="B551" s="1" t="s">
        <v>1196</v>
      </c>
      <c r="C551" s="1" t="s">
        <v>1526</v>
      </c>
      <c r="D551" s="1" t="s">
        <v>1324</v>
      </c>
      <c r="E551" s="26">
        <v>44586</v>
      </c>
      <c r="F551" s="26">
        <v>44624</v>
      </c>
      <c r="G551" s="26"/>
    </row>
    <row r="552" spans="2:7" hidden="1" x14ac:dyDescent="0.5">
      <c r="B552" s="1" t="s">
        <v>1198</v>
      </c>
      <c r="C552" s="1" t="s">
        <v>1526</v>
      </c>
      <c r="D552" s="1" t="s">
        <v>1324</v>
      </c>
      <c r="E552" s="26">
        <v>44587</v>
      </c>
      <c r="F552" s="26">
        <v>44628</v>
      </c>
      <c r="G552" s="26"/>
    </row>
    <row r="553" spans="2:7" hidden="1" x14ac:dyDescent="0.5">
      <c r="B553" s="1" t="s">
        <v>1200</v>
      </c>
      <c r="C553" s="1" t="s">
        <v>1526</v>
      </c>
      <c r="D553" s="1" t="s">
        <v>1324</v>
      </c>
      <c r="E553" s="26">
        <v>44588</v>
      </c>
      <c r="F553" s="26">
        <v>44631</v>
      </c>
      <c r="G553" s="26"/>
    </row>
    <row r="554" spans="2:7" hidden="1" x14ac:dyDescent="0.5">
      <c r="B554" s="1" t="s">
        <v>1202</v>
      </c>
      <c r="C554" s="1" t="s">
        <v>1526</v>
      </c>
      <c r="D554" s="1" t="s">
        <v>1324</v>
      </c>
      <c r="E554" s="26">
        <v>44589</v>
      </c>
      <c r="F554" s="26">
        <v>44632</v>
      </c>
      <c r="G554" s="26"/>
    </row>
    <row r="555" spans="2:7" x14ac:dyDescent="0.5">
      <c r="B555" s="1" t="s">
        <v>1204</v>
      </c>
      <c r="C555" s="1" t="s">
        <v>1526</v>
      </c>
      <c r="D555" s="1" t="s">
        <v>1324</v>
      </c>
      <c r="E555" s="26">
        <v>44590</v>
      </c>
      <c r="F555" s="26" t="s">
        <v>1527</v>
      </c>
      <c r="G555" s="26"/>
    </row>
    <row r="556" spans="2:7" hidden="1" x14ac:dyDescent="0.5">
      <c r="B556" s="1" t="s">
        <v>1208</v>
      </c>
      <c r="C556" s="1" t="s">
        <v>1526</v>
      </c>
      <c r="D556" s="1" t="s">
        <v>1324</v>
      </c>
      <c r="E556" s="26">
        <v>44592</v>
      </c>
      <c r="F556" s="26">
        <v>44626</v>
      </c>
      <c r="G556" s="26"/>
    </row>
    <row r="557" spans="2:7" x14ac:dyDescent="0.5">
      <c r="B557" s="1" t="s">
        <v>1206</v>
      </c>
      <c r="C557" s="1" t="s">
        <v>1526</v>
      </c>
      <c r="D557" s="1" t="s">
        <v>1324</v>
      </c>
      <c r="E557" s="26">
        <v>44592</v>
      </c>
      <c r="F557" s="26" t="s">
        <v>1527</v>
      </c>
      <c r="G557" s="26"/>
    </row>
    <row r="558" spans="2:7" hidden="1" x14ac:dyDescent="0.5">
      <c r="B558" s="1" t="s">
        <v>1210</v>
      </c>
      <c r="C558" s="1" t="s">
        <v>1526</v>
      </c>
      <c r="D558" s="1" t="s">
        <v>1324</v>
      </c>
      <c r="E558" s="26">
        <v>44594</v>
      </c>
      <c r="F558" s="26">
        <v>44634</v>
      </c>
      <c r="G558" s="26"/>
    </row>
    <row r="559" spans="2:7" hidden="1" x14ac:dyDescent="0.5">
      <c r="B559" s="1" t="s">
        <v>1212</v>
      </c>
      <c r="C559" s="1" t="s">
        <v>1526</v>
      </c>
      <c r="D559" s="1" t="s">
        <v>1324</v>
      </c>
      <c r="E559" s="26">
        <v>44594</v>
      </c>
      <c r="F559" s="26">
        <v>44624</v>
      </c>
      <c r="G559" s="26"/>
    </row>
    <row r="560" spans="2:7" hidden="1" x14ac:dyDescent="0.5">
      <c r="B560" s="1" t="s">
        <v>1214</v>
      </c>
      <c r="C560" s="1" t="s">
        <v>1526</v>
      </c>
      <c r="D560" s="1" t="s">
        <v>1324</v>
      </c>
      <c r="E560" s="26">
        <v>44595</v>
      </c>
      <c r="F560" s="26">
        <v>44629</v>
      </c>
      <c r="G560" s="26"/>
    </row>
    <row r="561" spans="2:7" x14ac:dyDescent="0.5">
      <c r="B561" s="1" t="s">
        <v>1218</v>
      </c>
      <c r="C561" s="1" t="s">
        <v>1526</v>
      </c>
      <c r="D561" s="1" t="s">
        <v>1324</v>
      </c>
      <c r="E561" s="26">
        <v>44596</v>
      </c>
      <c r="F561" s="26" t="s">
        <v>1527</v>
      </c>
      <c r="G561" s="26"/>
    </row>
    <row r="562" spans="2:7" hidden="1" x14ac:dyDescent="0.5">
      <c r="B562" s="1" t="s">
        <v>1216</v>
      </c>
      <c r="C562" s="1" t="s">
        <v>1526</v>
      </c>
      <c r="D562" s="1" t="s">
        <v>1324</v>
      </c>
      <c r="E562" s="26">
        <v>44596</v>
      </c>
      <c r="F562" s="26">
        <v>44629</v>
      </c>
      <c r="G562" s="26"/>
    </row>
    <row r="563" spans="2:7" hidden="1" x14ac:dyDescent="0.5">
      <c r="B563" s="1" t="s">
        <v>1220</v>
      </c>
      <c r="C563" s="1" t="s">
        <v>1526</v>
      </c>
      <c r="D563" s="1" t="s">
        <v>1324</v>
      </c>
      <c r="E563" s="26">
        <v>44599</v>
      </c>
      <c r="F563" s="26">
        <v>44629</v>
      </c>
      <c r="G563" s="26"/>
    </row>
    <row r="564" spans="2:7" hidden="1" x14ac:dyDescent="0.5">
      <c r="B564" s="1" t="s">
        <v>1222</v>
      </c>
      <c r="C564" s="1" t="s">
        <v>1526</v>
      </c>
      <c r="D564" s="1" t="s">
        <v>1324</v>
      </c>
      <c r="E564" s="26">
        <v>44599</v>
      </c>
      <c r="F564" s="26">
        <v>44638</v>
      </c>
      <c r="G564" s="26"/>
    </row>
    <row r="565" spans="2:7" hidden="1" x14ac:dyDescent="0.5">
      <c r="B565" s="1" t="s">
        <v>1224</v>
      </c>
      <c r="C565" s="1" t="s">
        <v>1526</v>
      </c>
      <c r="D565" s="1" t="s">
        <v>1324</v>
      </c>
      <c r="E565" s="26">
        <v>44600</v>
      </c>
      <c r="F565" s="26">
        <v>44635</v>
      </c>
      <c r="G565" s="26"/>
    </row>
    <row r="566" spans="2:7" hidden="1" x14ac:dyDescent="0.5">
      <c r="B566" s="1" t="s">
        <v>1226</v>
      </c>
      <c r="C566" s="1" t="s">
        <v>1526</v>
      </c>
      <c r="D566" s="1" t="s">
        <v>1324</v>
      </c>
      <c r="E566" s="26">
        <v>44602</v>
      </c>
      <c r="F566" s="26">
        <v>44635</v>
      </c>
      <c r="G566" s="26"/>
    </row>
    <row r="567" spans="2:7" hidden="1" x14ac:dyDescent="0.5">
      <c r="B567" s="1" t="s">
        <v>1228</v>
      </c>
      <c r="C567" s="1" t="s">
        <v>1526</v>
      </c>
      <c r="D567" s="1" t="s">
        <v>1324</v>
      </c>
      <c r="E567" s="26">
        <v>44604</v>
      </c>
      <c r="F567" s="26">
        <v>44637</v>
      </c>
      <c r="G567" s="26"/>
    </row>
    <row r="568" spans="2:7" hidden="1" x14ac:dyDescent="0.5">
      <c r="B568" s="1" t="s">
        <v>1230</v>
      </c>
      <c r="C568" s="1" t="s">
        <v>1526</v>
      </c>
      <c r="D568" s="1" t="s">
        <v>1324</v>
      </c>
      <c r="E568" s="26">
        <v>44604</v>
      </c>
      <c r="F568" s="26">
        <v>44640</v>
      </c>
      <c r="G568" s="26"/>
    </row>
    <row r="569" spans="2:7" x14ac:dyDescent="0.5">
      <c r="B569" s="1" t="s">
        <v>1232</v>
      </c>
      <c r="C569" s="1" t="s">
        <v>1526</v>
      </c>
      <c r="D569" s="1" t="s">
        <v>1324</v>
      </c>
      <c r="E569" s="26">
        <v>44606</v>
      </c>
      <c r="F569" s="26" t="s">
        <v>1527</v>
      </c>
      <c r="G569" s="26"/>
    </row>
    <row r="570" spans="2:7" hidden="1" x14ac:dyDescent="0.5">
      <c r="B570" s="1" t="s">
        <v>1236</v>
      </c>
      <c r="C570" s="1" t="s">
        <v>1526</v>
      </c>
      <c r="D570" s="1" t="s">
        <v>1324</v>
      </c>
      <c r="E570" s="26">
        <v>44607</v>
      </c>
      <c r="F570" s="26">
        <v>44644</v>
      </c>
      <c r="G570" s="26"/>
    </row>
    <row r="571" spans="2:7" hidden="1" x14ac:dyDescent="0.5">
      <c r="B571" s="1" t="s">
        <v>1234</v>
      </c>
      <c r="C571" s="1" t="s">
        <v>1526</v>
      </c>
      <c r="D571" s="1" t="s">
        <v>1324</v>
      </c>
      <c r="E571" s="26">
        <v>44607</v>
      </c>
      <c r="F571" s="26">
        <v>44637</v>
      </c>
      <c r="G571" s="26"/>
    </row>
    <row r="572" spans="2:7" hidden="1" x14ac:dyDescent="0.5">
      <c r="B572" s="1" t="s">
        <v>1238</v>
      </c>
      <c r="C572" s="1" t="s">
        <v>1526</v>
      </c>
      <c r="D572" s="1" t="s">
        <v>1324</v>
      </c>
      <c r="E572" s="26">
        <v>44608</v>
      </c>
      <c r="F572" s="26">
        <v>44642</v>
      </c>
      <c r="G572" s="26"/>
    </row>
    <row r="573" spans="2:7" hidden="1" x14ac:dyDescent="0.5">
      <c r="B573" s="1" t="s">
        <v>1242</v>
      </c>
      <c r="C573" s="1" t="s">
        <v>1526</v>
      </c>
      <c r="D573" s="1" t="s">
        <v>1324</v>
      </c>
      <c r="E573" s="26">
        <v>44610</v>
      </c>
      <c r="F573" s="26">
        <v>44644</v>
      </c>
      <c r="G573" s="26"/>
    </row>
    <row r="574" spans="2:7" hidden="1" x14ac:dyDescent="0.5">
      <c r="B574" s="1" t="s">
        <v>1240</v>
      </c>
      <c r="C574" s="1" t="s">
        <v>1526</v>
      </c>
      <c r="D574" s="1" t="s">
        <v>1324</v>
      </c>
      <c r="E574" s="26">
        <v>44610</v>
      </c>
      <c r="F574" s="26">
        <v>44642</v>
      </c>
      <c r="G574" s="26"/>
    </row>
    <row r="575" spans="2:7" hidden="1" x14ac:dyDescent="0.5">
      <c r="B575" s="1" t="s">
        <v>1244</v>
      </c>
      <c r="C575" s="1" t="s">
        <v>1526</v>
      </c>
      <c r="D575" s="1" t="s">
        <v>1324</v>
      </c>
      <c r="E575" s="26">
        <v>44611</v>
      </c>
      <c r="F575" s="26">
        <v>44642</v>
      </c>
      <c r="G575" s="26"/>
    </row>
    <row r="576" spans="2:7" hidden="1" x14ac:dyDescent="0.5">
      <c r="B576" s="1" t="s">
        <v>1246</v>
      </c>
      <c r="C576" s="1" t="s">
        <v>1526</v>
      </c>
      <c r="D576" s="1" t="s">
        <v>1324</v>
      </c>
      <c r="E576" s="26">
        <v>44613</v>
      </c>
      <c r="F576" s="26">
        <v>44645</v>
      </c>
      <c r="G576" s="26"/>
    </row>
    <row r="577" spans="2:7" hidden="1" x14ac:dyDescent="0.5">
      <c r="B577" s="1" t="s">
        <v>1248</v>
      </c>
      <c r="C577" s="1" t="s">
        <v>1526</v>
      </c>
      <c r="D577" s="1" t="s">
        <v>1324</v>
      </c>
      <c r="E577" s="26">
        <v>44613</v>
      </c>
      <c r="F577" s="26">
        <v>44652</v>
      </c>
      <c r="G577" s="26"/>
    </row>
    <row r="578" spans="2:7" x14ac:dyDescent="0.5">
      <c r="B578" s="1" t="s">
        <v>1252</v>
      </c>
      <c r="C578" s="1" t="s">
        <v>1526</v>
      </c>
      <c r="D578" s="1" t="s">
        <v>1324</v>
      </c>
      <c r="E578" s="26">
        <v>44616</v>
      </c>
      <c r="F578" s="26" t="s">
        <v>1527</v>
      </c>
      <c r="G578" s="26"/>
    </row>
    <row r="579" spans="2:7" hidden="1" x14ac:dyDescent="0.5">
      <c r="B579" s="1" t="s">
        <v>1250</v>
      </c>
      <c r="C579" s="1" t="s">
        <v>1526</v>
      </c>
      <c r="D579" s="1" t="s">
        <v>1324</v>
      </c>
      <c r="E579" s="26">
        <v>44616</v>
      </c>
      <c r="F579" s="26">
        <v>44655</v>
      </c>
      <c r="G579" s="26"/>
    </row>
    <row r="580" spans="2:7" hidden="1" x14ac:dyDescent="0.5">
      <c r="B580" s="1" t="s">
        <v>1254</v>
      </c>
      <c r="C580" s="1" t="s">
        <v>1526</v>
      </c>
      <c r="D580" s="1" t="s">
        <v>1324</v>
      </c>
      <c r="E580" s="26">
        <v>44618</v>
      </c>
      <c r="F580" s="26">
        <v>44655</v>
      </c>
      <c r="G580" s="26"/>
    </row>
    <row r="581" spans="2:7" hidden="1" x14ac:dyDescent="0.5">
      <c r="B581" s="1" t="s">
        <v>1262</v>
      </c>
      <c r="C581" s="1" t="s">
        <v>1526</v>
      </c>
      <c r="D581" s="1" t="s">
        <v>1324</v>
      </c>
      <c r="E581" s="26">
        <v>44620</v>
      </c>
      <c r="F581" s="26">
        <v>44648</v>
      </c>
      <c r="G581" s="26"/>
    </row>
    <row r="582" spans="2:7" x14ac:dyDescent="0.5">
      <c r="B582" s="1" t="s">
        <v>1264</v>
      </c>
      <c r="C582" s="1" t="s">
        <v>1526</v>
      </c>
      <c r="D582" s="1" t="s">
        <v>1324</v>
      </c>
      <c r="E582" s="26">
        <v>44620</v>
      </c>
      <c r="F582" s="26" t="s">
        <v>1527</v>
      </c>
      <c r="G582" s="26"/>
    </row>
    <row r="583" spans="2:7" hidden="1" x14ac:dyDescent="0.5">
      <c r="B583" s="1" t="s">
        <v>1256</v>
      </c>
      <c r="C583" s="1" t="s">
        <v>1526</v>
      </c>
      <c r="D583" s="1" t="s">
        <v>1324</v>
      </c>
      <c r="E583" s="26">
        <v>44620</v>
      </c>
      <c r="F583" s="26">
        <v>44662</v>
      </c>
      <c r="G583" s="26"/>
    </row>
    <row r="584" spans="2:7" hidden="1" x14ac:dyDescent="0.5">
      <c r="B584" s="1" t="s">
        <v>1260</v>
      </c>
      <c r="C584" s="1" t="s">
        <v>1526</v>
      </c>
      <c r="D584" s="1" t="s">
        <v>1324</v>
      </c>
      <c r="E584" s="26">
        <v>44620</v>
      </c>
      <c r="F584" s="26">
        <v>44649</v>
      </c>
      <c r="G584" s="26"/>
    </row>
    <row r="585" spans="2:7" x14ac:dyDescent="0.5">
      <c r="B585" s="1" t="s">
        <v>1258</v>
      </c>
      <c r="C585" s="1" t="s">
        <v>1526</v>
      </c>
      <c r="D585" s="1" t="s">
        <v>1324</v>
      </c>
      <c r="E585" s="26">
        <v>44620</v>
      </c>
      <c r="F585" s="26" t="s">
        <v>1527</v>
      </c>
      <c r="G585" s="26"/>
    </row>
    <row r="586" spans="2:7" hidden="1" x14ac:dyDescent="0.5">
      <c r="B586" s="1" t="s">
        <v>1266</v>
      </c>
      <c r="C586" s="1" t="s">
        <v>1526</v>
      </c>
      <c r="D586" s="1" t="s">
        <v>1324</v>
      </c>
      <c r="E586" s="26">
        <v>44622</v>
      </c>
      <c r="F586" s="26">
        <v>44649</v>
      </c>
      <c r="G586" s="26"/>
    </row>
    <row r="587" spans="2:7" hidden="1" x14ac:dyDescent="0.5">
      <c r="B587" s="1" t="s">
        <v>1268</v>
      </c>
      <c r="C587" s="1" t="s">
        <v>1526</v>
      </c>
      <c r="D587" s="1" t="s">
        <v>1324</v>
      </c>
      <c r="E587" s="26">
        <v>44623</v>
      </c>
      <c r="F587" s="26">
        <v>44656</v>
      </c>
      <c r="G587" s="26"/>
    </row>
    <row r="588" spans="2:7" hidden="1" x14ac:dyDescent="0.5">
      <c r="B588" s="1" t="s">
        <v>1270</v>
      </c>
      <c r="C588" s="1" t="s">
        <v>1526</v>
      </c>
      <c r="D588" s="1" t="s">
        <v>1324</v>
      </c>
      <c r="E588" s="26">
        <v>44624</v>
      </c>
      <c r="F588" s="26">
        <v>44651</v>
      </c>
      <c r="G588" s="26"/>
    </row>
    <row r="589" spans="2:7" x14ac:dyDescent="0.5">
      <c r="B589" s="1" t="s">
        <v>1272</v>
      </c>
      <c r="C589" s="1" t="s">
        <v>1526</v>
      </c>
      <c r="D589" s="1" t="s">
        <v>1324</v>
      </c>
      <c r="E589" s="26">
        <v>44631</v>
      </c>
      <c r="F589" s="26" t="s">
        <v>1527</v>
      </c>
      <c r="G589" s="26"/>
    </row>
    <row r="590" spans="2:7" hidden="1" x14ac:dyDescent="0.5">
      <c r="B590" s="1" t="s">
        <v>1276</v>
      </c>
      <c r="C590" s="1" t="s">
        <v>1526</v>
      </c>
      <c r="D590" s="1" t="s">
        <v>1324</v>
      </c>
      <c r="E590" s="26">
        <v>44632</v>
      </c>
      <c r="F590" s="26">
        <v>44665</v>
      </c>
      <c r="G590" s="26"/>
    </row>
    <row r="591" spans="2:7" hidden="1" x14ac:dyDescent="0.5">
      <c r="B591" s="1" t="s">
        <v>1274</v>
      </c>
      <c r="C591" s="1" t="s">
        <v>1526</v>
      </c>
      <c r="D591" s="1" t="s">
        <v>1324</v>
      </c>
      <c r="E591" s="26">
        <v>44632</v>
      </c>
      <c r="F591" s="26">
        <v>44657</v>
      </c>
      <c r="G591" s="26"/>
    </row>
    <row r="592" spans="2:7" x14ac:dyDescent="0.5">
      <c r="B592" s="1" t="s">
        <v>1282</v>
      </c>
      <c r="C592" s="1" t="s">
        <v>1526</v>
      </c>
      <c r="D592" s="1" t="s">
        <v>1324</v>
      </c>
      <c r="E592" s="26">
        <v>44634</v>
      </c>
      <c r="F592" s="26" t="s">
        <v>1527</v>
      </c>
      <c r="G592" s="26"/>
    </row>
    <row r="593" spans="2:7" hidden="1" x14ac:dyDescent="0.5">
      <c r="B593" s="1" t="s">
        <v>1278</v>
      </c>
      <c r="C593" s="1" t="s">
        <v>1526</v>
      </c>
      <c r="D593" s="1" t="s">
        <v>1324</v>
      </c>
      <c r="E593" s="26">
        <v>44634</v>
      </c>
      <c r="F593" s="26">
        <v>44659</v>
      </c>
      <c r="G593" s="26"/>
    </row>
    <row r="594" spans="2:7" x14ac:dyDescent="0.5">
      <c r="B594" s="1" t="s">
        <v>1280</v>
      </c>
      <c r="C594" s="1" t="s">
        <v>1526</v>
      </c>
      <c r="D594" s="1" t="s">
        <v>1324</v>
      </c>
      <c r="E594" s="26">
        <v>44634</v>
      </c>
      <c r="F594" s="26" t="s">
        <v>1527</v>
      </c>
      <c r="G594" s="26"/>
    </row>
    <row r="595" spans="2:7" hidden="1" x14ac:dyDescent="0.5">
      <c r="B595" s="1" t="s">
        <v>1284</v>
      </c>
      <c r="C595" s="1" t="s">
        <v>1526</v>
      </c>
      <c r="D595" s="1" t="s">
        <v>1324</v>
      </c>
      <c r="E595" s="26">
        <v>44634</v>
      </c>
      <c r="F595" s="26">
        <v>44670</v>
      </c>
      <c r="G595" s="26"/>
    </row>
    <row r="596" spans="2:7" hidden="1" x14ac:dyDescent="0.5">
      <c r="B596" s="1" t="s">
        <v>1286</v>
      </c>
      <c r="C596" s="1" t="s">
        <v>1526</v>
      </c>
      <c r="D596" s="1" t="s">
        <v>1324</v>
      </c>
      <c r="E596" s="26">
        <v>44634</v>
      </c>
      <c r="F596" s="26">
        <v>44676</v>
      </c>
      <c r="G596" s="26"/>
    </row>
    <row r="597" spans="2:7" hidden="1" x14ac:dyDescent="0.5">
      <c r="B597" s="1" t="s">
        <v>1288</v>
      </c>
      <c r="C597" s="1" t="s">
        <v>1526</v>
      </c>
      <c r="D597" s="1" t="s">
        <v>1324</v>
      </c>
      <c r="E597" s="26">
        <v>44637</v>
      </c>
      <c r="F597" s="26">
        <v>44679</v>
      </c>
      <c r="G597" s="26"/>
    </row>
    <row r="598" spans="2:7" hidden="1" x14ac:dyDescent="0.5">
      <c r="B598" s="1" t="s">
        <v>1290</v>
      </c>
      <c r="C598" s="1" t="s">
        <v>1526</v>
      </c>
      <c r="D598" s="1" t="s">
        <v>1324</v>
      </c>
      <c r="E598" s="26">
        <v>44638</v>
      </c>
      <c r="F598" s="26">
        <v>44668</v>
      </c>
      <c r="G598" s="26"/>
    </row>
    <row r="599" spans="2:7" hidden="1" x14ac:dyDescent="0.5">
      <c r="B599" s="1" t="s">
        <v>1292</v>
      </c>
      <c r="C599" s="1" t="s">
        <v>1526</v>
      </c>
      <c r="D599" s="1" t="s">
        <v>1324</v>
      </c>
      <c r="E599" s="26">
        <v>44639</v>
      </c>
      <c r="F599" s="26">
        <v>44675</v>
      </c>
      <c r="G599" s="26"/>
    </row>
    <row r="600" spans="2:7" hidden="1" x14ac:dyDescent="0.5">
      <c r="B600" s="1" t="s">
        <v>1296</v>
      </c>
      <c r="C600" s="1" t="s">
        <v>1526</v>
      </c>
      <c r="D600" s="1" t="s">
        <v>1324</v>
      </c>
      <c r="E600" s="26">
        <v>44641</v>
      </c>
      <c r="F600" s="26">
        <v>44669</v>
      </c>
      <c r="G600" s="26"/>
    </row>
    <row r="601" spans="2:7" hidden="1" x14ac:dyDescent="0.5">
      <c r="B601" s="1" t="s">
        <v>1298</v>
      </c>
      <c r="C601" s="1" t="s">
        <v>1526</v>
      </c>
      <c r="D601" s="1" t="s">
        <v>1324</v>
      </c>
      <c r="E601" s="26">
        <v>44641</v>
      </c>
      <c r="F601" s="26">
        <v>44671</v>
      </c>
      <c r="G601" s="26"/>
    </row>
    <row r="602" spans="2:7" hidden="1" x14ac:dyDescent="0.5">
      <c r="B602" s="1" t="s">
        <v>1294</v>
      </c>
      <c r="C602" s="1" t="s">
        <v>1526</v>
      </c>
      <c r="D602" s="1" t="s">
        <v>1324</v>
      </c>
      <c r="E602" s="26">
        <v>44641</v>
      </c>
      <c r="F602" s="26">
        <v>44670</v>
      </c>
      <c r="G602" s="26"/>
    </row>
    <row r="603" spans="2:7" s="2" customFormat="1" hidden="1" x14ac:dyDescent="0.5">
      <c r="B603" s="2" t="s">
        <v>1483</v>
      </c>
      <c r="C603" s="2" t="s">
        <v>1528</v>
      </c>
      <c r="D603" s="2" t="s">
        <v>1324</v>
      </c>
      <c r="E603" s="3" t="s">
        <v>1529</v>
      </c>
      <c r="F603" s="2" t="s">
        <v>1529</v>
      </c>
      <c r="G603" s="3"/>
    </row>
    <row r="604" spans="2:7" hidden="1" x14ac:dyDescent="0.5">
      <c r="B604" s="1" t="s">
        <v>1485</v>
      </c>
      <c r="C604" s="1" t="s">
        <v>1528</v>
      </c>
      <c r="D604" s="1" t="s">
        <v>1324</v>
      </c>
      <c r="E604" s="26" t="s">
        <v>1529</v>
      </c>
      <c r="F604" s="1" t="s">
        <v>1529</v>
      </c>
      <c r="G604" s="26"/>
    </row>
    <row r="605" spans="2:7" hidden="1" x14ac:dyDescent="0.5">
      <c r="B605" s="1" t="s">
        <v>1487</v>
      </c>
      <c r="C605" s="1" t="s">
        <v>1528</v>
      </c>
      <c r="D605" s="1" t="s">
        <v>1324</v>
      </c>
      <c r="E605" s="26" t="s">
        <v>1529</v>
      </c>
      <c r="F605" s="1" t="s">
        <v>1529</v>
      </c>
      <c r="G605" s="26"/>
    </row>
    <row r="606" spans="2:7" hidden="1" x14ac:dyDescent="0.5">
      <c r="B606" s="1" t="s">
        <v>1489</v>
      </c>
      <c r="C606" s="1" t="s">
        <v>1528</v>
      </c>
      <c r="D606" s="1" t="s">
        <v>1324</v>
      </c>
      <c r="E606" s="26" t="s">
        <v>1529</v>
      </c>
      <c r="F606" s="1" t="s">
        <v>1529</v>
      </c>
      <c r="G606" s="26"/>
    </row>
    <row r="607" spans="2:7" hidden="1" x14ac:dyDescent="0.5">
      <c r="B607" s="1" t="s">
        <v>1491</v>
      </c>
      <c r="C607" s="1" t="s">
        <v>1528</v>
      </c>
      <c r="D607" s="1" t="s">
        <v>1324</v>
      </c>
      <c r="E607" s="26" t="s">
        <v>1529</v>
      </c>
      <c r="F607" s="1" t="s">
        <v>1529</v>
      </c>
      <c r="G607" s="26"/>
    </row>
    <row r="608" spans="2:7" hidden="1" x14ac:dyDescent="0.5">
      <c r="B608" s="1" t="s">
        <v>1493</v>
      </c>
      <c r="C608" s="1" t="s">
        <v>1528</v>
      </c>
      <c r="D608" s="1" t="s">
        <v>1324</v>
      </c>
      <c r="E608" s="26" t="s">
        <v>1529</v>
      </c>
      <c r="F608" s="1" t="s">
        <v>1529</v>
      </c>
      <c r="G608" s="26"/>
    </row>
    <row r="609" spans="2:7" hidden="1" x14ac:dyDescent="0.5">
      <c r="B609" s="1" t="s">
        <v>1495</v>
      </c>
      <c r="C609" s="1" t="s">
        <v>1528</v>
      </c>
      <c r="D609" s="1" t="s">
        <v>1324</v>
      </c>
      <c r="E609" s="26" t="s">
        <v>1529</v>
      </c>
      <c r="F609" s="1" t="s">
        <v>1529</v>
      </c>
      <c r="G609" s="26"/>
    </row>
    <row r="610" spans="2:7" hidden="1" x14ac:dyDescent="0.5">
      <c r="B610" s="1" t="s">
        <v>1497</v>
      </c>
      <c r="C610" s="1" t="s">
        <v>1528</v>
      </c>
      <c r="D610" s="1" t="s">
        <v>1324</v>
      </c>
      <c r="E610" s="26" t="s">
        <v>1529</v>
      </c>
      <c r="F610" s="1" t="s">
        <v>1529</v>
      </c>
      <c r="G610" s="26"/>
    </row>
    <row r="611" spans="2:7" hidden="1" x14ac:dyDescent="0.5">
      <c r="B611" s="1" t="s">
        <v>1499</v>
      </c>
      <c r="C611" s="1" t="s">
        <v>1528</v>
      </c>
      <c r="D611" s="1" t="s">
        <v>1324</v>
      </c>
      <c r="E611" s="26" t="s">
        <v>1529</v>
      </c>
      <c r="F611" s="1" t="s">
        <v>1529</v>
      </c>
      <c r="G611" s="26"/>
    </row>
    <row r="612" spans="2:7" hidden="1" x14ac:dyDescent="0.5">
      <c r="B612" s="1" t="s">
        <v>1500</v>
      </c>
      <c r="C612" s="1" t="s">
        <v>1528</v>
      </c>
      <c r="D612" s="1" t="s">
        <v>1324</v>
      </c>
      <c r="E612" s="26" t="s">
        <v>1529</v>
      </c>
      <c r="F612" s="1" t="s">
        <v>1529</v>
      </c>
      <c r="G612" s="26"/>
    </row>
    <row r="613" spans="2:7" hidden="1" x14ac:dyDescent="0.5">
      <c r="B613" s="1" t="s">
        <v>1502</v>
      </c>
      <c r="C613" s="1" t="s">
        <v>1528</v>
      </c>
      <c r="D613" s="1" t="s">
        <v>1324</v>
      </c>
      <c r="E613" s="26" t="s">
        <v>1529</v>
      </c>
      <c r="F613" s="1" t="s">
        <v>1529</v>
      </c>
      <c r="G613" s="26"/>
    </row>
    <row r="614" spans="2:7" hidden="1" x14ac:dyDescent="0.5">
      <c r="B614" s="1" t="s">
        <v>1503</v>
      </c>
      <c r="C614" s="1" t="s">
        <v>1528</v>
      </c>
      <c r="D614" s="1" t="s">
        <v>1324</v>
      </c>
      <c r="E614" s="26" t="s">
        <v>1529</v>
      </c>
      <c r="F614" s="1" t="s">
        <v>1529</v>
      </c>
      <c r="G614" s="26"/>
    </row>
    <row r="615" spans="2:7" hidden="1" x14ac:dyDescent="0.5">
      <c r="B615" s="1" t="s">
        <v>1504</v>
      </c>
      <c r="C615" s="1" t="s">
        <v>1528</v>
      </c>
      <c r="D615" s="1" t="s">
        <v>1324</v>
      </c>
      <c r="E615" s="26" t="s">
        <v>1529</v>
      </c>
      <c r="F615" s="1" t="s">
        <v>1529</v>
      </c>
      <c r="G615" s="26"/>
    </row>
    <row r="616" spans="2:7" hidden="1" x14ac:dyDescent="0.5">
      <c r="B616" s="1" t="s">
        <v>1506</v>
      </c>
      <c r="C616" s="1" t="s">
        <v>1528</v>
      </c>
      <c r="D616" s="1" t="s">
        <v>1324</v>
      </c>
      <c r="E616" s="26" t="s">
        <v>1529</v>
      </c>
      <c r="F616" s="1" t="s">
        <v>1529</v>
      </c>
      <c r="G616" s="26"/>
    </row>
    <row r="617" spans="2:7" hidden="1" x14ac:dyDescent="0.5">
      <c r="B617" s="1" t="s">
        <v>1508</v>
      </c>
      <c r="C617" s="1" t="s">
        <v>1528</v>
      </c>
      <c r="D617" s="1" t="s">
        <v>1324</v>
      </c>
      <c r="E617" s="26" t="s">
        <v>1529</v>
      </c>
      <c r="F617" s="1" t="s">
        <v>1529</v>
      </c>
      <c r="G617" s="26"/>
    </row>
    <row r="618" spans="2:7" hidden="1" x14ac:dyDescent="0.5">
      <c r="B618" s="1" t="s">
        <v>1510</v>
      </c>
      <c r="C618" s="1" t="s">
        <v>1528</v>
      </c>
      <c r="D618" s="1" t="s">
        <v>1324</v>
      </c>
      <c r="E618" s="26" t="s">
        <v>1529</v>
      </c>
      <c r="F618" s="1" t="s">
        <v>1529</v>
      </c>
      <c r="G618" s="26"/>
    </row>
    <row r="619" spans="2:7" hidden="1" x14ac:dyDescent="0.5">
      <c r="B619" s="1" t="s">
        <v>1512</v>
      </c>
      <c r="C619" s="1" t="s">
        <v>1528</v>
      </c>
      <c r="D619" s="1" t="s">
        <v>1324</v>
      </c>
      <c r="E619" s="26" t="s">
        <v>1529</v>
      </c>
      <c r="F619" s="1" t="s">
        <v>1529</v>
      </c>
      <c r="G619" s="26"/>
    </row>
    <row r="620" spans="2:7" hidden="1" x14ac:dyDescent="0.5">
      <c r="B620" s="1" t="s">
        <v>1513</v>
      </c>
      <c r="C620" s="1" t="s">
        <v>1528</v>
      </c>
      <c r="D620" s="1" t="s">
        <v>1324</v>
      </c>
      <c r="E620" s="26" t="s">
        <v>1529</v>
      </c>
      <c r="F620" s="1" t="s">
        <v>1529</v>
      </c>
      <c r="G620" s="26"/>
    </row>
    <row r="621" spans="2:7" hidden="1" x14ac:dyDescent="0.5">
      <c r="B621" s="1" t="s">
        <v>1514</v>
      </c>
      <c r="C621" s="1" t="s">
        <v>1528</v>
      </c>
      <c r="D621" s="1" t="s">
        <v>1324</v>
      </c>
      <c r="E621" s="26" t="s">
        <v>1529</v>
      </c>
      <c r="F621" s="1" t="s">
        <v>1529</v>
      </c>
      <c r="G621" s="26"/>
    </row>
    <row r="622" spans="2:7" hidden="1" x14ac:dyDescent="0.5">
      <c r="B622" s="1" t="s">
        <v>1516</v>
      </c>
      <c r="C622" s="1" t="s">
        <v>1528</v>
      </c>
      <c r="D622" s="1" t="s">
        <v>1324</v>
      </c>
      <c r="E622" s="26" t="s">
        <v>1529</v>
      </c>
      <c r="F622" s="1" t="s">
        <v>1529</v>
      </c>
      <c r="G622" s="26"/>
    </row>
    <row r="623" spans="2:7" hidden="1" x14ac:dyDescent="0.5">
      <c r="B623" s="1" t="s">
        <v>1518</v>
      </c>
      <c r="C623" s="1" t="s">
        <v>1528</v>
      </c>
      <c r="D623" s="1" t="s">
        <v>1324</v>
      </c>
      <c r="E623" s="26" t="s">
        <v>1529</v>
      </c>
      <c r="F623" s="1" t="s">
        <v>1529</v>
      </c>
      <c r="G623" s="26"/>
    </row>
    <row r="624" spans="2:7" hidden="1" x14ac:dyDescent="0.5">
      <c r="B624" s="1" t="s">
        <v>1520</v>
      </c>
      <c r="C624" s="1" t="s">
        <v>1528</v>
      </c>
      <c r="D624" s="1" t="s">
        <v>1324</v>
      </c>
      <c r="E624" s="26" t="s">
        <v>1529</v>
      </c>
      <c r="F624" s="1" t="s">
        <v>1529</v>
      </c>
      <c r="G624" s="26"/>
    </row>
    <row r="625" spans="2:7" hidden="1" x14ac:dyDescent="0.5">
      <c r="B625" s="1" t="s">
        <v>1522</v>
      </c>
      <c r="C625" s="1" t="s">
        <v>1528</v>
      </c>
      <c r="D625" s="1" t="s">
        <v>1324</v>
      </c>
      <c r="E625" s="26" t="s">
        <v>1529</v>
      </c>
      <c r="F625" s="1" t="s">
        <v>1529</v>
      </c>
      <c r="G625" s="26"/>
    </row>
  </sheetData>
  <autoFilter ref="B2:F625">
    <filterColumn colId="4">
      <filters>
        <filter val="Pending"/>
      </filters>
    </filterColumn>
    <sortState ref="B3:F625">
      <sortCondition ref="E2:E625"/>
    </sortState>
  </autoFilter>
  <conditionalFormatting sqref="B3:B62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zoomScale="90" zoomScaleNormal="90" workbookViewId="0">
      <selection activeCell="B2" sqref="B2"/>
    </sheetView>
  </sheetViews>
  <sheetFormatPr defaultRowHeight="17.5" x14ac:dyDescent="0.5"/>
  <cols>
    <col min="1" max="16384" width="8.7265625" style="1"/>
  </cols>
  <sheetData>
    <row r="2" spans="2:7" x14ac:dyDescent="0.5">
      <c r="B2" s="1" t="s">
        <v>1314</v>
      </c>
      <c r="F2" s="1" t="s">
        <v>1342</v>
      </c>
    </row>
    <row r="3" spans="2:7" x14ac:dyDescent="0.5">
      <c r="B3" s="1">
        <v>1</v>
      </c>
      <c r="C3" s="1" t="s">
        <v>1299</v>
      </c>
      <c r="F3" s="1">
        <v>1</v>
      </c>
      <c r="G3" s="1" t="s">
        <v>502</v>
      </c>
    </row>
    <row r="4" spans="2:7" x14ac:dyDescent="0.5">
      <c r="B4" s="1">
        <v>2</v>
      </c>
      <c r="C4" s="1" t="s">
        <v>1300</v>
      </c>
      <c r="F4" s="1">
        <v>2</v>
      </c>
      <c r="G4" s="1" t="s">
        <v>535</v>
      </c>
    </row>
    <row r="5" spans="2:7" x14ac:dyDescent="0.5">
      <c r="B5" s="1">
        <v>3</v>
      </c>
      <c r="C5" s="1" t="s">
        <v>1301</v>
      </c>
      <c r="F5" s="1">
        <v>3</v>
      </c>
      <c r="G5" s="1" t="s">
        <v>574</v>
      </c>
    </row>
    <row r="6" spans="2:7" x14ac:dyDescent="0.5">
      <c r="B6" s="1">
        <v>4</v>
      </c>
      <c r="C6" s="1" t="s">
        <v>1302</v>
      </c>
      <c r="F6" s="1">
        <v>4</v>
      </c>
      <c r="G6" s="1" t="s">
        <v>16</v>
      </c>
    </row>
    <row r="7" spans="2:7" x14ac:dyDescent="0.5">
      <c r="B7" s="1">
        <v>5</v>
      </c>
      <c r="C7" s="1" t="s">
        <v>1303</v>
      </c>
      <c r="F7" s="1">
        <v>5</v>
      </c>
      <c r="G7" s="1" t="s">
        <v>96</v>
      </c>
    </row>
    <row r="8" spans="2:7" x14ac:dyDescent="0.5">
      <c r="B8" s="1">
        <v>6</v>
      </c>
      <c r="C8" s="1" t="s">
        <v>1304</v>
      </c>
      <c r="F8" s="1">
        <v>6</v>
      </c>
      <c r="G8" s="1" t="s">
        <v>163</v>
      </c>
    </row>
    <row r="9" spans="2:7" x14ac:dyDescent="0.5">
      <c r="B9" s="1">
        <v>7</v>
      </c>
      <c r="C9" s="1" t="s">
        <v>1305</v>
      </c>
      <c r="F9" s="1">
        <v>7</v>
      </c>
      <c r="G9" s="1" t="s">
        <v>216</v>
      </c>
    </row>
    <row r="10" spans="2:7" x14ac:dyDescent="0.5">
      <c r="F10" s="1">
        <v>8</v>
      </c>
      <c r="G10" s="1" t="s">
        <v>277</v>
      </c>
    </row>
    <row r="11" spans="2:7" x14ac:dyDescent="0.5">
      <c r="F11" s="1">
        <v>9</v>
      </c>
      <c r="G11" s="1" t="s">
        <v>321</v>
      </c>
    </row>
    <row r="12" spans="2:7" x14ac:dyDescent="0.5">
      <c r="F12" s="1">
        <v>10</v>
      </c>
      <c r="G12" s="1" t="s">
        <v>383</v>
      </c>
    </row>
    <row r="13" spans="2:7" x14ac:dyDescent="0.5">
      <c r="F13" s="1">
        <v>11</v>
      </c>
      <c r="G13" s="1" t="s">
        <v>428</v>
      </c>
    </row>
    <row r="14" spans="2:7" x14ac:dyDescent="0.5">
      <c r="F14" s="1">
        <v>12</v>
      </c>
      <c r="G14" s="1" t="s">
        <v>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F5557B-23AB-4062-BD50-81CE4460CA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Test 1,2</vt:lpstr>
      <vt:lpstr>Test 3</vt:lpstr>
      <vt:lpstr>Test 4</vt:lpstr>
      <vt:lpstr>Test 5</vt:lpstr>
      <vt:lpstr>Test 6</vt:lpstr>
      <vt:lpstr>Test 7</vt:lpstr>
      <vt:lpstr>Test 8</vt:lpstr>
      <vt:lpstr>Test 9</vt:lpstr>
      <vt:lpstr>Data - Customer Master</vt:lpstr>
      <vt:lpstr>Data - Employee Rights Master</vt:lpstr>
      <vt:lpstr>Data - Receivables Tracker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2026-10-12T15:10:53Z</dcterms:modified>
</cp:coreProperties>
</file>