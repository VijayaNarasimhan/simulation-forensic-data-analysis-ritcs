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Annexure 1" sheetId="1" r:id="rId1"/>
    <sheet name="Annexure 2" sheetId="2" r:id="rId2"/>
    <sheet name="Annexure 3" sheetId="6" r:id="rId3"/>
    <sheet name="Annexure 4" sheetId="3" r:id="rId4"/>
    <sheet name="Annexure 5" sheetId="4" r:id="rId5"/>
    <sheet name="Annexure 6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<sst xmlns="http://schemas.openxmlformats.org/spreadsheetml/2006/main" count="596" uniqueCount="199">
  <si>
    <t>S. No.</t>
  </si>
  <si>
    <t>Transaction Id</t>
  </si>
  <si>
    <t xml:space="preserve"> Invoice Number</t>
  </si>
  <si>
    <t>Unique Contract No.</t>
  </si>
  <si>
    <t xml:space="preserve"> Customer Id</t>
  </si>
  <si>
    <t xml:space="preserve"> Invoice Date</t>
  </si>
  <si>
    <t xml:space="preserve"> Posted Timestamp</t>
  </si>
  <si>
    <t xml:space="preserve"> Service Period</t>
  </si>
  <si>
    <t xml:space="preserve"> Recorded Revenue</t>
  </si>
  <si>
    <t xml:space="preserve"> Currency</t>
  </si>
  <si>
    <t xml:space="preserve"> Tax Amount</t>
  </si>
  <si>
    <t xml:space="preserve"> Creator Id</t>
  </si>
  <si>
    <t xml:space="preserve"> Approver Id</t>
  </si>
  <si>
    <t>2122R81752</t>
  </si>
  <si>
    <t>CC714760</t>
  </si>
  <si>
    <t>C239</t>
  </si>
  <si>
    <t>May</t>
  </si>
  <si>
    <t>INR</t>
  </si>
  <si>
    <t>E123</t>
  </si>
  <si>
    <t>E125</t>
  </si>
  <si>
    <t>2122C71512</t>
  </si>
  <si>
    <t>CC464231</t>
  </si>
  <si>
    <t>E126</t>
  </si>
  <si>
    <t>2122S11948</t>
  </si>
  <si>
    <t>CC551324</t>
  </si>
  <si>
    <t>C240</t>
  </si>
  <si>
    <t>2122T61344</t>
  </si>
  <si>
    <t>CC117699</t>
  </si>
  <si>
    <t>2122K21518</t>
  </si>
  <si>
    <t>CC609741</t>
  </si>
  <si>
    <t>C236</t>
  </si>
  <si>
    <t>2122D91262</t>
  </si>
  <si>
    <t>CC889005</t>
  </si>
  <si>
    <t>Jun</t>
  </si>
  <si>
    <t>E124</t>
  </si>
  <si>
    <t>2122J41040</t>
  </si>
  <si>
    <t>CC758767</t>
  </si>
  <si>
    <t>2122R41764</t>
  </si>
  <si>
    <t>CC958168</t>
  </si>
  <si>
    <t>Jul</t>
  </si>
  <si>
    <t>2122O71438</t>
  </si>
  <si>
    <t>CC504719</t>
  </si>
  <si>
    <t>2122E11145</t>
  </si>
  <si>
    <t>CC483508</t>
  </si>
  <si>
    <t>2122Q91600</t>
  </si>
  <si>
    <t>CC158828</t>
  </si>
  <si>
    <t>Aug</t>
  </si>
  <si>
    <t>2122U71686</t>
  </si>
  <si>
    <t>CC859081</t>
  </si>
  <si>
    <t>2122N91580</t>
  </si>
  <si>
    <t>CC816936</t>
  </si>
  <si>
    <t>C237</t>
  </si>
  <si>
    <t>2122W31596</t>
  </si>
  <si>
    <t>CC206586</t>
  </si>
  <si>
    <t>C238</t>
  </si>
  <si>
    <t>Sep</t>
  </si>
  <si>
    <t>2122Q21787</t>
  </si>
  <si>
    <t>CC404319</t>
  </si>
  <si>
    <t>2122X31193</t>
  </si>
  <si>
    <t>CC412329</t>
  </si>
  <si>
    <t>2122T51475</t>
  </si>
  <si>
    <t>CC508805</t>
  </si>
  <si>
    <t>Nov</t>
  </si>
  <si>
    <t>2122Y91398</t>
  </si>
  <si>
    <t>CC986010</t>
  </si>
  <si>
    <t>2122W41943</t>
  </si>
  <si>
    <t>CC214748</t>
  </si>
  <si>
    <t>2122P31983</t>
  </si>
  <si>
    <t>CC624674</t>
  </si>
  <si>
    <t>Dec</t>
  </si>
  <si>
    <t>2122L21946</t>
  </si>
  <si>
    <t>CC394417</t>
  </si>
  <si>
    <t>2122T71144</t>
  </si>
  <si>
    <t>CC862577</t>
  </si>
  <si>
    <t>2122W41847</t>
  </si>
  <si>
    <t>CC763477</t>
  </si>
  <si>
    <t>2122O71884</t>
  </si>
  <si>
    <t>CC998662</t>
  </si>
  <si>
    <t>2122K21209</t>
  </si>
  <si>
    <t>CC805139</t>
  </si>
  <si>
    <t>Jan</t>
  </si>
  <si>
    <t>2122U61368</t>
  </si>
  <si>
    <t>CC332796</t>
  </si>
  <si>
    <t>2122W81761</t>
  </si>
  <si>
    <t>CC672893</t>
  </si>
  <si>
    <t>Row Labels</t>
  </si>
  <si>
    <t>Sum of  Recorded Revenue</t>
  </si>
  <si>
    <t>2020</t>
  </si>
  <si>
    <t>Apr</t>
  </si>
  <si>
    <t>Oct</t>
  </si>
  <si>
    <t>2021</t>
  </si>
  <si>
    <t>Feb</t>
  </si>
  <si>
    <t>Mar</t>
  </si>
  <si>
    <t>2022</t>
  </si>
  <si>
    <t>Grand Total</t>
  </si>
  <si>
    <t>FY 2020-21</t>
  </si>
  <si>
    <t>FY 2021-22</t>
  </si>
  <si>
    <t>Increase</t>
  </si>
  <si>
    <t>Significant increase is observed</t>
  </si>
  <si>
    <t>Concerns in Month wise trend analysis (Test 4)</t>
  </si>
  <si>
    <t>Customer Spread analysis (Test 6)</t>
  </si>
  <si>
    <t>Total Revenue (Two years)</t>
  </si>
  <si>
    <t>No. of parties</t>
  </si>
  <si>
    <t>Avg revenue per party (in Lakhs)</t>
  </si>
  <si>
    <t>RP</t>
  </si>
  <si>
    <t>Non RP</t>
  </si>
  <si>
    <t>Column Labels</t>
  </si>
  <si>
    <t>NON-RP</t>
  </si>
  <si>
    <t>Chart for outstanding reveivables - Customer wise + Value of revenue + Days outanding</t>
  </si>
  <si>
    <t>Summary of receivable analysis - RP &amp; Non-RP (Test 8)</t>
  </si>
  <si>
    <t>Sum of Value of transaction</t>
  </si>
  <si>
    <t>Red Flag</t>
  </si>
  <si>
    <t>Pass</t>
  </si>
  <si>
    <t>Amber IT Pvt Ltd</t>
  </si>
  <si>
    <t>Chartreuse Software Pvt Ltd</t>
  </si>
  <si>
    <t>Forest Green IT Ltd</t>
  </si>
  <si>
    <t>Mint IT Pvt Ltd</t>
  </si>
  <si>
    <t>Mustard IT Ltd</t>
  </si>
  <si>
    <t>NOT RP</t>
  </si>
  <si>
    <t>Time series results</t>
  </si>
  <si>
    <t>Qtr2</t>
  </si>
  <si>
    <t>Qtr3</t>
  </si>
  <si>
    <t>Qtr4</t>
  </si>
  <si>
    <t>Qtr1</t>
  </si>
  <si>
    <t>Employee ID</t>
  </si>
  <si>
    <t>Level</t>
  </si>
  <si>
    <t>ESOP Shares</t>
  </si>
  <si>
    <t>SM</t>
  </si>
  <si>
    <t>CM</t>
  </si>
  <si>
    <t>CFO</t>
  </si>
  <si>
    <t>Revenue Spread - Pre-Cut off Testing &amp; Near-Threshold Testing (Test 5)</t>
  </si>
  <si>
    <t>Year-wise trend Analysis (Test 4)</t>
  </si>
  <si>
    <t>Red Flag entries in transaction time-screeing (Test 3)</t>
  </si>
  <si>
    <t>Mapping Employee codes from Red Flag entries from Transaction time-screening (Test 9)</t>
  </si>
  <si>
    <t>Summary of transactions value spread (Test 5)</t>
  </si>
  <si>
    <t>Count of  Recorded Revenue2</t>
  </si>
  <si>
    <t>FY 20-21</t>
  </si>
  <si>
    <t>40L to 50L</t>
  </si>
  <si>
    <t>50L and above</t>
  </si>
  <si>
    <t>Below 30L</t>
  </si>
  <si>
    <t>FY 21-22</t>
  </si>
  <si>
    <t>Summary of transactions in 40L to 50L range(Test 5)</t>
  </si>
  <si>
    <t>2021A01928</t>
  </si>
  <si>
    <t>CC369548</t>
  </si>
  <si>
    <t>C213</t>
  </si>
  <si>
    <t>2021B41966</t>
  </si>
  <si>
    <t>CC731431</t>
  </si>
  <si>
    <t>2021T91070</t>
  </si>
  <si>
    <t>CC651707</t>
  </si>
  <si>
    <t>C202</t>
  </si>
  <si>
    <t>2021U91067</t>
  </si>
  <si>
    <t>CC625217</t>
  </si>
  <si>
    <t>C215</t>
  </si>
  <si>
    <t>2122R41436</t>
  </si>
  <si>
    <t>CC113941</t>
  </si>
  <si>
    <t>C229</t>
  </si>
  <si>
    <t>2122X51421</t>
  </si>
  <si>
    <t>CC414518</t>
  </si>
  <si>
    <t>C210</t>
  </si>
  <si>
    <t>2122K81299</t>
  </si>
  <si>
    <t>CC730025</t>
  </si>
  <si>
    <t>C245</t>
  </si>
  <si>
    <t>2122E81303</t>
  </si>
  <si>
    <t>CC295581</t>
  </si>
  <si>
    <t>C248</t>
  </si>
  <si>
    <t>2122I01269</t>
  </si>
  <si>
    <t>CC535979</t>
  </si>
  <si>
    <t>C222</t>
  </si>
  <si>
    <t>2122P91585</t>
  </si>
  <si>
    <t>CC538768</t>
  </si>
  <si>
    <t>C212</t>
  </si>
  <si>
    <t>2122E31833</t>
  </si>
  <si>
    <t>CC102948</t>
  </si>
  <si>
    <t>C242</t>
  </si>
  <si>
    <t>2122j61071</t>
  </si>
  <si>
    <t>CC833477</t>
  </si>
  <si>
    <t>C227</t>
  </si>
  <si>
    <t>2122Q11447</t>
  </si>
  <si>
    <t>CC910656</t>
  </si>
  <si>
    <t>C220</t>
  </si>
  <si>
    <t>2122Q61371</t>
  </si>
  <si>
    <t>CC108757</t>
  </si>
  <si>
    <t>C241</t>
  </si>
  <si>
    <t>2122D81367</t>
  </si>
  <si>
    <t>CC904214</t>
  </si>
  <si>
    <t>E122</t>
  </si>
  <si>
    <t>FY wise breakup</t>
  </si>
  <si>
    <t>% of Total (from above)</t>
  </si>
  <si>
    <t>FY</t>
  </si>
  <si>
    <t>100 days and above</t>
  </si>
  <si>
    <t>Below 100 days</t>
  </si>
  <si>
    <t>Below 50 days</t>
  </si>
  <si>
    <t>Time-Screen test</t>
  </si>
  <si>
    <t>Count of Time-Screen test</t>
  </si>
  <si>
    <t>No of times change is approx. 40%</t>
  </si>
  <si>
    <t>Value of recorded revenue</t>
  </si>
  <si>
    <t>No of revenue transactions</t>
  </si>
  <si>
    <t>% Change in recorded revenue</t>
  </si>
  <si>
    <t>% Change in no of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</si>
</sst>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[$-F400]h:mm:ss\ AM/PM"/>
    <numFmt numFmtId="165" formatCode="_ * #,##0_ ;_ * \-#,##0_ ;_ * &quot;-&quot;??_ ;_ @_ "/>
    <numFmt numFmtId="166" formatCode="_ * #,##0.0_ ;_ * \-#,##0.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.5"/>
      <color theme="1"/>
      <name val="Malgun Gothic"/>
      <family val="2"/>
    </font>
    <font>
      <b/>
      <u/>
      <sz val="10.5"/>
      <color theme="1"/>
      <name val="Malgun Gothic"/>
      <family val="2"/>
    </font>
    <font>
      <b/>
      <sz val="10.5"/>
      <color theme="1"/>
      <name val="Malgun Gothic"/>
      <family val="2"/>
    </font>
    <font>
      <sz val="10.5"/>
      <name val="Malgun Gothic"/>
      <family val="2"/>
    </font>
    <font>
      <sz val="10.5"/>
      <color rgb="FFFF0000"/>
      <name val="Malgun Gothic"/>
      <family val="2"/>
    </font>
    <font>
      <b/>
      <sz val="10.5"/>
      <color rgb="FFFF0000"/>
      <name val="Malgun Gothic"/>
      <family val="2"/>
    </font>
    <font>
      <b/>
      <sz val="11"/>
      <color theme="1"/>
      <name val="Calibri"/>
      <family val="2"/>
      <scheme val="minor"/>
    </font>
    <font>
      <b/>
      <sz val="10.5"/>
      <name val="Malgun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7" tint="0.39997558519241921"/>
      </bottom>
      <diagonal/>
    </border>
    <border>
      <left/>
      <right/>
      <top style="thin">
        <color theme="7" tint="0.39997558519241921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 applyFill="1"/>
    <xf numFmtId="0" fontId="2" fillId="0" borderId="0" xfId="0" applyFont="1" applyFill="1"/>
    <xf numFmtId="0" fontId="4" fillId="0" borderId="1" xfId="0" applyFont="1" applyFill="1" applyBorder="1" applyAlignment="1">
      <alignment horizontal="center"/>
    </xf>
    <xf numFmtId="0" fontId="2" fillId="0" borderId="1" xfId="0" applyFont="1" applyFill="1" applyBorder="1"/>
    <xf numFmtId="0" fontId="2" fillId="0" borderId="1" xfId="0" applyNumberFormat="1" applyFont="1" applyFill="1" applyBorder="1"/>
    <xf numFmtId="0" fontId="5" fillId="0" borderId="1" xfId="0" applyFont="1" applyFill="1" applyBorder="1"/>
    <xf numFmtId="14" fontId="2" fillId="0" borderId="1" xfId="0" applyNumberFormat="1" applyFont="1" applyFill="1" applyBorder="1"/>
    <xf numFmtId="164" fontId="2" fillId="0" borderId="1" xfId="0" applyNumberFormat="1" applyFont="1" applyFill="1" applyBorder="1"/>
    <xf numFmtId="165" fontId="2" fillId="0" borderId="1" xfId="1" applyNumberFormat="1" applyFont="1" applyFill="1" applyBorder="1"/>
    <xf numFmtId="43" fontId="2" fillId="0" borderId="1" xfId="0" applyNumberFormat="1" applyFont="1" applyFill="1" applyBorder="1"/>
    <xf numFmtId="165" fontId="2" fillId="0" borderId="1" xfId="0" applyNumberFormat="1" applyFont="1" applyFill="1" applyBorder="1"/>
    <xf numFmtId="17" fontId="2" fillId="0" borderId="0" xfId="0" applyNumberFormat="1" applyFont="1" applyFill="1"/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 indent="1"/>
    </xf>
    <xf numFmtId="165" fontId="2" fillId="0" borderId="0" xfId="0" applyNumberFormat="1" applyFont="1"/>
    <xf numFmtId="0" fontId="4" fillId="2" borderId="2" xfId="0" applyFont="1" applyFill="1" applyBorder="1"/>
    <xf numFmtId="0" fontId="4" fillId="0" borderId="2" xfId="0" applyFont="1" applyBorder="1" applyAlignment="1">
      <alignment horizontal="left"/>
    </xf>
    <xf numFmtId="0" fontId="4" fillId="0" borderId="2" xfId="0" applyNumberFormat="1" applyFont="1" applyBorder="1"/>
    <xf numFmtId="165" fontId="4" fillId="0" borderId="2" xfId="0" applyNumberFormat="1" applyFont="1" applyBorder="1"/>
    <xf numFmtId="0" fontId="4" fillId="2" borderId="3" xfId="0" applyFont="1" applyFill="1" applyBorder="1" applyAlignment="1">
      <alignment horizontal="left"/>
    </xf>
    <xf numFmtId="165" fontId="4" fillId="2" borderId="3" xfId="0" applyNumberFormat="1" applyFont="1" applyFill="1" applyBorder="1"/>
    <xf numFmtId="0" fontId="3" fillId="0" borderId="0" xfId="0" applyFont="1"/>
    <xf numFmtId="10" fontId="2" fillId="0" borderId="0" xfId="0" applyNumberFormat="1" applyFont="1" applyFill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165" fontId="2" fillId="0" borderId="1" xfId="1" applyNumberFormat="1" applyFont="1" applyBorder="1"/>
    <xf numFmtId="0" fontId="2" fillId="2" borderId="2" xfId="0" applyFont="1" applyFill="1" applyBorder="1"/>
    <xf numFmtId="0" fontId="4" fillId="2" borderId="0" xfId="0" applyFont="1" applyFill="1"/>
    <xf numFmtId="166" fontId="4" fillId="0" borderId="2" xfId="0" applyNumberFormat="1" applyFont="1" applyBorder="1"/>
    <xf numFmtId="0" fontId="2" fillId="0" borderId="0" xfId="0" applyFont="1" applyAlignment="1">
      <alignment horizontal="left" indent="1"/>
    </xf>
    <xf numFmtId="0" fontId="4" fillId="3" borderId="0" xfId="0" applyFont="1" applyFill="1"/>
    <xf numFmtId="0" fontId="4" fillId="3" borderId="4" xfId="0" applyFont="1" applyFill="1" applyBorder="1"/>
    <xf numFmtId="0" fontId="4" fillId="3" borderId="4" xfId="0" applyFont="1" applyFill="1" applyBorder="1" applyAlignment="1">
      <alignment horizontal="center"/>
    </xf>
    <xf numFmtId="165" fontId="6" fillId="0" borderId="0" xfId="0" applyNumberFormat="1" applyFont="1"/>
    <xf numFmtId="0" fontId="4" fillId="3" borderId="5" xfId="0" applyFont="1" applyFill="1" applyBorder="1" applyAlignment="1">
      <alignment horizontal="left"/>
    </xf>
    <xf numFmtId="165" fontId="7" fillId="3" borderId="5" xfId="0" applyNumberFormat="1" applyFont="1" applyFill="1" applyBorder="1"/>
    <xf numFmtId="165" fontId="4" fillId="3" borderId="5" xfId="0" applyNumberFormat="1" applyFont="1" applyFill="1" applyBorder="1"/>
    <xf numFmtId="0" fontId="4" fillId="2" borderId="2" xfId="0" applyFont="1" applyFill="1" applyBorder="1" applyAlignment="1">
      <alignment horizontal="center"/>
    </xf>
    <xf numFmtId="165" fontId="0" fillId="0" borderId="0" xfId="0" applyNumberFormat="1"/>
    <xf numFmtId="0" fontId="0" fillId="0" borderId="0" xfId="0" applyNumberFormat="1"/>
    <xf numFmtId="0" fontId="0" fillId="0" borderId="0" xfId="0" applyAlignment="1">
      <alignment horizontal="left" indent="1"/>
    </xf>
    <xf numFmtId="0" fontId="8" fillId="2" borderId="2" xfId="0" applyFont="1" applyFill="1" applyBorder="1"/>
    <xf numFmtId="0" fontId="8" fillId="0" borderId="2" xfId="0" applyFont="1" applyBorder="1" applyAlignment="1">
      <alignment horizontal="left"/>
    </xf>
    <xf numFmtId="165" fontId="8" fillId="0" borderId="2" xfId="0" applyNumberFormat="1" applyFont="1" applyBorder="1"/>
    <xf numFmtId="0" fontId="8" fillId="0" borderId="2" xfId="0" applyNumberFormat="1" applyFont="1" applyBorder="1"/>
    <xf numFmtId="0" fontId="8" fillId="2" borderId="3" xfId="0" applyFont="1" applyFill="1" applyBorder="1" applyAlignment="1">
      <alignment horizontal="left"/>
    </xf>
    <xf numFmtId="165" fontId="8" fillId="2" borderId="3" xfId="0" applyNumberFormat="1" applyFont="1" applyFill="1" applyBorder="1"/>
    <xf numFmtId="0" fontId="8" fillId="2" borderId="3" xfId="0" applyNumberFormat="1" applyFont="1" applyFill="1" applyBorder="1"/>
    <xf numFmtId="165" fontId="2" fillId="4" borderId="1" xfId="1" applyNumberFormat="1" applyFont="1" applyFill="1" applyBorder="1"/>
    <xf numFmtId="14" fontId="2" fillId="5" borderId="1" xfId="0" applyNumberFormat="1" applyFont="1" applyFill="1" applyBorder="1"/>
    <xf numFmtId="43" fontId="2" fillId="0" borderId="0" xfId="1" applyFont="1"/>
    <xf numFmtId="0" fontId="4" fillId="0" borderId="0" xfId="0" applyFont="1" applyFill="1" applyBorder="1" applyAlignment="1">
      <alignment horizontal="left"/>
    </xf>
    <xf numFmtId="165" fontId="4" fillId="0" borderId="0" xfId="0" applyNumberFormat="1" applyFont="1" applyFill="1" applyBorder="1"/>
    <xf numFmtId="10" fontId="2" fillId="0" borderId="0" xfId="0" applyNumberFormat="1" applyFont="1"/>
    <xf numFmtId="0" fontId="4" fillId="2" borderId="0" xfId="0" applyFont="1" applyFill="1" applyAlignment="1">
      <alignment horizontal="center"/>
    </xf>
    <xf numFmtId="165" fontId="2" fillId="0" borderId="0" xfId="1" applyNumberFormat="1" applyFont="1" applyFill="1"/>
    <xf numFmtId="165" fontId="4" fillId="0" borderId="6" xfId="0" applyNumberFormat="1" applyFont="1" applyFill="1" applyBorder="1"/>
    <xf numFmtId="0" fontId="2" fillId="0" borderId="0" xfId="0" applyNumberFormat="1" applyFont="1"/>
    <xf numFmtId="0" fontId="4" fillId="2" borderId="3" xfId="0" applyNumberFormat="1" applyFont="1" applyFill="1" applyBorder="1"/>
    <xf numFmtId="0" fontId="4" fillId="0" borderId="0" xfId="0" applyNumberFormat="1" applyFont="1" applyFill="1" applyBorder="1"/>
    <xf numFmtId="0" fontId="4" fillId="3" borderId="0" xfId="0" applyFont="1" applyFill="1" applyAlignment="1">
      <alignment horizontal="center"/>
    </xf>
    <xf numFmtId="165" fontId="5" fillId="0" borderId="0" xfId="0" applyNumberFormat="1" applyFont="1"/>
    <xf numFmtId="10" fontId="2" fillId="0" borderId="0" xfId="0" applyNumberFormat="1" applyFont="1" applyAlignment="1">
      <alignment horizontal="right"/>
    </xf>
    <xf numFmtId="165" fontId="7" fillId="0" borderId="2" xfId="0" applyNumberFormat="1" applyFont="1" applyBorder="1"/>
    <xf numFmtId="165" fontId="9" fillId="0" borderId="2" xfId="0" applyNumberFormat="1" applyFont="1" applyBorder="1"/>
    <xf numFmtId="1" fontId="2" fillId="0" borderId="0" xfId="0" applyNumberFormat="1" applyFont="1" applyFill="1"/>
    <xf numFmtId="10" fontId="6" fillId="0" borderId="0" xfId="0" applyNumberFormat="1" applyFont="1"/>
    <xf numFmtId="10" fontId="5" fillId="0" borderId="0" xfId="0" applyNumberFormat="1" applyFont="1"/>
    <xf numFmtId="0" fontId="5" fillId="0" borderId="0" xfId="0" applyFont="1"/>
    <xf numFmtId="0" fontId="5" fillId="0" borderId="0" xfId="0" applyFont="1" applyFill="1"/>
  </cellXfs>
  <cellStyles count="2">
    <cellStyle name="Comma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119945</xdr:colOff>
      <xdr:row>2</xdr:row>
      <xdr:rowOff>169333</xdr:rowOff>
    </xdr:from>
    <xdr:to>
      <xdr:col>6</xdr:col>
      <xdr:colOff>1276141</xdr:colOff>
      <xdr:row>16</xdr:row>
      <xdr:rowOff>154254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6723" y="620889"/>
          <a:ext cx="7675529" cy="31458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17397</xdr:colOff>
      <xdr:row>15</xdr:row>
      <xdr:rowOff>60890</xdr:rowOff>
    </xdr:from>
    <xdr:to>
      <xdr:col>20</xdr:col>
      <xdr:colOff>499520</xdr:colOff>
      <xdr:row>30</xdr:row>
      <xdr:rowOff>125156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6301" y="3453356"/>
          <a:ext cx="15052329" cy="34567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0"/>
  <sheetViews>
    <sheetView tabSelected="1" zoomScale="90" zoomScaleNormal="90" workbookViewId="0">
      <selection activeCell="B2" sqref="B2"/>
    </sheetView>
  </sheetViews>
  <sheetFormatPr defaultRowHeight="17.5" x14ac:dyDescent="0.5"/>
  <cols>
    <col min="1" max="1" width="8.7265625" style="1"/>
    <col min="2" max="2" width="12.6328125" style="1" customWidth="1"/>
    <col min="3" max="3" width="14" style="1" bestFit="1" customWidth="1"/>
    <col min="4" max="4" width="16.36328125" style="1" bestFit="1" customWidth="1"/>
    <col min="5" max="5" width="20" style="1" bestFit="1" customWidth="1"/>
    <col min="6" max="6" width="12.90625" style="1" bestFit="1" customWidth="1"/>
    <col min="7" max="7" width="13" style="1" bestFit="1" customWidth="1"/>
    <col min="8" max="8" width="18.90625" style="1" bestFit="1" customWidth="1"/>
    <col min="9" max="9" width="14.54296875" style="1" bestFit="1" customWidth="1"/>
    <col min="10" max="10" width="18.81640625" style="1" bestFit="1" customWidth="1"/>
    <col min="11" max="11" width="9.54296875" style="1" bestFit="1" customWidth="1"/>
    <col min="12" max="12" width="12.90625" style="1" bestFit="1" customWidth="1"/>
    <col min="13" max="13" width="10.7265625" style="1" bestFit="1" customWidth="1"/>
    <col min="14" max="14" width="12.54296875" style="1" bestFit="1" customWidth="1"/>
    <col min="15" max="16384" width="8.7265625" style="1"/>
  </cols>
  <sheetData>
    <row r="2" spans="2:14" x14ac:dyDescent="0.5">
      <c r="B2" s="2" t="s">
        <v>132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4" x14ac:dyDescent="0.5"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</row>
    <row r="4" spans="2:14" x14ac:dyDescent="0.5">
      <c r="B4" s="5">
        <v>302</v>
      </c>
      <c r="C4" s="5" t="s">
        <v>13</v>
      </c>
      <c r="D4" s="6">
        <v>212243</v>
      </c>
      <c r="E4" s="5" t="s">
        <v>14</v>
      </c>
      <c r="F4" s="7" t="s">
        <v>15</v>
      </c>
      <c r="G4" s="8">
        <v>44325</v>
      </c>
      <c r="H4" s="9">
        <v>0.49611111111111111</v>
      </c>
      <c r="I4" s="5" t="s">
        <v>16</v>
      </c>
      <c r="J4" s="10">
        <v>4279450</v>
      </c>
      <c r="K4" s="11" t="s">
        <v>17</v>
      </c>
      <c r="L4" s="12">
        <v>770040</v>
      </c>
      <c r="M4" s="5" t="s">
        <v>18</v>
      </c>
      <c r="N4" s="5" t="s">
        <v>19</v>
      </c>
    </row>
    <row r="5" spans="2:14" x14ac:dyDescent="0.5">
      <c r="B5" s="5">
        <v>312</v>
      </c>
      <c r="C5" s="5" t="s">
        <v>20</v>
      </c>
      <c r="D5" s="6">
        <v>212253</v>
      </c>
      <c r="E5" s="5" t="s">
        <v>21</v>
      </c>
      <c r="F5" s="7" t="s">
        <v>15</v>
      </c>
      <c r="G5" s="8">
        <v>44332</v>
      </c>
      <c r="H5" s="9">
        <v>0.52202546296296293</v>
      </c>
      <c r="I5" s="5" t="s">
        <v>16</v>
      </c>
      <c r="J5" s="10">
        <v>4951880</v>
      </c>
      <c r="K5" s="11" t="s">
        <v>17</v>
      </c>
      <c r="L5" s="12">
        <v>891000</v>
      </c>
      <c r="M5" s="5" t="s">
        <v>19</v>
      </c>
      <c r="N5" s="5" t="s">
        <v>22</v>
      </c>
    </row>
    <row r="6" spans="2:14" x14ac:dyDescent="0.5">
      <c r="B6" s="5">
        <v>320</v>
      </c>
      <c r="C6" s="5" t="s">
        <v>23</v>
      </c>
      <c r="D6" s="6">
        <v>212261</v>
      </c>
      <c r="E6" s="5" t="s">
        <v>24</v>
      </c>
      <c r="F6" s="7" t="s">
        <v>25</v>
      </c>
      <c r="G6" s="8">
        <v>44339</v>
      </c>
      <c r="H6" s="9">
        <v>0.44253472222222223</v>
      </c>
      <c r="I6" s="5" t="s">
        <v>16</v>
      </c>
      <c r="J6" s="10">
        <v>4062620</v>
      </c>
      <c r="K6" s="11" t="s">
        <v>17</v>
      </c>
      <c r="L6" s="12">
        <v>730800</v>
      </c>
      <c r="M6" s="5" t="s">
        <v>18</v>
      </c>
      <c r="N6" s="5" t="s">
        <v>19</v>
      </c>
    </row>
    <row r="7" spans="2:14" x14ac:dyDescent="0.5">
      <c r="B7" s="5">
        <v>321</v>
      </c>
      <c r="C7" s="5" t="s">
        <v>26</v>
      </c>
      <c r="D7" s="6">
        <v>212262</v>
      </c>
      <c r="E7" s="5" t="s">
        <v>27</v>
      </c>
      <c r="F7" s="7" t="s">
        <v>25</v>
      </c>
      <c r="G7" s="8">
        <v>44338</v>
      </c>
      <c r="H7" s="9">
        <v>0.81618055555555558</v>
      </c>
      <c r="I7" s="5" t="s">
        <v>16</v>
      </c>
      <c r="J7" s="10">
        <v>4672170</v>
      </c>
      <c r="K7" s="11" t="s">
        <v>17</v>
      </c>
      <c r="L7" s="12">
        <v>840780</v>
      </c>
      <c r="M7" s="5" t="s">
        <v>19</v>
      </c>
      <c r="N7" s="5" t="s">
        <v>22</v>
      </c>
    </row>
    <row r="8" spans="2:14" x14ac:dyDescent="0.5">
      <c r="B8" s="5">
        <v>328</v>
      </c>
      <c r="C8" s="5" t="s">
        <v>28</v>
      </c>
      <c r="D8" s="6">
        <v>212269</v>
      </c>
      <c r="E8" s="5" t="s">
        <v>29</v>
      </c>
      <c r="F8" s="7" t="s">
        <v>30</v>
      </c>
      <c r="G8" s="8">
        <v>44345</v>
      </c>
      <c r="H8" s="9">
        <v>0.82333333333333336</v>
      </c>
      <c r="I8" s="5" t="s">
        <v>16</v>
      </c>
      <c r="J8" s="10">
        <v>4611710</v>
      </c>
      <c r="K8" s="11" t="s">
        <v>17</v>
      </c>
      <c r="L8" s="12">
        <v>829800</v>
      </c>
      <c r="M8" s="5" t="s">
        <v>19</v>
      </c>
      <c r="N8" s="5" t="s">
        <v>22</v>
      </c>
    </row>
    <row r="9" spans="2:14" x14ac:dyDescent="0.5">
      <c r="B9" s="5">
        <v>335</v>
      </c>
      <c r="C9" s="5" t="s">
        <v>31</v>
      </c>
      <c r="D9" s="6">
        <v>212276</v>
      </c>
      <c r="E9" s="5" t="s">
        <v>32</v>
      </c>
      <c r="F9" s="7" t="s">
        <v>30</v>
      </c>
      <c r="G9" s="8">
        <v>44353</v>
      </c>
      <c r="H9" s="9">
        <v>0.57105324074074071</v>
      </c>
      <c r="I9" s="5" t="s">
        <v>33</v>
      </c>
      <c r="J9" s="10">
        <v>4080130</v>
      </c>
      <c r="K9" s="11" t="s">
        <v>17</v>
      </c>
      <c r="L9" s="12">
        <v>734400</v>
      </c>
      <c r="M9" s="5" t="s">
        <v>34</v>
      </c>
      <c r="N9" s="5" t="s">
        <v>19</v>
      </c>
    </row>
    <row r="10" spans="2:14" x14ac:dyDescent="0.5">
      <c r="B10" s="5">
        <v>349</v>
      </c>
      <c r="C10" s="5" t="s">
        <v>35</v>
      </c>
      <c r="D10" s="6">
        <v>212290</v>
      </c>
      <c r="E10" s="5" t="s">
        <v>36</v>
      </c>
      <c r="F10" s="7" t="s">
        <v>25</v>
      </c>
      <c r="G10" s="8">
        <v>44373</v>
      </c>
      <c r="H10" s="9">
        <v>0.81437500000000007</v>
      </c>
      <c r="I10" s="5" t="s">
        <v>33</v>
      </c>
      <c r="J10" s="10">
        <v>4330520</v>
      </c>
      <c r="K10" s="11" t="s">
        <v>17</v>
      </c>
      <c r="L10" s="12">
        <v>779400</v>
      </c>
      <c r="M10" s="5" t="s">
        <v>18</v>
      </c>
      <c r="N10" s="5" t="s">
        <v>19</v>
      </c>
    </row>
    <row r="11" spans="2:14" x14ac:dyDescent="0.5">
      <c r="B11" s="5">
        <v>353</v>
      </c>
      <c r="C11" s="5" t="s">
        <v>37</v>
      </c>
      <c r="D11" s="6">
        <v>212294</v>
      </c>
      <c r="E11" s="5" t="s">
        <v>38</v>
      </c>
      <c r="F11" s="7" t="s">
        <v>30</v>
      </c>
      <c r="G11" s="8">
        <v>44381</v>
      </c>
      <c r="H11" s="9">
        <v>0.49063657407407407</v>
      </c>
      <c r="I11" s="5" t="s">
        <v>39</v>
      </c>
      <c r="J11" s="10">
        <v>4673740</v>
      </c>
      <c r="K11" s="11" t="s">
        <v>17</v>
      </c>
      <c r="L11" s="12">
        <v>841140</v>
      </c>
      <c r="M11" s="5" t="s">
        <v>19</v>
      </c>
      <c r="N11" s="5" t="s">
        <v>22</v>
      </c>
    </row>
    <row r="12" spans="2:14" x14ac:dyDescent="0.5">
      <c r="B12" s="5">
        <v>363</v>
      </c>
      <c r="C12" s="5" t="s">
        <v>40</v>
      </c>
      <c r="D12" s="6">
        <v>2122104</v>
      </c>
      <c r="E12" s="5" t="s">
        <v>41</v>
      </c>
      <c r="F12" s="7" t="s">
        <v>25</v>
      </c>
      <c r="G12" s="8">
        <v>44388</v>
      </c>
      <c r="H12" s="9">
        <v>0.50436342592592587</v>
      </c>
      <c r="I12" s="5" t="s">
        <v>39</v>
      </c>
      <c r="J12" s="10">
        <v>4059510</v>
      </c>
      <c r="K12" s="11" t="s">
        <v>17</v>
      </c>
      <c r="L12" s="12">
        <v>730440</v>
      </c>
      <c r="M12" s="5" t="s">
        <v>18</v>
      </c>
      <c r="N12" s="5" t="s">
        <v>19</v>
      </c>
    </row>
    <row r="13" spans="2:14" x14ac:dyDescent="0.5">
      <c r="B13" s="5">
        <v>379</v>
      </c>
      <c r="C13" s="5" t="s">
        <v>42</v>
      </c>
      <c r="D13" s="6">
        <v>2122120</v>
      </c>
      <c r="E13" s="5" t="s">
        <v>43</v>
      </c>
      <c r="F13" s="7" t="s">
        <v>25</v>
      </c>
      <c r="G13" s="8">
        <v>44395</v>
      </c>
      <c r="H13" s="9">
        <v>0.50341664780436945</v>
      </c>
      <c r="I13" s="5" t="s">
        <v>39</v>
      </c>
      <c r="J13" s="10">
        <v>4211080</v>
      </c>
      <c r="K13" s="11" t="s">
        <v>17</v>
      </c>
      <c r="L13" s="12">
        <v>757800</v>
      </c>
      <c r="M13" s="5" t="s">
        <v>34</v>
      </c>
      <c r="N13" s="5" t="s">
        <v>19</v>
      </c>
    </row>
    <row r="14" spans="2:14" x14ac:dyDescent="0.5">
      <c r="B14" s="5">
        <v>394</v>
      </c>
      <c r="C14" s="5" t="s">
        <v>44</v>
      </c>
      <c r="D14" s="6">
        <v>2122135</v>
      </c>
      <c r="E14" s="5" t="s">
        <v>45</v>
      </c>
      <c r="F14" s="7" t="s">
        <v>25</v>
      </c>
      <c r="G14" s="8">
        <v>44415</v>
      </c>
      <c r="H14" s="9">
        <v>0.80775462962962974</v>
      </c>
      <c r="I14" s="5" t="s">
        <v>46</v>
      </c>
      <c r="J14" s="10">
        <v>4250210</v>
      </c>
      <c r="K14" s="11" t="s">
        <v>17</v>
      </c>
      <c r="L14" s="12">
        <v>764820</v>
      </c>
      <c r="M14" s="5" t="s">
        <v>18</v>
      </c>
      <c r="N14" s="5" t="s">
        <v>19</v>
      </c>
    </row>
    <row r="15" spans="2:14" x14ac:dyDescent="0.5">
      <c r="B15" s="5">
        <v>407</v>
      </c>
      <c r="C15" s="5" t="s">
        <v>47</v>
      </c>
      <c r="D15" s="6">
        <v>2122148</v>
      </c>
      <c r="E15" s="5" t="s">
        <v>48</v>
      </c>
      <c r="F15" s="7" t="s">
        <v>15</v>
      </c>
      <c r="G15" s="8">
        <v>44423</v>
      </c>
      <c r="H15" s="9">
        <v>0.46967499174840938</v>
      </c>
      <c r="I15" s="5" t="s">
        <v>46</v>
      </c>
      <c r="J15" s="10">
        <v>4927020</v>
      </c>
      <c r="K15" s="11" t="s">
        <v>17</v>
      </c>
      <c r="L15" s="12">
        <v>886500</v>
      </c>
      <c r="M15" s="5" t="s">
        <v>19</v>
      </c>
      <c r="N15" s="5" t="s">
        <v>22</v>
      </c>
    </row>
    <row r="16" spans="2:14" x14ac:dyDescent="0.5">
      <c r="B16" s="5">
        <v>422</v>
      </c>
      <c r="C16" s="5" t="s">
        <v>49</v>
      </c>
      <c r="D16" s="6">
        <v>2122163</v>
      </c>
      <c r="E16" s="5" t="s">
        <v>50</v>
      </c>
      <c r="F16" s="7" t="s">
        <v>51</v>
      </c>
      <c r="G16" s="8">
        <v>44429</v>
      </c>
      <c r="H16" s="9">
        <v>0.82451388888888888</v>
      </c>
      <c r="I16" s="5" t="s">
        <v>46</v>
      </c>
      <c r="J16" s="10">
        <v>4728180</v>
      </c>
      <c r="K16" s="11" t="s">
        <v>17</v>
      </c>
      <c r="L16" s="12">
        <v>851040</v>
      </c>
      <c r="M16" s="5" t="s">
        <v>19</v>
      </c>
      <c r="N16" s="5" t="s">
        <v>22</v>
      </c>
    </row>
    <row r="17" spans="2:14" x14ac:dyDescent="0.5">
      <c r="B17" s="5">
        <v>430</v>
      </c>
      <c r="C17" s="5" t="s">
        <v>52</v>
      </c>
      <c r="D17" s="6">
        <v>2122171</v>
      </c>
      <c r="E17" s="5" t="s">
        <v>53</v>
      </c>
      <c r="F17" s="7" t="s">
        <v>54</v>
      </c>
      <c r="G17" s="8">
        <v>44443</v>
      </c>
      <c r="H17" s="9">
        <v>0.8194907407407408</v>
      </c>
      <c r="I17" s="5" t="s">
        <v>55</v>
      </c>
      <c r="J17" s="10">
        <v>4497060</v>
      </c>
      <c r="K17" s="11" t="s">
        <v>17</v>
      </c>
      <c r="L17" s="12">
        <v>809100</v>
      </c>
      <c r="M17" s="5" t="s">
        <v>34</v>
      </c>
      <c r="N17" s="5" t="s">
        <v>19</v>
      </c>
    </row>
    <row r="18" spans="2:14" x14ac:dyDescent="0.5">
      <c r="B18" s="5">
        <v>433</v>
      </c>
      <c r="C18" s="5" t="s">
        <v>56</v>
      </c>
      <c r="D18" s="6">
        <v>2122174</v>
      </c>
      <c r="E18" s="5" t="s">
        <v>57</v>
      </c>
      <c r="F18" s="7" t="s">
        <v>51</v>
      </c>
      <c r="G18" s="8">
        <v>44450</v>
      </c>
      <c r="H18" s="9">
        <v>0.82313657407407403</v>
      </c>
      <c r="I18" s="5" t="s">
        <v>55</v>
      </c>
      <c r="J18" s="10">
        <v>4648620</v>
      </c>
      <c r="K18" s="11" t="s">
        <v>17</v>
      </c>
      <c r="L18" s="12">
        <v>836280</v>
      </c>
      <c r="M18" s="5" t="s">
        <v>19</v>
      </c>
      <c r="N18" s="5" t="s">
        <v>22</v>
      </c>
    </row>
    <row r="19" spans="2:14" x14ac:dyDescent="0.5">
      <c r="B19" s="5">
        <v>434</v>
      </c>
      <c r="C19" s="5" t="s">
        <v>58</v>
      </c>
      <c r="D19" s="6">
        <v>2122175</v>
      </c>
      <c r="E19" s="5" t="s">
        <v>59</v>
      </c>
      <c r="F19" s="7" t="s">
        <v>51</v>
      </c>
      <c r="G19" s="8">
        <v>44457</v>
      </c>
      <c r="H19" s="9">
        <v>0.8291087962962963</v>
      </c>
      <c r="I19" s="5" t="s">
        <v>55</v>
      </c>
      <c r="J19" s="10">
        <v>4232840</v>
      </c>
      <c r="K19" s="11" t="s">
        <v>17</v>
      </c>
      <c r="L19" s="12">
        <v>761580</v>
      </c>
      <c r="M19" s="5" t="s">
        <v>34</v>
      </c>
      <c r="N19" s="5" t="s">
        <v>19</v>
      </c>
    </row>
    <row r="20" spans="2:14" x14ac:dyDescent="0.5">
      <c r="B20" s="5">
        <v>468</v>
      </c>
      <c r="C20" s="5" t="s">
        <v>60</v>
      </c>
      <c r="D20" s="6">
        <v>2122209</v>
      </c>
      <c r="E20" s="5" t="s">
        <v>61</v>
      </c>
      <c r="F20" s="7" t="s">
        <v>30</v>
      </c>
      <c r="G20" s="8">
        <v>44506</v>
      </c>
      <c r="H20" s="9">
        <v>0.8291898148148148</v>
      </c>
      <c r="I20" s="5" t="s">
        <v>62</v>
      </c>
      <c r="J20" s="10">
        <v>4817700</v>
      </c>
      <c r="K20" s="11" t="s">
        <v>17</v>
      </c>
      <c r="L20" s="12">
        <v>866700</v>
      </c>
      <c r="M20" s="5" t="s">
        <v>19</v>
      </c>
      <c r="N20" s="5" t="s">
        <v>22</v>
      </c>
    </row>
    <row r="21" spans="2:14" x14ac:dyDescent="0.5">
      <c r="B21" s="5">
        <v>472</v>
      </c>
      <c r="C21" s="5" t="s">
        <v>63</v>
      </c>
      <c r="D21" s="6">
        <v>2122213</v>
      </c>
      <c r="E21" s="5" t="s">
        <v>64</v>
      </c>
      <c r="F21" s="7" t="s">
        <v>15</v>
      </c>
      <c r="G21" s="8">
        <v>44507</v>
      </c>
      <c r="H21" s="9">
        <v>0.54517361111111107</v>
      </c>
      <c r="I21" s="5" t="s">
        <v>62</v>
      </c>
      <c r="J21" s="10">
        <v>4275330</v>
      </c>
      <c r="K21" s="11" t="s">
        <v>17</v>
      </c>
      <c r="L21" s="12">
        <v>769500</v>
      </c>
      <c r="M21" s="5" t="s">
        <v>18</v>
      </c>
      <c r="N21" s="5" t="s">
        <v>19</v>
      </c>
    </row>
    <row r="22" spans="2:14" x14ac:dyDescent="0.5">
      <c r="B22" s="5">
        <v>476</v>
      </c>
      <c r="C22" s="5" t="s">
        <v>65</v>
      </c>
      <c r="D22" s="6">
        <v>2122217</v>
      </c>
      <c r="E22" s="5" t="s">
        <v>66</v>
      </c>
      <c r="F22" s="7" t="s">
        <v>54</v>
      </c>
      <c r="G22" s="8">
        <v>44514</v>
      </c>
      <c r="H22" s="9">
        <v>0.48401620370370368</v>
      </c>
      <c r="I22" s="5" t="s">
        <v>62</v>
      </c>
      <c r="J22" s="10">
        <v>4441560</v>
      </c>
      <c r="K22" s="11" t="s">
        <v>17</v>
      </c>
      <c r="L22" s="12">
        <v>799200</v>
      </c>
      <c r="M22" s="5" t="s">
        <v>18</v>
      </c>
      <c r="N22" s="5" t="s">
        <v>19</v>
      </c>
    </row>
    <row r="23" spans="2:14" x14ac:dyDescent="0.5">
      <c r="B23" s="5">
        <v>492</v>
      </c>
      <c r="C23" s="5" t="s">
        <v>67</v>
      </c>
      <c r="D23" s="6">
        <v>2122233</v>
      </c>
      <c r="E23" s="5" t="s">
        <v>68</v>
      </c>
      <c r="F23" s="7" t="s">
        <v>54</v>
      </c>
      <c r="G23" s="8">
        <v>44535</v>
      </c>
      <c r="H23" s="9">
        <v>0.53270794566252189</v>
      </c>
      <c r="I23" s="5" t="s">
        <v>69</v>
      </c>
      <c r="J23" s="10">
        <v>4050320</v>
      </c>
      <c r="K23" s="11" t="s">
        <v>17</v>
      </c>
      <c r="L23" s="12">
        <v>728820</v>
      </c>
      <c r="M23" s="5" t="s">
        <v>34</v>
      </c>
      <c r="N23" s="5" t="s">
        <v>19</v>
      </c>
    </row>
    <row r="24" spans="2:14" x14ac:dyDescent="0.5">
      <c r="B24" s="5">
        <v>499</v>
      </c>
      <c r="C24" s="5" t="s">
        <v>70</v>
      </c>
      <c r="D24" s="6">
        <v>2122240</v>
      </c>
      <c r="E24" s="5" t="s">
        <v>71</v>
      </c>
      <c r="F24" s="7" t="s">
        <v>25</v>
      </c>
      <c r="G24" s="8">
        <v>44542</v>
      </c>
      <c r="H24" s="9">
        <v>0.46934027777777776</v>
      </c>
      <c r="I24" s="5" t="s">
        <v>69</v>
      </c>
      <c r="J24" s="10">
        <v>4463340</v>
      </c>
      <c r="K24" s="11" t="s">
        <v>17</v>
      </c>
      <c r="L24" s="12">
        <v>803340</v>
      </c>
      <c r="M24" s="5" t="s">
        <v>18</v>
      </c>
      <c r="N24" s="5" t="s">
        <v>19</v>
      </c>
    </row>
    <row r="25" spans="2:14" x14ac:dyDescent="0.5">
      <c r="B25" s="5">
        <v>508</v>
      </c>
      <c r="C25" s="5" t="s">
        <v>72</v>
      </c>
      <c r="D25" s="6">
        <v>2122249</v>
      </c>
      <c r="E25" s="5" t="s">
        <v>73</v>
      </c>
      <c r="F25" s="7" t="s">
        <v>54</v>
      </c>
      <c r="G25" s="8">
        <v>44541</v>
      </c>
      <c r="H25" s="9">
        <v>0.82111111111111112</v>
      </c>
      <c r="I25" s="5" t="s">
        <v>69</v>
      </c>
      <c r="J25" s="10">
        <v>4918360</v>
      </c>
      <c r="K25" s="11" t="s">
        <v>17</v>
      </c>
      <c r="L25" s="12">
        <v>885060</v>
      </c>
      <c r="M25" s="5" t="s">
        <v>19</v>
      </c>
      <c r="N25" s="5" t="s">
        <v>22</v>
      </c>
    </row>
    <row r="26" spans="2:14" x14ac:dyDescent="0.5">
      <c r="B26" s="5">
        <v>514</v>
      </c>
      <c r="C26" s="5" t="s">
        <v>74</v>
      </c>
      <c r="D26" s="6">
        <v>2122255</v>
      </c>
      <c r="E26" s="5" t="s">
        <v>75</v>
      </c>
      <c r="F26" s="7" t="s">
        <v>54</v>
      </c>
      <c r="G26" s="8">
        <v>44549</v>
      </c>
      <c r="H26" s="9">
        <v>0.54486111111111113</v>
      </c>
      <c r="I26" s="5" t="s">
        <v>69</v>
      </c>
      <c r="J26" s="10">
        <v>4924520</v>
      </c>
      <c r="K26" s="11" t="s">
        <v>17</v>
      </c>
      <c r="L26" s="12">
        <v>885960</v>
      </c>
      <c r="M26" s="5" t="s">
        <v>19</v>
      </c>
      <c r="N26" s="5" t="s">
        <v>22</v>
      </c>
    </row>
    <row r="27" spans="2:14" x14ac:dyDescent="0.5">
      <c r="B27" s="5">
        <v>515</v>
      </c>
      <c r="C27" s="5" t="s">
        <v>76</v>
      </c>
      <c r="D27" s="6">
        <v>2122256</v>
      </c>
      <c r="E27" s="5" t="s">
        <v>77</v>
      </c>
      <c r="F27" s="7" t="s">
        <v>25</v>
      </c>
      <c r="G27" s="8">
        <v>44548</v>
      </c>
      <c r="H27" s="9">
        <v>0.80379629629629623</v>
      </c>
      <c r="I27" s="5" t="s">
        <v>69</v>
      </c>
      <c r="J27" s="10">
        <v>4823470</v>
      </c>
      <c r="K27" s="11" t="s">
        <v>17</v>
      </c>
      <c r="L27" s="12">
        <v>868140</v>
      </c>
      <c r="M27" s="5" t="s">
        <v>19</v>
      </c>
      <c r="N27" s="5" t="s">
        <v>22</v>
      </c>
    </row>
    <row r="28" spans="2:14" x14ac:dyDescent="0.5">
      <c r="B28" s="5">
        <v>524</v>
      </c>
      <c r="C28" s="5" t="s">
        <v>78</v>
      </c>
      <c r="D28" s="6">
        <v>2122265</v>
      </c>
      <c r="E28" s="5" t="s">
        <v>79</v>
      </c>
      <c r="F28" s="7" t="s">
        <v>51</v>
      </c>
      <c r="G28" s="8">
        <v>44563</v>
      </c>
      <c r="H28" s="9">
        <v>0.49816425610188075</v>
      </c>
      <c r="I28" s="5" t="s">
        <v>80</v>
      </c>
      <c r="J28" s="10">
        <v>4363500</v>
      </c>
      <c r="K28" s="11" t="s">
        <v>17</v>
      </c>
      <c r="L28" s="12">
        <v>785340</v>
      </c>
      <c r="M28" s="5" t="s">
        <v>18</v>
      </c>
      <c r="N28" s="5" t="s">
        <v>19</v>
      </c>
    </row>
    <row r="29" spans="2:14" x14ac:dyDescent="0.5">
      <c r="B29" s="5">
        <v>534</v>
      </c>
      <c r="C29" s="5" t="s">
        <v>81</v>
      </c>
      <c r="D29" s="6">
        <v>2122275</v>
      </c>
      <c r="E29" s="5" t="s">
        <v>82</v>
      </c>
      <c r="F29" s="7" t="s">
        <v>30</v>
      </c>
      <c r="G29" s="8">
        <v>44577</v>
      </c>
      <c r="H29" s="9">
        <v>0.51827546296296301</v>
      </c>
      <c r="I29" s="5" t="s">
        <v>80</v>
      </c>
      <c r="J29" s="10">
        <v>4847720</v>
      </c>
      <c r="K29" s="11" t="s">
        <v>17</v>
      </c>
      <c r="L29" s="12">
        <v>872100</v>
      </c>
      <c r="M29" s="5" t="s">
        <v>19</v>
      </c>
      <c r="N29" s="5" t="s">
        <v>22</v>
      </c>
    </row>
    <row r="30" spans="2:14" x14ac:dyDescent="0.5">
      <c r="B30" s="5">
        <v>540</v>
      </c>
      <c r="C30" s="5" t="s">
        <v>83</v>
      </c>
      <c r="D30" s="6">
        <v>2122281</v>
      </c>
      <c r="E30" s="5" t="s">
        <v>84</v>
      </c>
      <c r="F30" s="7" t="s">
        <v>15</v>
      </c>
      <c r="G30" s="8">
        <v>44583</v>
      </c>
      <c r="H30" s="9">
        <v>0.80902777777777779</v>
      </c>
      <c r="I30" s="5" t="s">
        <v>80</v>
      </c>
      <c r="J30" s="10">
        <v>4651520</v>
      </c>
      <c r="K30" s="11" t="s">
        <v>17</v>
      </c>
      <c r="L30" s="12">
        <v>836820</v>
      </c>
      <c r="M30" s="5" t="s">
        <v>19</v>
      </c>
      <c r="N30" s="5" t="s">
        <v>22</v>
      </c>
    </row>
  </sheetData>
  <conditionalFormatting sqref="D4:E30">
    <cfRule type="duplicateValues" dxfId="2" priority="1"/>
  </conditionalFormatting>
  <conditionalFormatting sqref="J4:J30">
    <cfRule type="duplicateValues" dxfId="1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2"/>
  <sheetViews>
    <sheetView zoomScale="90" zoomScaleNormal="90" workbookViewId="0">
      <selection activeCell="B2" sqref="B2"/>
    </sheetView>
  </sheetViews>
  <sheetFormatPr defaultRowHeight="17.5" x14ac:dyDescent="0.5"/>
  <cols>
    <col min="1" max="1" width="8.7265625" style="1"/>
    <col min="2" max="2" width="6.26953125" style="1" customWidth="1"/>
    <col min="3" max="3" width="11.1796875" style="1" bestFit="1" customWidth="1"/>
    <col min="4" max="4" width="26.36328125" style="1" bestFit="1" customWidth="1"/>
    <col min="5" max="5" width="32.26953125" style="1" customWidth="1"/>
    <col min="6" max="6" width="29.7265625" style="1" bestFit="1" customWidth="1"/>
    <col min="7" max="7" width="30.90625" style="1" bestFit="1" customWidth="1"/>
    <col min="8" max="16384" width="8.7265625" style="1"/>
  </cols>
  <sheetData>
    <row r="2" spans="2:7" x14ac:dyDescent="0.5">
      <c r="B2" s="23" t="s">
        <v>131</v>
      </c>
    </row>
    <row r="3" spans="2:7" x14ac:dyDescent="0.5">
      <c r="C3" s="1" t="s">
        <v>95</v>
      </c>
      <c r="D3" s="57">
        <v>158936380</v>
      </c>
    </row>
    <row r="4" spans="2:7" x14ac:dyDescent="0.5">
      <c r="C4" s="1" t="s">
        <v>96</v>
      </c>
      <c r="D4" s="57">
        <v>321907040</v>
      </c>
    </row>
    <row r="5" spans="2:7" x14ac:dyDescent="0.5">
      <c r="D5" s="58">
        <v>480843420</v>
      </c>
    </row>
    <row r="6" spans="2:7" x14ac:dyDescent="0.5">
      <c r="D6" s="3"/>
    </row>
    <row r="7" spans="2:7" x14ac:dyDescent="0.5">
      <c r="C7" s="1" t="s">
        <v>97</v>
      </c>
      <c r="D7" s="24">
        <v>1.0253829865761381</v>
      </c>
      <c r="E7" s="1" t="s">
        <v>98</v>
      </c>
    </row>
    <row r="9" spans="2:7" x14ac:dyDescent="0.5">
      <c r="B9" s="2" t="s">
        <v>99</v>
      </c>
      <c r="C9" s="13"/>
      <c r="D9" s="3"/>
      <c r="E9" s="3"/>
    </row>
    <row r="10" spans="2:7" x14ac:dyDescent="0.5">
      <c r="B10" s="2"/>
      <c r="C10" s="13"/>
      <c r="D10" s="3"/>
      <c r="E10" s="3"/>
      <c r="F10" s="39" t="s">
        <v>197</v>
      </c>
      <c r="G10" s="39" t="s">
        <v>198</v>
      </c>
    </row>
    <row r="11" spans="2:7" x14ac:dyDescent="0.5">
      <c r="B11" s="2"/>
      <c r="C11" s="13"/>
      <c r="D11" s="3"/>
      <c r="E11" s="3" t="s">
        <v>194</v>
      </c>
      <c r="F11" s="67">
        <v>15</v>
      </c>
      <c r="G11" s="67">
        <v>8</v>
      </c>
    </row>
    <row r="12" spans="2:7" x14ac:dyDescent="0.5">
      <c r="B12" s="2"/>
      <c r="C12" s="13"/>
      <c r="D12" s="3"/>
      <c r="E12" s="3"/>
    </row>
    <row r="13" spans="2:7" x14ac:dyDescent="0.5">
      <c r="B13" s="2"/>
      <c r="C13" s="13"/>
      <c r="D13" s="3"/>
      <c r="E13" s="3"/>
    </row>
    <row r="14" spans="2:7" x14ac:dyDescent="0.5">
      <c r="B14" s="3"/>
      <c r="C14" s="39" t="s">
        <v>85</v>
      </c>
      <c r="D14" s="39" t="s">
        <v>195</v>
      </c>
      <c r="E14" s="39" t="s">
        <v>196</v>
      </c>
      <c r="F14" s="39" t="s">
        <v>197</v>
      </c>
      <c r="G14" s="39" t="s">
        <v>198</v>
      </c>
    </row>
    <row r="15" spans="2:7" x14ac:dyDescent="0.5">
      <c r="B15" s="3"/>
      <c r="C15" s="18" t="s">
        <v>87</v>
      </c>
      <c r="D15" s="19"/>
      <c r="E15" s="19"/>
    </row>
    <row r="16" spans="2:7" x14ac:dyDescent="0.5">
      <c r="B16" s="3"/>
      <c r="C16" s="15" t="s">
        <v>88</v>
      </c>
      <c r="D16" s="16">
        <v>11081560</v>
      </c>
      <c r="E16" s="63">
        <v>20</v>
      </c>
      <c r="F16" s="64"/>
    </row>
    <row r="17" spans="2:7" x14ac:dyDescent="0.5">
      <c r="B17" s="3"/>
      <c r="C17" s="15" t="s">
        <v>16</v>
      </c>
      <c r="D17" s="35">
        <v>18374380</v>
      </c>
      <c r="E17" s="63">
        <v>27</v>
      </c>
      <c r="F17" s="68">
        <v>0.65810409364746481</v>
      </c>
      <c r="G17" s="69">
        <v>0.35</v>
      </c>
    </row>
    <row r="18" spans="2:7" x14ac:dyDescent="0.5">
      <c r="B18" s="3"/>
      <c r="C18" s="15" t="s">
        <v>33</v>
      </c>
      <c r="D18" s="16">
        <v>16719590</v>
      </c>
      <c r="E18" s="63">
        <v>22</v>
      </c>
      <c r="F18" s="69">
        <v>-9.0059637386404337E-2</v>
      </c>
      <c r="G18" s="69">
        <v>-0.18518518518518517</v>
      </c>
    </row>
    <row r="19" spans="2:7" x14ac:dyDescent="0.5">
      <c r="B19" s="3"/>
      <c r="C19" s="15" t="s">
        <v>39</v>
      </c>
      <c r="D19" s="16">
        <v>19592030</v>
      </c>
      <c r="E19" s="63">
        <v>27</v>
      </c>
      <c r="F19" s="69">
        <v>0.17180086353792168</v>
      </c>
      <c r="G19" s="69">
        <v>0.22727272727272727</v>
      </c>
    </row>
    <row r="20" spans="2:7" x14ac:dyDescent="0.5">
      <c r="B20" s="3"/>
      <c r="C20" s="15" t="s">
        <v>46</v>
      </c>
      <c r="D20" s="16">
        <v>12799820</v>
      </c>
      <c r="E20" s="63">
        <v>20</v>
      </c>
      <c r="F20" s="69">
        <v>-0.34668229887357255</v>
      </c>
      <c r="G20" s="69">
        <v>-0.25925925925925924</v>
      </c>
    </row>
    <row r="21" spans="2:7" x14ac:dyDescent="0.5">
      <c r="B21" s="3"/>
      <c r="C21" s="15" t="s">
        <v>55</v>
      </c>
      <c r="D21" s="16">
        <v>10538630</v>
      </c>
      <c r="E21" s="63">
        <v>30</v>
      </c>
      <c r="F21" s="69">
        <v>-0.17665795300246409</v>
      </c>
      <c r="G21" s="68">
        <v>0.5</v>
      </c>
    </row>
    <row r="22" spans="2:7" x14ac:dyDescent="0.5">
      <c r="B22" s="3"/>
      <c r="C22" s="15" t="s">
        <v>89</v>
      </c>
      <c r="D22" s="16">
        <v>12037390</v>
      </c>
      <c r="E22" s="63">
        <v>22</v>
      </c>
      <c r="F22" s="69">
        <v>0.14221582881266351</v>
      </c>
      <c r="G22" s="69">
        <v>-0.26666666666666666</v>
      </c>
    </row>
    <row r="23" spans="2:7" x14ac:dyDescent="0.5">
      <c r="B23" s="3"/>
      <c r="C23" s="15" t="s">
        <v>62</v>
      </c>
      <c r="D23" s="35">
        <v>6395660</v>
      </c>
      <c r="E23" s="63">
        <v>20</v>
      </c>
      <c r="F23" s="68">
        <v>-0.46868382597888747</v>
      </c>
      <c r="G23" s="69">
        <v>-9.0909090909090912E-2</v>
      </c>
    </row>
    <row r="24" spans="2:7" x14ac:dyDescent="0.5">
      <c r="B24" s="3"/>
      <c r="C24" s="15" t="s">
        <v>69</v>
      </c>
      <c r="D24" s="35">
        <v>25887420</v>
      </c>
      <c r="E24" s="63">
        <v>16</v>
      </c>
      <c r="F24" s="68">
        <v>3.0476541904979313</v>
      </c>
      <c r="G24" s="69">
        <v>-0.2</v>
      </c>
    </row>
    <row r="25" spans="2:7" x14ac:dyDescent="0.5">
      <c r="B25" s="3"/>
      <c r="C25" s="18" t="s">
        <v>90</v>
      </c>
      <c r="D25" s="65"/>
      <c r="E25" s="66"/>
      <c r="F25" s="70"/>
      <c r="G25" s="70"/>
    </row>
    <row r="26" spans="2:7" x14ac:dyDescent="0.5">
      <c r="B26" s="3"/>
      <c r="C26" s="15" t="s">
        <v>80</v>
      </c>
      <c r="D26" s="35">
        <v>5776500</v>
      </c>
      <c r="E26" s="63">
        <v>16</v>
      </c>
      <c r="F26" s="68">
        <v>-0.77686073003798761</v>
      </c>
      <c r="G26" s="69">
        <v>0</v>
      </c>
    </row>
    <row r="27" spans="2:7" x14ac:dyDescent="0.5">
      <c r="B27" s="3"/>
      <c r="C27" s="15" t="s">
        <v>91</v>
      </c>
      <c r="D27" s="35">
        <v>13132750</v>
      </c>
      <c r="E27" s="63">
        <v>19</v>
      </c>
      <c r="F27" s="68">
        <v>1.273478750108197</v>
      </c>
      <c r="G27" s="69">
        <v>0.1875</v>
      </c>
    </row>
    <row r="28" spans="2:7" x14ac:dyDescent="0.5">
      <c r="B28" s="3"/>
      <c r="C28" s="15" t="s">
        <v>92</v>
      </c>
      <c r="D28" s="35">
        <v>6600650</v>
      </c>
      <c r="E28" s="63">
        <v>20</v>
      </c>
      <c r="F28" s="68">
        <v>-0.49739011250499704</v>
      </c>
      <c r="G28" s="69">
        <v>5.2631578947368418E-2</v>
      </c>
    </row>
    <row r="29" spans="2:7" x14ac:dyDescent="0.5">
      <c r="B29" s="3"/>
      <c r="C29" s="15" t="s">
        <v>88</v>
      </c>
      <c r="D29" s="35">
        <v>20795250</v>
      </c>
      <c r="E29" s="63">
        <v>34</v>
      </c>
      <c r="F29" s="68">
        <v>2.1504851794898987</v>
      </c>
      <c r="G29" s="68">
        <v>0.7</v>
      </c>
    </row>
    <row r="30" spans="2:7" x14ac:dyDescent="0.5">
      <c r="B30" s="3"/>
      <c r="C30" s="15" t="s">
        <v>16</v>
      </c>
      <c r="D30" s="35">
        <v>30331170</v>
      </c>
      <c r="E30" s="63">
        <v>37</v>
      </c>
      <c r="F30" s="68">
        <v>0.45856241208929927</v>
      </c>
      <c r="G30" s="69">
        <v>8.8235294117647065E-2</v>
      </c>
    </row>
    <row r="31" spans="2:7" x14ac:dyDescent="0.5">
      <c r="B31" s="3"/>
      <c r="C31" s="15" t="s">
        <v>33</v>
      </c>
      <c r="D31" s="35">
        <v>17522090</v>
      </c>
      <c r="E31" s="63">
        <v>22</v>
      </c>
      <c r="F31" s="68">
        <v>-0.42230748105002214</v>
      </c>
      <c r="G31" s="68">
        <v>-0.40540540540540543</v>
      </c>
    </row>
    <row r="32" spans="2:7" x14ac:dyDescent="0.5">
      <c r="B32" s="3"/>
      <c r="C32" s="15" t="s">
        <v>39</v>
      </c>
      <c r="D32" s="35">
        <v>58728270</v>
      </c>
      <c r="E32" s="63">
        <v>36</v>
      </c>
      <c r="F32" s="68">
        <v>2.3516703772209824</v>
      </c>
      <c r="G32" s="68">
        <v>0.63636363636363635</v>
      </c>
    </row>
    <row r="33" spans="2:7" x14ac:dyDescent="0.5">
      <c r="B33" s="3"/>
      <c r="C33" s="15" t="s">
        <v>46</v>
      </c>
      <c r="D33" s="63">
        <v>46056320</v>
      </c>
      <c r="E33" s="63">
        <v>40</v>
      </c>
      <c r="F33" s="69">
        <v>-0.21577257426448965</v>
      </c>
      <c r="G33" s="69">
        <v>0.1111111111111111</v>
      </c>
    </row>
    <row r="34" spans="2:7" x14ac:dyDescent="0.5">
      <c r="B34" s="3"/>
      <c r="C34" s="15" t="s">
        <v>55</v>
      </c>
      <c r="D34" s="35">
        <v>16966840</v>
      </c>
      <c r="E34" s="63">
        <v>13</v>
      </c>
      <c r="F34" s="68">
        <v>-0.63160669371760492</v>
      </c>
      <c r="G34" s="68">
        <v>-0.67500000000000004</v>
      </c>
    </row>
    <row r="35" spans="2:7" x14ac:dyDescent="0.5">
      <c r="B35" s="3"/>
      <c r="C35" s="15" t="s">
        <v>89</v>
      </c>
      <c r="D35" s="35">
        <v>8868660</v>
      </c>
      <c r="E35" s="63">
        <v>24</v>
      </c>
      <c r="F35" s="68">
        <v>-0.47729453451556092</v>
      </c>
      <c r="G35" s="68">
        <v>0.84615384615384615</v>
      </c>
    </row>
    <row r="36" spans="2:7" x14ac:dyDescent="0.5">
      <c r="B36" s="3"/>
      <c r="C36" s="15" t="s">
        <v>62</v>
      </c>
      <c r="D36" s="35">
        <v>32091340</v>
      </c>
      <c r="E36" s="63">
        <v>24</v>
      </c>
      <c r="F36" s="68">
        <v>2.6185105754420621</v>
      </c>
      <c r="G36" s="69">
        <v>0</v>
      </c>
    </row>
    <row r="37" spans="2:7" x14ac:dyDescent="0.5">
      <c r="B37" s="3"/>
      <c r="C37" s="15" t="s">
        <v>69</v>
      </c>
      <c r="D37" s="63">
        <v>40817150</v>
      </c>
      <c r="E37" s="63">
        <v>34</v>
      </c>
      <c r="F37" s="69">
        <v>0.27190544240284137</v>
      </c>
      <c r="G37" s="68">
        <v>0.41666666666666669</v>
      </c>
    </row>
    <row r="38" spans="2:7" x14ac:dyDescent="0.5">
      <c r="B38" s="3"/>
      <c r="C38" s="18" t="s">
        <v>93</v>
      </c>
      <c r="D38" s="65"/>
      <c r="E38" s="66"/>
      <c r="F38" s="71"/>
      <c r="G38" s="71"/>
    </row>
    <row r="39" spans="2:7" x14ac:dyDescent="0.5">
      <c r="B39" s="3"/>
      <c r="C39" s="15" t="s">
        <v>80</v>
      </c>
      <c r="D39" s="63">
        <v>32062340</v>
      </c>
      <c r="E39" s="63">
        <v>32</v>
      </c>
      <c r="F39" s="69">
        <v>-0.21448851769415553</v>
      </c>
      <c r="G39" s="69">
        <v>-5.8823529411764705E-2</v>
      </c>
    </row>
    <row r="40" spans="2:7" x14ac:dyDescent="0.5">
      <c r="B40" s="3"/>
      <c r="C40" s="15" t="s">
        <v>91</v>
      </c>
      <c r="D40" s="35">
        <v>12746590</v>
      </c>
      <c r="E40" s="63">
        <v>28</v>
      </c>
      <c r="F40" s="68">
        <v>-0.60244355215495815</v>
      </c>
      <c r="G40" s="69">
        <v>-0.125</v>
      </c>
    </row>
    <row r="41" spans="2:7" x14ac:dyDescent="0.5">
      <c r="B41" s="3"/>
      <c r="C41" s="15" t="s">
        <v>92</v>
      </c>
      <c r="D41" s="35">
        <v>4921020</v>
      </c>
      <c r="E41" s="63">
        <v>17</v>
      </c>
      <c r="F41" s="68">
        <v>-0.6139343934338517</v>
      </c>
      <c r="G41" s="68">
        <v>-0.39285714285714285</v>
      </c>
    </row>
    <row r="42" spans="2:7" x14ac:dyDescent="0.5">
      <c r="B42" s="3"/>
      <c r="C42" s="21" t="s">
        <v>94</v>
      </c>
      <c r="D42" s="22">
        <v>480843420</v>
      </c>
      <c r="E42" s="22">
        <v>600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81"/>
  <sheetViews>
    <sheetView zoomScale="90" zoomScaleNormal="90" workbookViewId="0">
      <selection activeCell="B2" sqref="B2"/>
    </sheetView>
  </sheetViews>
  <sheetFormatPr defaultRowHeight="17.5" x14ac:dyDescent="0.5"/>
  <cols>
    <col min="1" max="1" width="8.7265625" style="1"/>
    <col min="2" max="2" width="17.08984375" style="1" customWidth="1"/>
    <col min="3" max="3" width="23.81640625" style="1" customWidth="1"/>
    <col min="4" max="4" width="26.453125" style="1" customWidth="1"/>
    <col min="5" max="5" width="12.90625" style="1" bestFit="1" customWidth="1"/>
    <col min="6" max="6" width="13" style="1" bestFit="1" customWidth="1"/>
    <col min="7" max="7" width="18.81640625" style="1" bestFit="1" customWidth="1"/>
    <col min="8" max="8" width="10.7265625" style="1" bestFit="1" customWidth="1"/>
    <col min="9" max="9" width="12.54296875" style="1" bestFit="1" customWidth="1"/>
    <col min="10" max="10" width="16.36328125" style="1" bestFit="1" customWidth="1"/>
    <col min="11" max="16384" width="8.7265625" style="1"/>
  </cols>
  <sheetData>
    <row r="2" spans="2:8" x14ac:dyDescent="0.5">
      <c r="B2" s="2" t="s">
        <v>130</v>
      </c>
      <c r="E2" s="3"/>
      <c r="F2" s="3"/>
      <c r="G2" s="3"/>
      <c r="H2" s="3"/>
    </row>
    <row r="3" spans="2:8" x14ac:dyDescent="0.5">
      <c r="B3" s="2"/>
      <c r="E3" s="3"/>
      <c r="F3" s="3"/>
      <c r="G3" s="3"/>
      <c r="H3" s="3"/>
    </row>
    <row r="19" spans="2:4" x14ac:dyDescent="0.5">
      <c r="B19" s="23" t="s">
        <v>134</v>
      </c>
      <c r="C19" s="3"/>
      <c r="D19" s="3"/>
    </row>
    <row r="20" spans="2:4" x14ac:dyDescent="0.5">
      <c r="B20" s="3"/>
      <c r="C20" s="3"/>
      <c r="D20" s="3"/>
    </row>
    <row r="21" spans="2:4" x14ac:dyDescent="0.5">
      <c r="B21" s="43" t="s">
        <v>85</v>
      </c>
      <c r="C21" s="43" t="s">
        <v>86</v>
      </c>
      <c r="D21" s="43" t="s">
        <v>135</v>
      </c>
    </row>
    <row r="22" spans="2:4" x14ac:dyDescent="0.5">
      <c r="B22" s="44" t="s">
        <v>136</v>
      </c>
      <c r="C22" s="45"/>
      <c r="D22" s="46"/>
    </row>
    <row r="23" spans="2:4" x14ac:dyDescent="0.5">
      <c r="B23" s="42" t="s">
        <v>137</v>
      </c>
      <c r="C23" s="40">
        <v>18678070</v>
      </c>
      <c r="D23" s="41">
        <v>4</v>
      </c>
    </row>
    <row r="24" spans="2:4" x14ac:dyDescent="0.5">
      <c r="B24" s="42" t="s">
        <v>138</v>
      </c>
      <c r="C24" s="40">
        <v>53671740</v>
      </c>
      <c r="D24" s="41">
        <v>7</v>
      </c>
    </row>
    <row r="25" spans="2:4" x14ac:dyDescent="0.5">
      <c r="B25" s="42" t="s">
        <v>139</v>
      </c>
      <c r="C25" s="40">
        <v>86586570</v>
      </c>
      <c r="D25" s="41">
        <v>248</v>
      </c>
    </row>
    <row r="26" spans="2:4" x14ac:dyDescent="0.5">
      <c r="B26" s="44" t="s">
        <v>140</v>
      </c>
      <c r="C26" s="45"/>
      <c r="D26" s="46"/>
    </row>
    <row r="27" spans="2:4" x14ac:dyDescent="0.5">
      <c r="B27" s="42" t="s">
        <v>137</v>
      </c>
      <c r="C27" s="40">
        <v>172634600</v>
      </c>
      <c r="D27" s="41">
        <v>38</v>
      </c>
    </row>
    <row r="28" spans="2:4" x14ac:dyDescent="0.5">
      <c r="B28" s="42" t="s">
        <v>138</v>
      </c>
      <c r="C28" s="40">
        <v>55351920</v>
      </c>
      <c r="D28" s="41">
        <v>6</v>
      </c>
    </row>
    <row r="29" spans="2:4" x14ac:dyDescent="0.5">
      <c r="B29" s="42" t="s">
        <v>139</v>
      </c>
      <c r="C29" s="40">
        <v>93920520</v>
      </c>
      <c r="D29" s="41">
        <v>297</v>
      </c>
    </row>
    <row r="30" spans="2:4" x14ac:dyDescent="0.5">
      <c r="B30" s="47" t="s">
        <v>94</v>
      </c>
      <c r="C30" s="48">
        <v>480843420</v>
      </c>
      <c r="D30" s="49">
        <v>600</v>
      </c>
    </row>
    <row r="32" spans="2:4" x14ac:dyDescent="0.5">
      <c r="B32" s="23" t="s">
        <v>141</v>
      </c>
    </row>
    <row r="33" spans="2:10" x14ac:dyDescent="0.5">
      <c r="B33" s="23"/>
    </row>
    <row r="34" spans="2:10" x14ac:dyDescent="0.5">
      <c r="B34" s="23"/>
      <c r="C34" s="17" t="s">
        <v>85</v>
      </c>
      <c r="D34" s="17" t="s">
        <v>193</v>
      </c>
    </row>
    <row r="35" spans="2:10" x14ac:dyDescent="0.5">
      <c r="B35" s="23"/>
      <c r="C35" s="14" t="s">
        <v>112</v>
      </c>
      <c r="D35" s="59">
        <v>15</v>
      </c>
    </row>
    <row r="36" spans="2:10" x14ac:dyDescent="0.5">
      <c r="B36" s="23"/>
      <c r="C36" s="14" t="s">
        <v>111</v>
      </c>
      <c r="D36" s="59">
        <v>27</v>
      </c>
    </row>
    <row r="37" spans="2:10" x14ac:dyDescent="0.5">
      <c r="B37" s="23"/>
      <c r="C37" s="21" t="s">
        <v>94</v>
      </c>
      <c r="D37" s="60">
        <v>42</v>
      </c>
    </row>
    <row r="38" spans="2:10" x14ac:dyDescent="0.5">
      <c r="B38" s="23"/>
      <c r="C38" s="53"/>
      <c r="D38" s="61"/>
    </row>
    <row r="39" spans="2:10" x14ac:dyDescent="0.5">
      <c r="B39" s="4" t="s">
        <v>0</v>
      </c>
      <c r="C39" s="4" t="s">
        <v>1</v>
      </c>
      <c r="D39" s="4" t="s">
        <v>3</v>
      </c>
      <c r="E39" s="4" t="s">
        <v>4</v>
      </c>
      <c r="F39" s="4" t="s">
        <v>5</v>
      </c>
      <c r="G39" s="4" t="s">
        <v>8</v>
      </c>
      <c r="H39" s="4" t="s">
        <v>11</v>
      </c>
      <c r="I39" s="4" t="s">
        <v>12</v>
      </c>
      <c r="J39" s="4" t="s">
        <v>192</v>
      </c>
    </row>
    <row r="40" spans="2:10" x14ac:dyDescent="0.5">
      <c r="B40" s="5">
        <v>6</v>
      </c>
      <c r="C40" s="5" t="s">
        <v>142</v>
      </c>
      <c r="D40" s="5" t="s">
        <v>143</v>
      </c>
      <c r="E40" s="5" t="s">
        <v>144</v>
      </c>
      <c r="F40" s="8">
        <v>43925</v>
      </c>
      <c r="G40" s="50">
        <v>4841510</v>
      </c>
      <c r="H40" s="5" t="s">
        <v>19</v>
      </c>
      <c r="I40" s="5" t="s">
        <v>22</v>
      </c>
      <c r="J40" s="5" t="s">
        <v>112</v>
      </c>
    </row>
    <row r="41" spans="2:10" x14ac:dyDescent="0.5">
      <c r="B41" s="5">
        <v>28</v>
      </c>
      <c r="C41" s="5" t="s">
        <v>145</v>
      </c>
      <c r="D41" s="5" t="s">
        <v>146</v>
      </c>
      <c r="E41" s="5" t="s">
        <v>15</v>
      </c>
      <c r="F41" s="8">
        <v>43958</v>
      </c>
      <c r="G41" s="50">
        <v>4762260</v>
      </c>
      <c r="H41" s="5" t="s">
        <v>19</v>
      </c>
      <c r="I41" s="5" t="s">
        <v>22</v>
      </c>
      <c r="J41" s="5" t="s">
        <v>112</v>
      </c>
    </row>
    <row r="42" spans="2:10" x14ac:dyDescent="0.5">
      <c r="B42" s="5">
        <v>72</v>
      </c>
      <c r="C42" s="5" t="s">
        <v>147</v>
      </c>
      <c r="D42" s="5" t="s">
        <v>148</v>
      </c>
      <c r="E42" s="5" t="s">
        <v>149</v>
      </c>
      <c r="F42" s="8">
        <v>44019</v>
      </c>
      <c r="G42" s="50">
        <v>4374900</v>
      </c>
      <c r="H42" s="5" t="s">
        <v>34</v>
      </c>
      <c r="I42" s="5" t="s">
        <v>19</v>
      </c>
      <c r="J42" s="5" t="s">
        <v>112</v>
      </c>
    </row>
    <row r="43" spans="2:10" x14ac:dyDescent="0.5">
      <c r="B43" s="5">
        <v>154</v>
      </c>
      <c r="C43" s="5" t="s">
        <v>150</v>
      </c>
      <c r="D43" s="5" t="s">
        <v>151</v>
      </c>
      <c r="E43" s="5" t="s">
        <v>152</v>
      </c>
      <c r="F43" s="8">
        <v>44116</v>
      </c>
      <c r="G43" s="50">
        <v>4699400</v>
      </c>
      <c r="H43" s="5" t="s">
        <v>19</v>
      </c>
      <c r="I43" s="5" t="s">
        <v>22</v>
      </c>
      <c r="J43" s="5" t="s">
        <v>112</v>
      </c>
    </row>
    <row r="44" spans="2:10" x14ac:dyDescent="0.5">
      <c r="B44" s="5">
        <v>302</v>
      </c>
      <c r="C44" s="5" t="s">
        <v>13</v>
      </c>
      <c r="D44" s="5" t="s">
        <v>14</v>
      </c>
      <c r="E44" s="7" t="s">
        <v>15</v>
      </c>
      <c r="F44" s="51">
        <v>44325</v>
      </c>
      <c r="G44" s="50">
        <v>4279450</v>
      </c>
      <c r="H44" s="5" t="s">
        <v>18</v>
      </c>
      <c r="I44" s="5" t="s">
        <v>19</v>
      </c>
      <c r="J44" s="5" t="s">
        <v>111</v>
      </c>
    </row>
    <row r="45" spans="2:10" x14ac:dyDescent="0.5">
      <c r="B45" s="5">
        <v>312</v>
      </c>
      <c r="C45" s="5" t="s">
        <v>20</v>
      </c>
      <c r="D45" s="5" t="s">
        <v>21</v>
      </c>
      <c r="E45" s="7" t="s">
        <v>15</v>
      </c>
      <c r="F45" s="51">
        <v>44332</v>
      </c>
      <c r="G45" s="50">
        <v>4951880</v>
      </c>
      <c r="H45" s="5" t="s">
        <v>19</v>
      </c>
      <c r="I45" s="5" t="s">
        <v>22</v>
      </c>
      <c r="J45" s="5" t="s">
        <v>111</v>
      </c>
    </row>
    <row r="46" spans="2:10" x14ac:dyDescent="0.5">
      <c r="B46" s="5">
        <v>320</v>
      </c>
      <c r="C46" s="5" t="s">
        <v>23</v>
      </c>
      <c r="D46" s="5" t="s">
        <v>24</v>
      </c>
      <c r="E46" s="7" t="s">
        <v>25</v>
      </c>
      <c r="F46" s="51">
        <v>44339</v>
      </c>
      <c r="G46" s="50">
        <v>4062620</v>
      </c>
      <c r="H46" s="5" t="s">
        <v>18</v>
      </c>
      <c r="I46" s="5" t="s">
        <v>19</v>
      </c>
      <c r="J46" s="5" t="s">
        <v>111</v>
      </c>
    </row>
    <row r="47" spans="2:10" x14ac:dyDescent="0.5">
      <c r="B47" s="5">
        <v>321</v>
      </c>
      <c r="C47" s="5" t="s">
        <v>26</v>
      </c>
      <c r="D47" s="5" t="s">
        <v>27</v>
      </c>
      <c r="E47" s="7" t="s">
        <v>25</v>
      </c>
      <c r="F47" s="51">
        <v>44338</v>
      </c>
      <c r="G47" s="50">
        <v>4672170</v>
      </c>
      <c r="H47" s="5" t="s">
        <v>19</v>
      </c>
      <c r="I47" s="5" t="s">
        <v>22</v>
      </c>
      <c r="J47" s="5" t="s">
        <v>111</v>
      </c>
    </row>
    <row r="48" spans="2:10" x14ac:dyDescent="0.5">
      <c r="B48" s="5">
        <v>328</v>
      </c>
      <c r="C48" s="5" t="s">
        <v>28</v>
      </c>
      <c r="D48" s="5" t="s">
        <v>29</v>
      </c>
      <c r="E48" s="7" t="s">
        <v>30</v>
      </c>
      <c r="F48" s="51">
        <v>44345</v>
      </c>
      <c r="G48" s="50">
        <v>4611710</v>
      </c>
      <c r="H48" s="5" t="s">
        <v>19</v>
      </c>
      <c r="I48" s="5" t="s">
        <v>22</v>
      </c>
      <c r="J48" s="5" t="s">
        <v>111</v>
      </c>
    </row>
    <row r="49" spans="2:10" x14ac:dyDescent="0.5">
      <c r="B49" s="5">
        <v>335</v>
      </c>
      <c r="C49" s="5" t="s">
        <v>31</v>
      </c>
      <c r="D49" s="5" t="s">
        <v>32</v>
      </c>
      <c r="E49" s="7" t="s">
        <v>30</v>
      </c>
      <c r="F49" s="51">
        <v>44353</v>
      </c>
      <c r="G49" s="50">
        <v>4080130</v>
      </c>
      <c r="H49" s="5" t="s">
        <v>34</v>
      </c>
      <c r="I49" s="5" t="s">
        <v>19</v>
      </c>
      <c r="J49" s="5" t="s">
        <v>111</v>
      </c>
    </row>
    <row r="50" spans="2:10" x14ac:dyDescent="0.5">
      <c r="B50" s="5">
        <v>349</v>
      </c>
      <c r="C50" s="5" t="s">
        <v>35</v>
      </c>
      <c r="D50" s="5" t="s">
        <v>36</v>
      </c>
      <c r="E50" s="7" t="s">
        <v>25</v>
      </c>
      <c r="F50" s="51">
        <v>44373</v>
      </c>
      <c r="G50" s="50">
        <v>4330520</v>
      </c>
      <c r="H50" s="5" t="s">
        <v>18</v>
      </c>
      <c r="I50" s="5" t="s">
        <v>19</v>
      </c>
      <c r="J50" s="5" t="s">
        <v>111</v>
      </c>
    </row>
    <row r="51" spans="2:10" x14ac:dyDescent="0.5">
      <c r="B51" s="5">
        <v>353</v>
      </c>
      <c r="C51" s="5" t="s">
        <v>37</v>
      </c>
      <c r="D51" s="5" t="s">
        <v>38</v>
      </c>
      <c r="E51" s="7" t="s">
        <v>30</v>
      </c>
      <c r="F51" s="51">
        <v>44381</v>
      </c>
      <c r="G51" s="50">
        <v>4673740</v>
      </c>
      <c r="H51" s="5" t="s">
        <v>19</v>
      </c>
      <c r="I51" s="5" t="s">
        <v>22</v>
      </c>
      <c r="J51" s="5" t="s">
        <v>111</v>
      </c>
    </row>
    <row r="52" spans="2:10" x14ac:dyDescent="0.5">
      <c r="B52" s="5">
        <v>355</v>
      </c>
      <c r="C52" s="5" t="s">
        <v>153</v>
      </c>
      <c r="D52" s="5" t="s">
        <v>154</v>
      </c>
      <c r="E52" s="7" t="s">
        <v>155</v>
      </c>
      <c r="F52" s="51">
        <v>44380</v>
      </c>
      <c r="G52" s="50">
        <v>4880550</v>
      </c>
      <c r="H52" s="5" t="s">
        <v>19</v>
      </c>
      <c r="I52" s="5" t="s">
        <v>22</v>
      </c>
      <c r="J52" s="5" t="s">
        <v>112</v>
      </c>
    </row>
    <row r="53" spans="2:10" x14ac:dyDescent="0.5">
      <c r="B53" s="5">
        <v>356</v>
      </c>
      <c r="C53" s="5" t="s">
        <v>156</v>
      </c>
      <c r="D53" s="5" t="s">
        <v>157</v>
      </c>
      <c r="E53" s="7" t="s">
        <v>158</v>
      </c>
      <c r="F53" s="51">
        <v>44380</v>
      </c>
      <c r="G53" s="50">
        <v>4982880</v>
      </c>
      <c r="H53" s="5" t="s">
        <v>19</v>
      </c>
      <c r="I53" s="5" t="s">
        <v>22</v>
      </c>
      <c r="J53" s="5" t="s">
        <v>112</v>
      </c>
    </row>
    <row r="54" spans="2:10" x14ac:dyDescent="0.5">
      <c r="B54" s="5">
        <v>361</v>
      </c>
      <c r="C54" s="5" t="s">
        <v>159</v>
      </c>
      <c r="D54" s="5" t="s">
        <v>160</v>
      </c>
      <c r="E54" s="7" t="s">
        <v>161</v>
      </c>
      <c r="F54" s="51">
        <v>44384</v>
      </c>
      <c r="G54" s="50">
        <v>4879050</v>
      </c>
      <c r="H54" s="5" t="s">
        <v>19</v>
      </c>
      <c r="I54" s="5" t="s">
        <v>22</v>
      </c>
      <c r="J54" s="5" t="s">
        <v>112</v>
      </c>
    </row>
    <row r="55" spans="2:10" x14ac:dyDescent="0.5">
      <c r="B55" s="5">
        <v>362</v>
      </c>
      <c r="C55" s="5" t="s">
        <v>162</v>
      </c>
      <c r="D55" s="5" t="s">
        <v>163</v>
      </c>
      <c r="E55" s="7" t="s">
        <v>164</v>
      </c>
      <c r="F55" s="51">
        <v>44384</v>
      </c>
      <c r="G55" s="50">
        <v>4517900</v>
      </c>
      <c r="H55" s="5" t="s">
        <v>19</v>
      </c>
      <c r="I55" s="5" t="s">
        <v>22</v>
      </c>
      <c r="J55" s="5" t="s">
        <v>112</v>
      </c>
    </row>
    <row r="56" spans="2:10" x14ac:dyDescent="0.5">
      <c r="B56" s="5">
        <v>363</v>
      </c>
      <c r="C56" s="5" t="s">
        <v>40</v>
      </c>
      <c r="D56" s="5" t="s">
        <v>41</v>
      </c>
      <c r="E56" s="7" t="s">
        <v>25</v>
      </c>
      <c r="F56" s="51">
        <v>44388</v>
      </c>
      <c r="G56" s="50">
        <v>4059510</v>
      </c>
      <c r="H56" s="5" t="s">
        <v>18</v>
      </c>
      <c r="I56" s="5" t="s">
        <v>19</v>
      </c>
      <c r="J56" s="5" t="s">
        <v>111</v>
      </c>
    </row>
    <row r="57" spans="2:10" x14ac:dyDescent="0.5">
      <c r="B57" s="5">
        <v>377</v>
      </c>
      <c r="C57" s="5" t="s">
        <v>165</v>
      </c>
      <c r="D57" s="5" t="s">
        <v>166</v>
      </c>
      <c r="E57" s="7" t="s">
        <v>167</v>
      </c>
      <c r="F57" s="51">
        <v>44396</v>
      </c>
      <c r="G57" s="50">
        <v>4996140</v>
      </c>
      <c r="H57" s="5" t="s">
        <v>19</v>
      </c>
      <c r="I57" s="5" t="s">
        <v>22</v>
      </c>
      <c r="J57" s="5" t="s">
        <v>112</v>
      </c>
    </row>
    <row r="58" spans="2:10" x14ac:dyDescent="0.5">
      <c r="B58" s="5">
        <v>379</v>
      </c>
      <c r="C58" s="5" t="s">
        <v>42</v>
      </c>
      <c r="D58" s="5" t="s">
        <v>43</v>
      </c>
      <c r="E58" s="7" t="s">
        <v>25</v>
      </c>
      <c r="F58" s="51">
        <v>44395</v>
      </c>
      <c r="G58" s="50">
        <v>4211080</v>
      </c>
      <c r="H58" s="5" t="s">
        <v>34</v>
      </c>
      <c r="I58" s="5" t="s">
        <v>19</v>
      </c>
      <c r="J58" s="5" t="s">
        <v>111</v>
      </c>
    </row>
    <row r="59" spans="2:10" x14ac:dyDescent="0.5">
      <c r="B59" s="5">
        <v>385</v>
      </c>
      <c r="C59" s="5" t="s">
        <v>168</v>
      </c>
      <c r="D59" s="5" t="s">
        <v>169</v>
      </c>
      <c r="E59" s="7" t="s">
        <v>170</v>
      </c>
      <c r="F59" s="51">
        <v>44401</v>
      </c>
      <c r="G59" s="50">
        <v>4531660</v>
      </c>
      <c r="H59" s="5" t="s">
        <v>19</v>
      </c>
      <c r="I59" s="5" t="s">
        <v>22</v>
      </c>
      <c r="J59" s="5" t="s">
        <v>112</v>
      </c>
    </row>
    <row r="60" spans="2:10" x14ac:dyDescent="0.5">
      <c r="B60" s="5">
        <v>387</v>
      </c>
      <c r="C60" s="5" t="s">
        <v>171</v>
      </c>
      <c r="D60" s="5" t="s">
        <v>172</v>
      </c>
      <c r="E60" s="7" t="s">
        <v>173</v>
      </c>
      <c r="F60" s="51">
        <v>44405</v>
      </c>
      <c r="G60" s="50">
        <v>4229320</v>
      </c>
      <c r="H60" s="5" t="s">
        <v>34</v>
      </c>
      <c r="I60" s="5" t="s">
        <v>19</v>
      </c>
      <c r="J60" s="5" t="s">
        <v>112</v>
      </c>
    </row>
    <row r="61" spans="2:10" x14ac:dyDescent="0.5">
      <c r="B61" s="5">
        <v>388</v>
      </c>
      <c r="C61" s="5" t="s">
        <v>174</v>
      </c>
      <c r="D61" s="5" t="s">
        <v>175</v>
      </c>
      <c r="E61" s="7" t="s">
        <v>176</v>
      </c>
      <c r="F61" s="51">
        <v>44406</v>
      </c>
      <c r="G61" s="50">
        <v>4620700</v>
      </c>
      <c r="H61" s="5" t="s">
        <v>19</v>
      </c>
      <c r="I61" s="5" t="s">
        <v>22</v>
      </c>
      <c r="J61" s="5" t="s">
        <v>112</v>
      </c>
    </row>
    <row r="62" spans="2:10" x14ac:dyDescent="0.5">
      <c r="B62" s="5">
        <v>394</v>
      </c>
      <c r="C62" s="5" t="s">
        <v>44</v>
      </c>
      <c r="D62" s="5" t="s">
        <v>45</v>
      </c>
      <c r="E62" s="7" t="s">
        <v>25</v>
      </c>
      <c r="F62" s="51">
        <v>44415</v>
      </c>
      <c r="G62" s="50">
        <v>4250210</v>
      </c>
      <c r="H62" s="5" t="s">
        <v>18</v>
      </c>
      <c r="I62" s="5" t="s">
        <v>19</v>
      </c>
      <c r="J62" s="5" t="s">
        <v>111</v>
      </c>
    </row>
    <row r="63" spans="2:10" x14ac:dyDescent="0.5">
      <c r="B63" s="5">
        <v>407</v>
      </c>
      <c r="C63" s="5" t="s">
        <v>47</v>
      </c>
      <c r="D63" s="5" t="s">
        <v>48</v>
      </c>
      <c r="E63" s="7" t="s">
        <v>15</v>
      </c>
      <c r="F63" s="51">
        <v>44423</v>
      </c>
      <c r="G63" s="50">
        <v>4927020</v>
      </c>
      <c r="H63" s="5" t="s">
        <v>19</v>
      </c>
      <c r="I63" s="5" t="s">
        <v>22</v>
      </c>
      <c r="J63" s="5" t="s">
        <v>111</v>
      </c>
    </row>
    <row r="64" spans="2:10" x14ac:dyDescent="0.5">
      <c r="B64" s="5">
        <v>419</v>
      </c>
      <c r="C64" s="5" t="s">
        <v>177</v>
      </c>
      <c r="D64" s="5" t="s">
        <v>178</v>
      </c>
      <c r="E64" s="7" t="s">
        <v>179</v>
      </c>
      <c r="F64" s="51">
        <v>44426</v>
      </c>
      <c r="G64" s="50">
        <v>4002900</v>
      </c>
      <c r="H64" s="5" t="s">
        <v>18</v>
      </c>
      <c r="I64" s="5" t="s">
        <v>19</v>
      </c>
      <c r="J64" s="5" t="s">
        <v>112</v>
      </c>
    </row>
    <row r="65" spans="2:10" x14ac:dyDescent="0.5">
      <c r="B65" s="5">
        <v>422</v>
      </c>
      <c r="C65" s="5" t="s">
        <v>49</v>
      </c>
      <c r="D65" s="5" t="s">
        <v>50</v>
      </c>
      <c r="E65" s="7" t="s">
        <v>51</v>
      </c>
      <c r="F65" s="51">
        <v>44429</v>
      </c>
      <c r="G65" s="50">
        <v>4728180</v>
      </c>
      <c r="H65" s="5" t="s">
        <v>19</v>
      </c>
      <c r="I65" s="5" t="s">
        <v>22</v>
      </c>
      <c r="J65" s="5" t="s">
        <v>111</v>
      </c>
    </row>
    <row r="66" spans="2:10" x14ac:dyDescent="0.5">
      <c r="B66" s="5">
        <v>430</v>
      </c>
      <c r="C66" s="5" t="s">
        <v>52</v>
      </c>
      <c r="D66" s="5" t="s">
        <v>53</v>
      </c>
      <c r="E66" s="7" t="s">
        <v>54</v>
      </c>
      <c r="F66" s="51">
        <v>44443</v>
      </c>
      <c r="G66" s="50">
        <v>4497060</v>
      </c>
      <c r="H66" s="5" t="s">
        <v>34</v>
      </c>
      <c r="I66" s="5" t="s">
        <v>19</v>
      </c>
      <c r="J66" s="5" t="s">
        <v>111</v>
      </c>
    </row>
    <row r="67" spans="2:10" x14ac:dyDescent="0.5">
      <c r="B67" s="5">
        <v>433</v>
      </c>
      <c r="C67" s="5" t="s">
        <v>56</v>
      </c>
      <c r="D67" s="5" t="s">
        <v>57</v>
      </c>
      <c r="E67" s="7" t="s">
        <v>51</v>
      </c>
      <c r="F67" s="51">
        <v>44450</v>
      </c>
      <c r="G67" s="50">
        <v>4648620</v>
      </c>
      <c r="H67" s="5" t="s">
        <v>19</v>
      </c>
      <c r="I67" s="5" t="s">
        <v>22</v>
      </c>
      <c r="J67" s="5" t="s">
        <v>111</v>
      </c>
    </row>
    <row r="68" spans="2:10" x14ac:dyDescent="0.5">
      <c r="B68" s="5">
        <v>434</v>
      </c>
      <c r="C68" s="5" t="s">
        <v>58</v>
      </c>
      <c r="D68" s="5" t="s">
        <v>59</v>
      </c>
      <c r="E68" s="7" t="s">
        <v>51</v>
      </c>
      <c r="F68" s="51">
        <v>44457</v>
      </c>
      <c r="G68" s="50">
        <v>4232840</v>
      </c>
      <c r="H68" s="5" t="s">
        <v>34</v>
      </c>
      <c r="I68" s="5" t="s">
        <v>19</v>
      </c>
      <c r="J68" s="5" t="s">
        <v>111</v>
      </c>
    </row>
    <row r="69" spans="2:10" x14ac:dyDescent="0.5">
      <c r="B69" s="5">
        <v>468</v>
      </c>
      <c r="C69" s="5" t="s">
        <v>60</v>
      </c>
      <c r="D69" s="5" t="s">
        <v>61</v>
      </c>
      <c r="E69" s="7" t="s">
        <v>30</v>
      </c>
      <c r="F69" s="51">
        <v>44506</v>
      </c>
      <c r="G69" s="50">
        <v>4817700</v>
      </c>
      <c r="H69" s="5" t="s">
        <v>19</v>
      </c>
      <c r="I69" s="5" t="s">
        <v>22</v>
      </c>
      <c r="J69" s="5" t="s">
        <v>111</v>
      </c>
    </row>
    <row r="70" spans="2:10" x14ac:dyDescent="0.5">
      <c r="B70" s="5">
        <v>472</v>
      </c>
      <c r="C70" s="5" t="s">
        <v>63</v>
      </c>
      <c r="D70" s="5" t="s">
        <v>64</v>
      </c>
      <c r="E70" s="7" t="s">
        <v>15</v>
      </c>
      <c r="F70" s="51">
        <v>44507</v>
      </c>
      <c r="G70" s="50">
        <v>4275330</v>
      </c>
      <c r="H70" s="5" t="s">
        <v>18</v>
      </c>
      <c r="I70" s="5" t="s">
        <v>19</v>
      </c>
      <c r="J70" s="5" t="s">
        <v>111</v>
      </c>
    </row>
    <row r="71" spans="2:10" x14ac:dyDescent="0.5">
      <c r="B71" s="5">
        <v>476</v>
      </c>
      <c r="C71" s="5" t="s">
        <v>65</v>
      </c>
      <c r="D71" s="5" t="s">
        <v>66</v>
      </c>
      <c r="E71" s="7" t="s">
        <v>54</v>
      </c>
      <c r="F71" s="51">
        <v>44514</v>
      </c>
      <c r="G71" s="50">
        <v>4441560</v>
      </c>
      <c r="H71" s="5" t="s">
        <v>18</v>
      </c>
      <c r="I71" s="5" t="s">
        <v>19</v>
      </c>
      <c r="J71" s="5" t="s">
        <v>111</v>
      </c>
    </row>
    <row r="72" spans="2:10" x14ac:dyDescent="0.5">
      <c r="B72" s="5">
        <v>492</v>
      </c>
      <c r="C72" s="5" t="s">
        <v>67</v>
      </c>
      <c r="D72" s="5" t="s">
        <v>68</v>
      </c>
      <c r="E72" s="7" t="s">
        <v>54</v>
      </c>
      <c r="F72" s="51">
        <v>44535</v>
      </c>
      <c r="G72" s="50">
        <v>4050320</v>
      </c>
      <c r="H72" s="5" t="s">
        <v>34</v>
      </c>
      <c r="I72" s="5" t="s">
        <v>19</v>
      </c>
      <c r="J72" s="5" t="s">
        <v>111</v>
      </c>
    </row>
    <row r="73" spans="2:10" x14ac:dyDescent="0.5">
      <c r="B73" s="5">
        <v>499</v>
      </c>
      <c r="C73" s="5" t="s">
        <v>70</v>
      </c>
      <c r="D73" s="5" t="s">
        <v>71</v>
      </c>
      <c r="E73" s="7" t="s">
        <v>25</v>
      </c>
      <c r="F73" s="51">
        <v>44542</v>
      </c>
      <c r="G73" s="50">
        <v>4463340</v>
      </c>
      <c r="H73" s="5" t="s">
        <v>18</v>
      </c>
      <c r="I73" s="5" t="s">
        <v>19</v>
      </c>
      <c r="J73" s="5" t="s">
        <v>111</v>
      </c>
    </row>
    <row r="74" spans="2:10" x14ac:dyDescent="0.5">
      <c r="B74" s="5">
        <v>508</v>
      </c>
      <c r="C74" s="5" t="s">
        <v>72</v>
      </c>
      <c r="D74" s="5" t="s">
        <v>73</v>
      </c>
      <c r="E74" s="7" t="s">
        <v>54</v>
      </c>
      <c r="F74" s="51">
        <v>44541</v>
      </c>
      <c r="G74" s="50">
        <v>4918360</v>
      </c>
      <c r="H74" s="5" t="s">
        <v>19</v>
      </c>
      <c r="I74" s="5" t="s">
        <v>22</v>
      </c>
      <c r="J74" s="5" t="s">
        <v>111</v>
      </c>
    </row>
    <row r="75" spans="2:10" x14ac:dyDescent="0.5">
      <c r="B75" s="5">
        <v>514</v>
      </c>
      <c r="C75" s="5" t="s">
        <v>74</v>
      </c>
      <c r="D75" s="5" t="s">
        <v>75</v>
      </c>
      <c r="E75" s="7" t="s">
        <v>54</v>
      </c>
      <c r="F75" s="51">
        <v>44549</v>
      </c>
      <c r="G75" s="50">
        <v>4924520</v>
      </c>
      <c r="H75" s="5" t="s">
        <v>19</v>
      </c>
      <c r="I75" s="5" t="s">
        <v>22</v>
      </c>
      <c r="J75" s="5" t="s">
        <v>111</v>
      </c>
    </row>
    <row r="76" spans="2:10" x14ac:dyDescent="0.5">
      <c r="B76" s="5">
        <v>515</v>
      </c>
      <c r="C76" s="5" t="s">
        <v>76</v>
      </c>
      <c r="D76" s="5" t="s">
        <v>77</v>
      </c>
      <c r="E76" s="7" t="s">
        <v>25</v>
      </c>
      <c r="F76" s="51">
        <v>44548</v>
      </c>
      <c r="G76" s="50">
        <v>4823470</v>
      </c>
      <c r="H76" s="5" t="s">
        <v>19</v>
      </c>
      <c r="I76" s="5" t="s">
        <v>22</v>
      </c>
      <c r="J76" s="5" t="s">
        <v>111</v>
      </c>
    </row>
    <row r="77" spans="2:10" x14ac:dyDescent="0.5">
      <c r="B77" s="5">
        <v>524</v>
      </c>
      <c r="C77" s="5" t="s">
        <v>78</v>
      </c>
      <c r="D77" s="5" t="s">
        <v>79</v>
      </c>
      <c r="E77" s="7" t="s">
        <v>51</v>
      </c>
      <c r="F77" s="51">
        <v>44563</v>
      </c>
      <c r="G77" s="50">
        <v>4363500</v>
      </c>
      <c r="H77" s="5" t="s">
        <v>18</v>
      </c>
      <c r="I77" s="5" t="s">
        <v>19</v>
      </c>
      <c r="J77" s="5" t="s">
        <v>111</v>
      </c>
    </row>
    <row r="78" spans="2:10" x14ac:dyDescent="0.5">
      <c r="B78" s="5">
        <v>534</v>
      </c>
      <c r="C78" s="5" t="s">
        <v>81</v>
      </c>
      <c r="D78" s="5" t="s">
        <v>82</v>
      </c>
      <c r="E78" s="7" t="s">
        <v>30</v>
      </c>
      <c r="F78" s="51">
        <v>44577</v>
      </c>
      <c r="G78" s="50">
        <v>4847720</v>
      </c>
      <c r="H78" s="5" t="s">
        <v>19</v>
      </c>
      <c r="I78" s="5" t="s">
        <v>22</v>
      </c>
      <c r="J78" s="5" t="s">
        <v>111</v>
      </c>
    </row>
    <row r="79" spans="2:10" x14ac:dyDescent="0.5">
      <c r="B79" s="5">
        <v>540</v>
      </c>
      <c r="C79" s="5" t="s">
        <v>83</v>
      </c>
      <c r="D79" s="5" t="s">
        <v>84</v>
      </c>
      <c r="E79" s="7" t="s">
        <v>15</v>
      </c>
      <c r="F79" s="51">
        <v>44583</v>
      </c>
      <c r="G79" s="50">
        <v>4651520</v>
      </c>
      <c r="H79" s="5" t="s">
        <v>19</v>
      </c>
      <c r="I79" s="5" t="s">
        <v>22</v>
      </c>
      <c r="J79" s="5" t="s">
        <v>111</v>
      </c>
    </row>
    <row r="80" spans="2:10" x14ac:dyDescent="0.5">
      <c r="B80" s="5">
        <v>548</v>
      </c>
      <c r="C80" s="5" t="s">
        <v>180</v>
      </c>
      <c r="D80" s="5" t="s">
        <v>181</v>
      </c>
      <c r="E80" s="5" t="s">
        <v>182</v>
      </c>
      <c r="F80" s="51">
        <v>44586</v>
      </c>
      <c r="G80" s="50">
        <v>4724620</v>
      </c>
      <c r="H80" s="5" t="s">
        <v>19</v>
      </c>
      <c r="I80" s="5" t="s">
        <v>22</v>
      </c>
      <c r="J80" s="5" t="s">
        <v>112</v>
      </c>
    </row>
    <row r="81" spans="2:10" x14ac:dyDescent="0.5">
      <c r="B81" s="5">
        <v>575</v>
      </c>
      <c r="C81" s="5" t="s">
        <v>183</v>
      </c>
      <c r="D81" s="5" t="s">
        <v>184</v>
      </c>
      <c r="E81" s="5" t="s">
        <v>161</v>
      </c>
      <c r="F81" s="51">
        <v>44613</v>
      </c>
      <c r="G81" s="50">
        <v>4474800</v>
      </c>
      <c r="H81" s="5" t="s">
        <v>185</v>
      </c>
      <c r="I81" s="5" t="s">
        <v>19</v>
      </c>
      <c r="J81" s="5" t="s">
        <v>112</v>
      </c>
    </row>
  </sheetData>
  <conditionalFormatting sqref="D40:D81">
    <cfRule type="duplicateValues" dxfId="0" priority="1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8"/>
  <sheetViews>
    <sheetView zoomScale="90" zoomScaleNormal="90" workbookViewId="0">
      <selection activeCell="B2" sqref="B2"/>
    </sheetView>
  </sheetViews>
  <sheetFormatPr defaultRowHeight="17.5" x14ac:dyDescent="0.5"/>
  <cols>
    <col min="1" max="2" width="8.7265625" style="1"/>
    <col min="3" max="3" width="5.26953125" style="1" customWidth="1"/>
    <col min="4" max="4" width="13.453125" style="1" customWidth="1"/>
    <col min="5" max="5" width="26.1796875" style="1" bestFit="1" customWidth="1"/>
    <col min="6" max="6" width="14.08984375" style="1" bestFit="1" customWidth="1"/>
    <col min="7" max="7" width="31.08984375" style="1" customWidth="1"/>
    <col min="8" max="16384" width="8.7265625" style="1"/>
  </cols>
  <sheetData>
    <row r="2" spans="2:7" x14ac:dyDescent="0.5">
      <c r="B2" s="23" t="s">
        <v>100</v>
      </c>
    </row>
    <row r="3" spans="2:7" x14ac:dyDescent="0.5">
      <c r="B3" s="23"/>
      <c r="D3" s="17"/>
      <c r="E3" s="17" t="s">
        <v>101</v>
      </c>
      <c r="F3" s="17" t="s">
        <v>102</v>
      </c>
      <c r="G3" s="17" t="s">
        <v>103</v>
      </c>
    </row>
    <row r="4" spans="2:7" x14ac:dyDescent="0.5">
      <c r="B4" s="23"/>
      <c r="D4" s="14" t="s">
        <v>104</v>
      </c>
      <c r="E4" s="16">
        <v>134294030</v>
      </c>
      <c r="F4" s="16">
        <v>5</v>
      </c>
      <c r="G4" s="52">
        <v>268.58805999999998</v>
      </c>
    </row>
    <row r="5" spans="2:7" x14ac:dyDescent="0.5">
      <c r="B5" s="23"/>
      <c r="D5" s="14" t="s">
        <v>105</v>
      </c>
      <c r="E5" s="16">
        <v>346549390</v>
      </c>
      <c r="F5" s="16">
        <v>44</v>
      </c>
      <c r="G5" s="52">
        <v>78.761224999999996</v>
      </c>
    </row>
    <row r="6" spans="2:7" x14ac:dyDescent="0.5">
      <c r="B6" s="23"/>
      <c r="D6" s="21"/>
      <c r="E6" s="22">
        <v>480843420</v>
      </c>
      <c r="F6" s="22">
        <v>49</v>
      </c>
      <c r="G6" s="22"/>
    </row>
    <row r="7" spans="2:7" x14ac:dyDescent="0.5">
      <c r="B7" s="23"/>
      <c r="D7" s="53"/>
      <c r="E7" s="54"/>
      <c r="F7" s="54"/>
      <c r="G7" s="54"/>
    </row>
    <row r="8" spans="2:7" x14ac:dyDescent="0.5">
      <c r="B8" s="23"/>
      <c r="C8" s="23" t="s">
        <v>186</v>
      </c>
    </row>
    <row r="9" spans="2:7" x14ac:dyDescent="0.5">
      <c r="B9" s="23"/>
      <c r="D9" s="29"/>
      <c r="E9" s="56" t="s">
        <v>106</v>
      </c>
      <c r="F9" s="56"/>
      <c r="G9" s="56"/>
    </row>
    <row r="10" spans="2:7" x14ac:dyDescent="0.5">
      <c r="B10" s="23"/>
      <c r="D10" s="17" t="s">
        <v>85</v>
      </c>
      <c r="E10" s="39" t="s">
        <v>104</v>
      </c>
      <c r="F10" s="39" t="s">
        <v>107</v>
      </c>
      <c r="G10" s="39" t="s">
        <v>94</v>
      </c>
    </row>
    <row r="11" spans="2:7" x14ac:dyDescent="0.5">
      <c r="B11" s="23"/>
      <c r="D11" s="14" t="s">
        <v>136</v>
      </c>
      <c r="E11" s="16">
        <v>9728230</v>
      </c>
      <c r="F11" s="16">
        <v>149208150</v>
      </c>
      <c r="G11" s="16">
        <v>158936380</v>
      </c>
    </row>
    <row r="12" spans="2:7" x14ac:dyDescent="0.5">
      <c r="B12" s="23"/>
      <c r="D12" s="14" t="s">
        <v>140</v>
      </c>
      <c r="E12" s="16">
        <v>124565800</v>
      </c>
      <c r="F12" s="16">
        <v>197341240</v>
      </c>
      <c r="G12" s="16">
        <v>321907040</v>
      </c>
    </row>
    <row r="13" spans="2:7" x14ac:dyDescent="0.5">
      <c r="B13" s="23"/>
      <c r="D13" s="21" t="s">
        <v>94</v>
      </c>
      <c r="E13" s="22">
        <v>134294030</v>
      </c>
      <c r="F13" s="22">
        <v>346549390</v>
      </c>
      <c r="G13" s="22">
        <v>480843420</v>
      </c>
    </row>
    <row r="14" spans="2:7" x14ac:dyDescent="0.5">
      <c r="B14" s="23"/>
      <c r="D14" s="14"/>
      <c r="E14" s="16"/>
      <c r="F14" s="16"/>
      <c r="G14" s="16"/>
    </row>
    <row r="15" spans="2:7" x14ac:dyDescent="0.5">
      <c r="B15" s="23"/>
      <c r="C15" s="23" t="s">
        <v>187</v>
      </c>
      <c r="D15" s="14"/>
      <c r="E15" s="16"/>
      <c r="F15" s="16"/>
      <c r="G15" s="16"/>
    </row>
    <row r="16" spans="2:7" x14ac:dyDescent="0.5">
      <c r="B16" s="23"/>
      <c r="D16" s="39" t="s">
        <v>188</v>
      </c>
      <c r="E16" s="39" t="s">
        <v>104</v>
      </c>
      <c r="F16" s="39" t="s">
        <v>107</v>
      </c>
      <c r="G16" s="39" t="s">
        <v>94</v>
      </c>
    </row>
    <row r="17" spans="2:7" x14ac:dyDescent="0.5">
      <c r="B17" s="23"/>
      <c r="D17" s="14" t="s">
        <v>136</v>
      </c>
      <c r="E17" s="55">
        <v>6.1208327508151375E-2</v>
      </c>
      <c r="F17" s="55">
        <v>0.93879167249184858</v>
      </c>
      <c r="G17" s="55">
        <v>1</v>
      </c>
    </row>
    <row r="18" spans="2:7" x14ac:dyDescent="0.5">
      <c r="B18" s="23"/>
      <c r="D18" s="14" t="s">
        <v>140</v>
      </c>
      <c r="E18" s="55">
        <v>0.38696202481312619</v>
      </c>
      <c r="F18" s="55">
        <v>0.61303797518687386</v>
      </c>
      <c r="G18" s="5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5"/>
  <sheetViews>
    <sheetView zoomScale="90" zoomScaleNormal="90" workbookViewId="0">
      <selection activeCell="B2" sqref="B2"/>
    </sheetView>
  </sheetViews>
  <sheetFormatPr defaultRowHeight="17.5" x14ac:dyDescent="0.5"/>
  <cols>
    <col min="1" max="1" width="8.7265625" style="1"/>
    <col min="2" max="2" width="26.6328125" style="1" customWidth="1"/>
    <col min="3" max="3" width="19.08984375" style="1" bestFit="1" customWidth="1"/>
    <col min="4" max="4" width="15.453125" style="1" customWidth="1"/>
    <col min="5" max="5" width="11.08984375" style="1" bestFit="1" customWidth="1"/>
    <col min="6" max="6" width="14.36328125" style="1" customWidth="1"/>
    <col min="7" max="16384" width="8.7265625" style="1"/>
  </cols>
  <sheetData>
    <row r="2" spans="2:6" x14ac:dyDescent="0.5">
      <c r="B2" s="23" t="s">
        <v>109</v>
      </c>
    </row>
    <row r="3" spans="2:6" x14ac:dyDescent="0.5">
      <c r="B3" s="32" t="s">
        <v>110</v>
      </c>
      <c r="C3" s="32" t="s">
        <v>106</v>
      </c>
      <c r="D3" s="32"/>
      <c r="E3" s="32"/>
      <c r="F3" s="32"/>
    </row>
    <row r="4" spans="2:6" x14ac:dyDescent="0.5">
      <c r="B4" s="32"/>
      <c r="C4" s="32" t="s">
        <v>189</v>
      </c>
      <c r="D4" s="62" t="s">
        <v>190</v>
      </c>
      <c r="E4" s="62"/>
      <c r="F4" s="32" t="s">
        <v>191</v>
      </c>
    </row>
    <row r="5" spans="2:6" x14ac:dyDescent="0.5">
      <c r="B5" s="33" t="s">
        <v>85</v>
      </c>
      <c r="C5" s="34" t="s">
        <v>111</v>
      </c>
      <c r="D5" s="34" t="s">
        <v>112</v>
      </c>
      <c r="E5" s="34" t="s">
        <v>111</v>
      </c>
      <c r="F5" s="34" t="s">
        <v>112</v>
      </c>
    </row>
    <row r="6" spans="2:6" x14ac:dyDescent="0.5">
      <c r="B6" s="14" t="s">
        <v>113</v>
      </c>
      <c r="C6" s="35">
        <v>18433680</v>
      </c>
      <c r="D6" s="16"/>
      <c r="E6" s="35">
        <v>4651520</v>
      </c>
      <c r="F6" s="16"/>
    </row>
    <row r="7" spans="2:6" x14ac:dyDescent="0.5">
      <c r="B7" s="14" t="s">
        <v>114</v>
      </c>
      <c r="C7" s="35">
        <v>22831820</v>
      </c>
      <c r="D7" s="16"/>
      <c r="E7" s="35"/>
      <c r="F7" s="16"/>
    </row>
    <row r="8" spans="2:6" x14ac:dyDescent="0.5">
      <c r="B8" s="14" t="s">
        <v>115</v>
      </c>
      <c r="C8" s="35">
        <v>17973140</v>
      </c>
      <c r="D8" s="16"/>
      <c r="E8" s="35"/>
      <c r="F8" s="16"/>
    </row>
    <row r="9" spans="2:6" x14ac:dyDescent="0.5">
      <c r="B9" s="14" t="s">
        <v>116</v>
      </c>
      <c r="C9" s="35">
        <v>18183280</v>
      </c>
      <c r="D9" s="16">
        <v>49630</v>
      </c>
      <c r="E9" s="35">
        <v>4847720</v>
      </c>
      <c r="F9" s="16"/>
    </row>
    <row r="10" spans="2:6" x14ac:dyDescent="0.5">
      <c r="B10" s="14" t="s">
        <v>117</v>
      </c>
      <c r="C10" s="35">
        <v>34872920</v>
      </c>
      <c r="D10" s="16"/>
      <c r="E10" s="35"/>
      <c r="F10" s="16"/>
    </row>
    <row r="11" spans="2:6" x14ac:dyDescent="0.5">
      <c r="B11" s="14" t="s">
        <v>118</v>
      </c>
      <c r="C11" s="35"/>
      <c r="D11" s="16">
        <v>9010790</v>
      </c>
      <c r="E11" s="35"/>
      <c r="F11" s="16">
        <v>1882150</v>
      </c>
    </row>
    <row r="12" spans="2:6" x14ac:dyDescent="0.5">
      <c r="B12" s="36" t="s">
        <v>94</v>
      </c>
      <c r="C12" s="37">
        <v>112294840</v>
      </c>
      <c r="D12" s="38">
        <v>9060420</v>
      </c>
      <c r="E12" s="37">
        <v>9499240</v>
      </c>
      <c r="F12" s="38">
        <v>1882150</v>
      </c>
    </row>
    <row r="15" spans="2:6" x14ac:dyDescent="0.5">
      <c r="B15" s="23" t="s">
        <v>108</v>
      </c>
    </row>
  </sheetData>
  <mergeCells count="1">
    <mergeCell ref="D4:E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4"/>
  <sheetViews>
    <sheetView zoomScale="90" zoomScaleNormal="90" workbookViewId="0">
      <selection activeCell="B2" sqref="B2"/>
    </sheetView>
  </sheetViews>
  <sheetFormatPr defaultRowHeight="17.5" x14ac:dyDescent="0.5"/>
  <cols>
    <col min="1" max="1" width="8.7265625" style="1"/>
    <col min="2" max="2" width="23.81640625" style="1" customWidth="1"/>
    <col min="3" max="3" width="15.81640625" style="1" customWidth="1"/>
    <col min="4" max="6" width="14.453125" style="1" bestFit="1" customWidth="1"/>
    <col min="7" max="7" width="11" style="1" customWidth="1"/>
    <col min="8" max="8" width="18" style="1" customWidth="1"/>
    <col min="9" max="9" width="19.453125" style="1" customWidth="1"/>
    <col min="10" max="10" width="18" style="1" customWidth="1"/>
    <col min="11" max="16384" width="8.7265625" style="1"/>
  </cols>
  <sheetData>
    <row r="2" spans="2:10" x14ac:dyDescent="0.5">
      <c r="B2" s="23" t="s">
        <v>133</v>
      </c>
    </row>
    <row r="4" spans="2:10" x14ac:dyDescent="0.5">
      <c r="B4" s="28" t="s">
        <v>119</v>
      </c>
      <c r="C4" s="28" t="s">
        <v>111</v>
      </c>
    </row>
    <row r="6" spans="2:10" x14ac:dyDescent="0.5">
      <c r="B6" s="29" t="s">
        <v>86</v>
      </c>
      <c r="C6" s="29" t="s">
        <v>106</v>
      </c>
      <c r="D6" s="29"/>
      <c r="E6" s="29"/>
      <c r="F6" s="29"/>
    </row>
    <row r="7" spans="2:10" x14ac:dyDescent="0.5">
      <c r="B7" s="29"/>
      <c r="C7" s="29" t="s">
        <v>90</v>
      </c>
      <c r="D7" s="29"/>
      <c r="E7" s="29"/>
      <c r="F7" s="29" t="s">
        <v>93</v>
      </c>
    </row>
    <row r="8" spans="2:10" x14ac:dyDescent="0.5">
      <c r="B8" s="17" t="s">
        <v>85</v>
      </c>
      <c r="C8" s="17" t="s">
        <v>120</v>
      </c>
      <c r="D8" s="17" t="s">
        <v>121</v>
      </c>
      <c r="E8" s="17" t="s">
        <v>122</v>
      </c>
      <c r="F8" s="17" t="s">
        <v>123</v>
      </c>
      <c r="H8" s="25" t="s">
        <v>124</v>
      </c>
      <c r="I8" s="25" t="s">
        <v>125</v>
      </c>
      <c r="J8" s="25" t="s">
        <v>126</v>
      </c>
    </row>
    <row r="9" spans="2:10" x14ac:dyDescent="0.5">
      <c r="B9" s="18" t="s">
        <v>19</v>
      </c>
      <c r="C9" s="30"/>
      <c r="D9" s="30"/>
      <c r="E9" s="30"/>
      <c r="F9" s="30"/>
      <c r="H9" s="26" t="s">
        <v>18</v>
      </c>
      <c r="I9" s="26" t="s">
        <v>127</v>
      </c>
      <c r="J9" s="27">
        <v>250000</v>
      </c>
    </row>
    <row r="10" spans="2:10" x14ac:dyDescent="0.5">
      <c r="B10" s="31" t="s">
        <v>18</v>
      </c>
      <c r="C10" s="16">
        <v>12672590</v>
      </c>
      <c r="D10" s="16">
        <v>8309720</v>
      </c>
      <c r="E10" s="16">
        <v>13180230</v>
      </c>
      <c r="F10" s="16">
        <v>4363500</v>
      </c>
      <c r="H10" s="26" t="s">
        <v>34</v>
      </c>
      <c r="I10" s="26" t="s">
        <v>127</v>
      </c>
      <c r="J10" s="27">
        <v>250000</v>
      </c>
    </row>
    <row r="11" spans="2:10" x14ac:dyDescent="0.5">
      <c r="B11" s="31" t="s">
        <v>34</v>
      </c>
      <c r="C11" s="16">
        <v>4080130</v>
      </c>
      <c r="D11" s="16">
        <v>12940980</v>
      </c>
      <c r="E11" s="16">
        <v>4050320</v>
      </c>
      <c r="F11" s="16"/>
      <c r="H11" s="26" t="s">
        <v>19</v>
      </c>
      <c r="I11" s="26" t="s">
        <v>128</v>
      </c>
      <c r="J11" s="27">
        <v>500000</v>
      </c>
    </row>
    <row r="12" spans="2:10" x14ac:dyDescent="0.5">
      <c r="B12" s="18" t="s">
        <v>22</v>
      </c>
      <c r="C12" s="20"/>
      <c r="D12" s="20"/>
      <c r="E12" s="20"/>
      <c r="F12" s="20"/>
      <c r="H12" s="26" t="s">
        <v>22</v>
      </c>
      <c r="I12" s="26" t="s">
        <v>129</v>
      </c>
      <c r="J12" s="27">
        <v>700000</v>
      </c>
    </row>
    <row r="13" spans="2:10" x14ac:dyDescent="0.5">
      <c r="B13" s="31" t="s">
        <v>19</v>
      </c>
      <c r="C13" s="16">
        <v>14235760</v>
      </c>
      <c r="D13" s="16">
        <v>18977560</v>
      </c>
      <c r="E13" s="16">
        <v>19484050</v>
      </c>
      <c r="F13" s="16">
        <v>9499240</v>
      </c>
    </row>
    <row r="14" spans="2:10" x14ac:dyDescent="0.5">
      <c r="B14" s="21" t="s">
        <v>94</v>
      </c>
      <c r="C14" s="22">
        <v>30988480</v>
      </c>
      <c r="D14" s="22">
        <v>40228260</v>
      </c>
      <c r="E14" s="22">
        <v>36714600</v>
      </c>
      <c r="F14" s="22">
        <v>13862740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Annexure 1</vt:lpstr>
      <vt:lpstr>Annexure 2</vt:lpstr>
      <vt:lpstr>Annexure 3</vt:lpstr>
      <vt:lpstr>Annexure 4</vt:lpstr>
      <vt:lpstr>Annexure 5</vt:lpstr>
      <vt:lpstr>Annexure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2026-10-12T15:10:51Z</dcterms:modified>
</cp:coreProperties>
</file>